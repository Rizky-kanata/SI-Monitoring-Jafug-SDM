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sdmsby_telkomuniversity_ac_id/Documents/Master Data SDM/"/>
    </mc:Choice>
  </mc:AlternateContent>
  <xr:revisionPtr revIDLastSave="0" documentId="8_{D8084683-9A86-48F6-9030-5E51E433719A}" xr6:coauthVersionLast="47" xr6:coauthVersionMax="47" xr10:uidLastSave="{00000000-0000-0000-0000-000000000000}"/>
  <bookViews>
    <workbookView xWindow="0" yWindow="480" windowWidth="28800" windowHeight="17520" firstSheet="5" activeTab="5" xr2:uid="{00000000-000D-0000-FFFF-FFFF00000000}"/>
  </bookViews>
  <sheets>
    <sheet name="Data Pegawai" sheetId="17" r:id="rId1"/>
    <sheet name="Sheet4" sheetId="26" r:id="rId2"/>
    <sheet name="Proyeksi LK GB" sheetId="25" r:id="rId3"/>
    <sheet name="Dosen" sheetId="1" r:id="rId4"/>
    <sheet name="Sheet1" sheetId="19" r:id="rId5"/>
    <sheet name="TPA" sheetId="2" r:id="rId6"/>
    <sheet name="Nisbah dan Rekrut 2026" sheetId="22" r:id="rId7"/>
    <sheet name="Rekap Jumlah Pegawai" sheetId="20" r:id="rId8"/>
    <sheet name="Reporting 1" sheetId="4" r:id="rId9"/>
    <sheet name="Reporting 2" sheetId="6" r:id="rId10"/>
    <sheet name="Reporting 3" sheetId="24" r:id="rId11"/>
    <sheet name="Pengawakan" sheetId="7" r:id="rId12"/>
    <sheet name="Sheet3" sheetId="23" r:id="rId13"/>
    <sheet name="Join TPA Dosen" sheetId="5" r:id="rId14"/>
    <sheet name="Sheet2" sheetId="15" r:id="rId15"/>
    <sheet name="KK &amp; COE" sheetId="13" r:id="rId16"/>
    <sheet name="Proyeksi Dosen" sheetId="12" r:id="rId17"/>
    <sheet name="Fasker" sheetId="14" r:id="rId18"/>
    <sheet name="Pelatihan Sertifikasi" sheetId="18" r:id="rId19"/>
    <sheet name="Nisbah dan Rekrut" sheetId="3" r:id="rId20"/>
    <sheet name="Dosen sorted" sheetId="27" r:id="rId21"/>
    <sheet name="ProyeksiMahasiswa" sheetId="8" r:id="rId22"/>
    <sheet name="Akreditasi.16" sheetId="9" r:id="rId23"/>
    <sheet name="Akreditasi.17" sheetId="10" r:id="rId24"/>
    <sheet name="Akreditasi.18" sheetId="11" r:id="rId25"/>
    <sheet name="Temp - SPT Serdos 2024" sheetId="16" r:id="rId26"/>
  </sheets>
  <definedNames>
    <definedName name="_xlnm._FilterDatabase" localSheetId="0" hidden="1">'Data Pegawai'!$A$1:$S$196</definedName>
    <definedName name="_xlnm._FilterDatabase" localSheetId="20" hidden="1">'Dosen sorted'!$A$1:$CE$138</definedName>
    <definedName name="_xlnm._FilterDatabase" localSheetId="13" hidden="1">'Join TPA Dosen'!$A$1:$E$177</definedName>
    <definedName name="_xlnm._FilterDatabase" localSheetId="15" hidden="1">'KK &amp; COE'!$A$1:$O$112</definedName>
    <definedName name="_xlnm._FilterDatabase" localSheetId="11" hidden="1">Pengawakan!$A$5:$G$5</definedName>
    <definedName name="_xlnm._FilterDatabase" localSheetId="16" hidden="1">'Proyeksi Dosen'!$A$1:$E$110</definedName>
    <definedName name="_xlnm._FilterDatabase" localSheetId="2" hidden="1">'Proyeksi LK GB'!$A$1:$G$1</definedName>
    <definedName name="_xlnm._FilterDatabase" localSheetId="7" hidden="1">'Rekap Jumlah Pegawai'!$A$4:$AA$4</definedName>
    <definedName name="_xlnm._FilterDatabase" localSheetId="5" hidden="1">TPA!$A$1:$BI$68</definedName>
    <definedName name="_xlnm._FilterDatabase" localSheetId="3" hidden="1">Dosen!$A$1:$CE$138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2" l="1"/>
  <c r="Z17" i="22"/>
  <c r="Y17" i="22"/>
  <c r="Z19" i="22"/>
  <c r="R19" i="22"/>
  <c r="R17" i="22"/>
  <c r="S17" i="22" s="1"/>
  <c r="K19" i="22"/>
  <c r="M19" i="22" s="1"/>
  <c r="O19" i="22" s="1"/>
  <c r="M17" i="22"/>
  <c r="O17" i="22" s="1"/>
  <c r="L17" i="22"/>
  <c r="BW101" i="27"/>
  <c r="BV101" i="27"/>
  <c r="AZ101" i="27"/>
  <c r="BA101" i="27" s="1"/>
  <c r="AY101" i="27"/>
  <c r="AW101" i="27"/>
  <c r="AN101" i="27"/>
  <c r="U101" i="27"/>
  <c r="R101" i="27"/>
  <c r="M101" i="27"/>
  <c r="BW28" i="27"/>
  <c r="BV28" i="27"/>
  <c r="BU28" i="27"/>
  <c r="BT28" i="27"/>
  <c r="BS28" i="27"/>
  <c r="AZ28" i="27"/>
  <c r="BA28" i="27" s="1"/>
  <c r="AY28" i="27"/>
  <c r="AW28" i="27"/>
  <c r="AN28" i="27"/>
  <c r="R28" i="27"/>
  <c r="M28" i="27"/>
  <c r="BW20" i="27"/>
  <c r="BV20" i="27"/>
  <c r="BU20" i="27"/>
  <c r="BT20" i="27"/>
  <c r="BS20" i="27"/>
  <c r="AZ20" i="27"/>
  <c r="BA20" i="27" s="1"/>
  <c r="AY20" i="27"/>
  <c r="AW20" i="27"/>
  <c r="AN20" i="27"/>
  <c r="R20" i="27"/>
  <c r="M20" i="27"/>
  <c r="BW49" i="27"/>
  <c r="BV49" i="27"/>
  <c r="BU49" i="27"/>
  <c r="BT49" i="27"/>
  <c r="AZ49" i="27"/>
  <c r="BA49" i="27" s="1"/>
  <c r="AY49" i="27"/>
  <c r="AW49" i="27"/>
  <c r="AN49" i="27"/>
  <c r="R49" i="27"/>
  <c r="M49" i="27"/>
  <c r="BW45" i="27"/>
  <c r="BV45" i="27"/>
  <c r="BU45" i="27"/>
  <c r="BT45" i="27"/>
  <c r="AZ45" i="27"/>
  <c r="BA45" i="27" s="1"/>
  <c r="AY45" i="27"/>
  <c r="AW45" i="27"/>
  <c r="AN45" i="27"/>
  <c r="R45" i="27"/>
  <c r="M45" i="27"/>
  <c r="CC129" i="27"/>
  <c r="CB129" i="27"/>
  <c r="CA129" i="27"/>
  <c r="BZ129" i="27"/>
  <c r="BY129" i="27"/>
  <c r="BX129" i="27"/>
  <c r="BW129" i="27"/>
  <c r="BV129" i="27"/>
  <c r="BT129" i="27"/>
  <c r="BS129" i="27"/>
  <c r="BR129" i="27"/>
  <c r="BL129" i="27"/>
  <c r="AZ129" i="27"/>
  <c r="BA129" i="27" s="1"/>
  <c r="AY129" i="27"/>
  <c r="AW129" i="27"/>
  <c r="AN129" i="27"/>
  <c r="X129" i="27"/>
  <c r="U129" i="27"/>
  <c r="R129" i="27"/>
  <c r="M129" i="27"/>
  <c r="BW48" i="27"/>
  <c r="BV48" i="27"/>
  <c r="BU48" i="27"/>
  <c r="BT48" i="27"/>
  <c r="AZ48" i="27"/>
  <c r="BA48" i="27" s="1"/>
  <c r="AY48" i="27"/>
  <c r="AW48" i="27"/>
  <c r="AN48" i="27"/>
  <c r="R48" i="27"/>
  <c r="M48" i="27"/>
  <c r="BW137" i="27"/>
  <c r="BV137" i="27"/>
  <c r="BU137" i="27"/>
  <c r="BT137" i="27"/>
  <c r="AZ137" i="27"/>
  <c r="BA137" i="27" s="1"/>
  <c r="AY137" i="27"/>
  <c r="AW137" i="27"/>
  <c r="AN137" i="27"/>
  <c r="X137" i="27"/>
  <c r="U137" i="27"/>
  <c r="R137" i="27"/>
  <c r="M137" i="27"/>
  <c r="CC135" i="27"/>
  <c r="CB135" i="27"/>
  <c r="CA135" i="27"/>
  <c r="BZ135" i="27"/>
  <c r="BY135" i="27"/>
  <c r="BX135" i="27"/>
  <c r="BW135" i="27"/>
  <c r="BV135" i="27"/>
  <c r="BU135" i="27"/>
  <c r="BT135" i="27"/>
  <c r="BS135" i="27"/>
  <c r="BR135" i="27"/>
  <c r="BL135" i="27"/>
  <c r="AZ135" i="27"/>
  <c r="BA135" i="27" s="1"/>
  <c r="AY135" i="27"/>
  <c r="AW135" i="27"/>
  <c r="AN135" i="27"/>
  <c r="X135" i="27"/>
  <c r="U135" i="27"/>
  <c r="R135" i="27"/>
  <c r="M135" i="27"/>
  <c r="CC126" i="27"/>
  <c r="CB126" i="27"/>
  <c r="CA126" i="27"/>
  <c r="BZ126" i="27"/>
  <c r="BY126" i="27"/>
  <c r="BX126" i="27"/>
  <c r="BW126" i="27"/>
  <c r="BV126" i="27"/>
  <c r="BT126" i="27"/>
  <c r="BS126" i="27"/>
  <c r="BR126" i="27"/>
  <c r="BL126" i="27"/>
  <c r="AZ126" i="27"/>
  <c r="BA126" i="27" s="1"/>
  <c r="AY126" i="27"/>
  <c r="AW126" i="27"/>
  <c r="AN126" i="27"/>
  <c r="X126" i="27"/>
  <c r="U126" i="27"/>
  <c r="R126" i="27"/>
  <c r="M126" i="27"/>
  <c r="BT95" i="27"/>
  <c r="BS95" i="27"/>
  <c r="AZ95" i="27"/>
  <c r="BA95" i="27" s="1"/>
  <c r="AY95" i="27"/>
  <c r="AW95" i="27"/>
  <c r="AN95" i="27"/>
  <c r="X95" i="27"/>
  <c r="U95" i="27"/>
  <c r="R95" i="27"/>
  <c r="M95" i="27"/>
  <c r="BT105" i="27"/>
  <c r="BS105" i="27"/>
  <c r="AZ105" i="27"/>
  <c r="BA105" i="27" s="1"/>
  <c r="AY105" i="27"/>
  <c r="AW105" i="27"/>
  <c r="AN105" i="27"/>
  <c r="X105" i="27"/>
  <c r="U105" i="27"/>
  <c r="R105" i="27"/>
  <c r="M105" i="27"/>
  <c r="BT71" i="27"/>
  <c r="BS71" i="27"/>
  <c r="AZ71" i="27"/>
  <c r="BA71" i="27" s="1"/>
  <c r="AY71" i="27"/>
  <c r="AW71" i="27"/>
  <c r="AN71" i="27"/>
  <c r="X71" i="27"/>
  <c r="U71" i="27"/>
  <c r="R71" i="27"/>
  <c r="M71" i="27"/>
  <c r="CC131" i="27"/>
  <c r="CB131" i="27"/>
  <c r="CA131" i="27"/>
  <c r="BZ131" i="27"/>
  <c r="BY131" i="27"/>
  <c r="BX131" i="27"/>
  <c r="BW131" i="27"/>
  <c r="BV131" i="27"/>
  <c r="BU131" i="27"/>
  <c r="BT131" i="27"/>
  <c r="BS131" i="27"/>
  <c r="BR131" i="27"/>
  <c r="BL131" i="27"/>
  <c r="AZ131" i="27"/>
  <c r="BA131" i="27" s="1"/>
  <c r="AY131" i="27"/>
  <c r="AW131" i="27"/>
  <c r="AN131" i="27"/>
  <c r="X131" i="27"/>
  <c r="U131" i="27"/>
  <c r="R131" i="27"/>
  <c r="M131" i="27"/>
  <c r="BT12" i="27"/>
  <c r="BS12" i="27"/>
  <c r="AZ12" i="27"/>
  <c r="BA12" i="27" s="1"/>
  <c r="AY12" i="27"/>
  <c r="AW12" i="27"/>
  <c r="AN12" i="27"/>
  <c r="X12" i="27"/>
  <c r="U12" i="27"/>
  <c r="R12" i="27"/>
  <c r="M12" i="27"/>
  <c r="CC37" i="27"/>
  <c r="CB37" i="27"/>
  <c r="CA37" i="27"/>
  <c r="BZ37" i="27"/>
  <c r="BY37" i="27"/>
  <c r="BX37" i="27"/>
  <c r="BT37" i="27"/>
  <c r="BS37" i="27"/>
  <c r="AZ37" i="27"/>
  <c r="BA37" i="27" s="1"/>
  <c r="AY37" i="27"/>
  <c r="AW37" i="27"/>
  <c r="X37" i="27"/>
  <c r="U37" i="27"/>
  <c r="R37" i="27"/>
  <c r="M37" i="27"/>
  <c r="CC122" i="27"/>
  <c r="CB122" i="27"/>
  <c r="CA122" i="27"/>
  <c r="BZ122" i="27"/>
  <c r="BY122" i="27"/>
  <c r="BX122" i="27"/>
  <c r="BW122" i="27"/>
  <c r="BV122" i="27"/>
  <c r="BT122" i="27"/>
  <c r="BS122" i="27"/>
  <c r="BL122" i="27"/>
  <c r="AZ122" i="27"/>
  <c r="BA122" i="27" s="1"/>
  <c r="AY122" i="27"/>
  <c r="AW122" i="27"/>
  <c r="AN122" i="27"/>
  <c r="X122" i="27"/>
  <c r="U122" i="27"/>
  <c r="R122" i="27"/>
  <c r="M122" i="27"/>
  <c r="CC35" i="27"/>
  <c r="CB35" i="27"/>
  <c r="CA35" i="27"/>
  <c r="BZ35" i="27"/>
  <c r="BY35" i="27"/>
  <c r="BX35" i="27"/>
  <c r="BW35" i="27"/>
  <c r="BV35" i="27"/>
  <c r="BA35" i="27"/>
  <c r="AN35" i="27"/>
  <c r="X35" i="27"/>
  <c r="U35" i="27"/>
  <c r="R35" i="27"/>
  <c r="M35" i="27"/>
  <c r="CC10" i="27"/>
  <c r="CB10" i="27"/>
  <c r="CA10" i="27"/>
  <c r="BZ10" i="27"/>
  <c r="BY10" i="27"/>
  <c r="BX10" i="27"/>
  <c r="BW10" i="27"/>
  <c r="BV10" i="27"/>
  <c r="BR10" i="27"/>
  <c r="BA10" i="27"/>
  <c r="AN10" i="27"/>
  <c r="X10" i="27"/>
  <c r="U10" i="27"/>
  <c r="R10" i="27"/>
  <c r="M10" i="27"/>
  <c r="CC19" i="27"/>
  <c r="CB19" i="27"/>
  <c r="CA19" i="27"/>
  <c r="BZ19" i="27"/>
  <c r="BY19" i="27"/>
  <c r="BX19" i="27"/>
  <c r="BW19" i="27"/>
  <c r="BV19" i="27"/>
  <c r="BR19" i="27"/>
  <c r="BA19" i="27"/>
  <c r="AN19" i="27"/>
  <c r="X19" i="27"/>
  <c r="U19" i="27"/>
  <c r="R19" i="27"/>
  <c r="M19" i="27"/>
  <c r="CC53" i="27"/>
  <c r="CB53" i="27"/>
  <c r="CA53" i="27"/>
  <c r="BZ53" i="27"/>
  <c r="BY53" i="27"/>
  <c r="BX53" i="27"/>
  <c r="BW53" i="27"/>
  <c r="BV53" i="27"/>
  <c r="BR53" i="27"/>
  <c r="BA53" i="27"/>
  <c r="AN53" i="27"/>
  <c r="X53" i="27"/>
  <c r="U53" i="27"/>
  <c r="R53" i="27"/>
  <c r="M53" i="27"/>
  <c r="CC4" i="27"/>
  <c r="CB4" i="27"/>
  <c r="CA4" i="27"/>
  <c r="BZ4" i="27"/>
  <c r="BY4" i="27"/>
  <c r="BX4" i="27"/>
  <c r="BW4" i="27"/>
  <c r="BV4" i="27"/>
  <c r="BR4" i="27"/>
  <c r="BA4" i="27"/>
  <c r="AN4" i="27"/>
  <c r="X4" i="27"/>
  <c r="U4" i="27"/>
  <c r="R4" i="27"/>
  <c r="M4" i="27"/>
  <c r="CC117" i="27"/>
  <c r="CB117" i="27"/>
  <c r="CA117" i="27"/>
  <c r="BZ117" i="27"/>
  <c r="BY117" i="27"/>
  <c r="BX117" i="27"/>
  <c r="BW117" i="27"/>
  <c r="BV117" i="27"/>
  <c r="BU117" i="27"/>
  <c r="BT117" i="27"/>
  <c r="BS117" i="27"/>
  <c r="BR117" i="27"/>
  <c r="BL117" i="27"/>
  <c r="AZ117" i="27"/>
  <c r="BA117" i="27" s="1"/>
  <c r="AY117" i="27"/>
  <c r="AW117" i="27"/>
  <c r="AN117" i="27"/>
  <c r="X117" i="27"/>
  <c r="U117" i="27"/>
  <c r="R117" i="27"/>
  <c r="M117" i="27"/>
  <c r="CC125" i="27"/>
  <c r="CB125" i="27"/>
  <c r="CA125" i="27"/>
  <c r="BZ125" i="27"/>
  <c r="BY125" i="27"/>
  <c r="BX125" i="27"/>
  <c r="BW125" i="27"/>
  <c r="BV125" i="27"/>
  <c r="BU125" i="27"/>
  <c r="BT125" i="27"/>
  <c r="BS125" i="27"/>
  <c r="BR125" i="27"/>
  <c r="BL125" i="27"/>
  <c r="AZ125" i="27"/>
  <c r="BA125" i="27" s="1"/>
  <c r="AY125" i="27"/>
  <c r="AW125" i="27"/>
  <c r="AN125" i="27"/>
  <c r="X125" i="27"/>
  <c r="U125" i="27"/>
  <c r="R125" i="27"/>
  <c r="M125" i="27"/>
  <c r="CC111" i="27"/>
  <c r="CB111" i="27"/>
  <c r="CA111" i="27"/>
  <c r="BZ111" i="27"/>
  <c r="BY111" i="27"/>
  <c r="BX111" i="27"/>
  <c r="BW111" i="27"/>
  <c r="BV111" i="27"/>
  <c r="BR111" i="27"/>
  <c r="BA111" i="27"/>
  <c r="AN111" i="27"/>
  <c r="X111" i="27"/>
  <c r="U111" i="27"/>
  <c r="R111" i="27"/>
  <c r="M111" i="27"/>
  <c r="CC5" i="27"/>
  <c r="CB5" i="27"/>
  <c r="CA5" i="27"/>
  <c r="BZ5" i="27"/>
  <c r="BY5" i="27"/>
  <c r="BX5" i="27"/>
  <c r="BW5" i="27"/>
  <c r="BV5" i="27"/>
  <c r="BU5" i="27"/>
  <c r="BT5" i="27"/>
  <c r="BS5" i="27"/>
  <c r="BL5" i="27"/>
  <c r="AZ5" i="27"/>
  <c r="BA5" i="27" s="1"/>
  <c r="AY5" i="27"/>
  <c r="AW5" i="27"/>
  <c r="AN5" i="27"/>
  <c r="X5" i="27"/>
  <c r="U5" i="27"/>
  <c r="R5" i="27"/>
  <c r="M5" i="27"/>
  <c r="CC113" i="27"/>
  <c r="CB113" i="27"/>
  <c r="CA113" i="27"/>
  <c r="BZ113" i="27"/>
  <c r="BY113" i="27"/>
  <c r="BX113" i="27"/>
  <c r="BW113" i="27"/>
  <c r="BV113" i="27"/>
  <c r="BU113" i="27"/>
  <c r="BS113" i="27"/>
  <c r="BR113" i="27"/>
  <c r="AZ113" i="27"/>
  <c r="BA113" i="27" s="1"/>
  <c r="AY113" i="27"/>
  <c r="AW113" i="27"/>
  <c r="AN113" i="27"/>
  <c r="X113" i="27"/>
  <c r="U113" i="27"/>
  <c r="R113" i="27"/>
  <c r="M113" i="27"/>
  <c r="CC25" i="27"/>
  <c r="CB25" i="27"/>
  <c r="CA25" i="27"/>
  <c r="BZ25" i="27"/>
  <c r="BY25" i="27"/>
  <c r="BX25" i="27"/>
  <c r="BW25" i="27"/>
  <c r="BV25" i="27"/>
  <c r="BU25" i="27"/>
  <c r="BT25" i="27"/>
  <c r="BS25" i="27"/>
  <c r="BL25" i="27"/>
  <c r="AZ25" i="27"/>
  <c r="BA25" i="27" s="1"/>
  <c r="AY25" i="27"/>
  <c r="AW25" i="27"/>
  <c r="AN25" i="27"/>
  <c r="X25" i="27"/>
  <c r="U25" i="27"/>
  <c r="R25" i="27"/>
  <c r="M25" i="27"/>
  <c r="CC13" i="27"/>
  <c r="CB13" i="27"/>
  <c r="CA13" i="27"/>
  <c r="BZ13" i="27"/>
  <c r="BY13" i="27"/>
  <c r="BX13" i="27"/>
  <c r="BW13" i="27"/>
  <c r="BV13" i="27"/>
  <c r="BU13" i="27"/>
  <c r="BT13" i="27"/>
  <c r="BS13" i="27"/>
  <c r="BL13" i="27"/>
  <c r="AZ13" i="27"/>
  <c r="BA13" i="27" s="1"/>
  <c r="AY13" i="27"/>
  <c r="AW13" i="27"/>
  <c r="AN13" i="27"/>
  <c r="X13" i="27"/>
  <c r="U13" i="27"/>
  <c r="R13" i="27"/>
  <c r="M13" i="27"/>
  <c r="CC27" i="27"/>
  <c r="CB27" i="27"/>
  <c r="CA27" i="27"/>
  <c r="BZ27" i="27"/>
  <c r="BY27" i="27"/>
  <c r="BX27" i="27"/>
  <c r="BW27" i="27"/>
  <c r="BV27" i="27"/>
  <c r="BU27" i="27"/>
  <c r="BT27" i="27"/>
  <c r="BS27" i="27"/>
  <c r="BR27" i="27"/>
  <c r="BL27" i="27"/>
  <c r="AZ27" i="27"/>
  <c r="BA27" i="27" s="1"/>
  <c r="AY27" i="27"/>
  <c r="AW27" i="27"/>
  <c r="AN27" i="27"/>
  <c r="X27" i="27"/>
  <c r="U27" i="27"/>
  <c r="R27" i="27"/>
  <c r="M27" i="27"/>
  <c r="CC109" i="27"/>
  <c r="CB109" i="27"/>
  <c r="CA109" i="27"/>
  <c r="BZ109" i="27"/>
  <c r="BY109" i="27"/>
  <c r="BX109" i="27"/>
  <c r="BW109" i="27"/>
  <c r="BV109" i="27"/>
  <c r="BT109" i="27"/>
  <c r="BS109" i="27"/>
  <c r="BR109" i="27"/>
  <c r="BL109" i="27"/>
  <c r="AZ109" i="27"/>
  <c r="BA109" i="27" s="1"/>
  <c r="AY109" i="27"/>
  <c r="AW109" i="27"/>
  <c r="AN109" i="27"/>
  <c r="X109" i="27"/>
  <c r="U109" i="27"/>
  <c r="R109" i="27"/>
  <c r="M109" i="27"/>
  <c r="CC91" i="27"/>
  <c r="CB91" i="27"/>
  <c r="CA91" i="27"/>
  <c r="BZ91" i="27"/>
  <c r="BY91" i="27"/>
  <c r="BX91" i="27"/>
  <c r="BW91" i="27"/>
  <c r="BV91" i="27"/>
  <c r="BU91" i="27"/>
  <c r="BT91" i="27"/>
  <c r="BS91" i="27"/>
  <c r="BR91" i="27"/>
  <c r="BL91" i="27"/>
  <c r="AZ91" i="27"/>
  <c r="BA91" i="27" s="1"/>
  <c r="AY91" i="27"/>
  <c r="AW91" i="27"/>
  <c r="AN91" i="27"/>
  <c r="X91" i="27"/>
  <c r="U91" i="27"/>
  <c r="R91" i="27"/>
  <c r="M91" i="27"/>
  <c r="CC132" i="27"/>
  <c r="CB132" i="27"/>
  <c r="CA132" i="27"/>
  <c r="BZ132" i="27"/>
  <c r="BY132" i="27"/>
  <c r="BX132" i="27"/>
  <c r="BW132" i="27"/>
  <c r="BV132" i="27"/>
  <c r="BU132" i="27"/>
  <c r="BT132" i="27"/>
  <c r="BS132" i="27"/>
  <c r="BR132" i="27"/>
  <c r="BL132" i="27"/>
  <c r="AZ132" i="27"/>
  <c r="BA132" i="27" s="1"/>
  <c r="AY132" i="27"/>
  <c r="AW132" i="27"/>
  <c r="AN132" i="27"/>
  <c r="X132" i="27"/>
  <c r="U132" i="27"/>
  <c r="R132" i="27"/>
  <c r="M132" i="27"/>
  <c r="CC33" i="27"/>
  <c r="CB33" i="27"/>
  <c r="CA33" i="27"/>
  <c r="BZ33" i="27"/>
  <c r="BY33" i="27"/>
  <c r="BX33" i="27"/>
  <c r="BW33" i="27"/>
  <c r="BV33" i="27"/>
  <c r="BU33" i="27"/>
  <c r="BT33" i="27"/>
  <c r="BS33" i="27"/>
  <c r="BR33" i="27"/>
  <c r="BL33" i="27"/>
  <c r="AZ33" i="27"/>
  <c r="BA33" i="27" s="1"/>
  <c r="AY33" i="27"/>
  <c r="AW33" i="27"/>
  <c r="AN33" i="27"/>
  <c r="X33" i="27"/>
  <c r="U33" i="27"/>
  <c r="R33" i="27"/>
  <c r="M33" i="27"/>
  <c r="CC103" i="27"/>
  <c r="CB103" i="27"/>
  <c r="CA103" i="27"/>
  <c r="BZ103" i="27"/>
  <c r="BY103" i="27"/>
  <c r="BX103" i="27"/>
  <c r="BW103" i="27"/>
  <c r="BV103" i="27"/>
  <c r="BT103" i="27"/>
  <c r="BS103" i="27"/>
  <c r="BR103" i="27"/>
  <c r="BL103" i="27"/>
  <c r="AZ103" i="27"/>
  <c r="BA103" i="27" s="1"/>
  <c r="AY103" i="27"/>
  <c r="AW103" i="27"/>
  <c r="AN103" i="27"/>
  <c r="X103" i="27"/>
  <c r="U103" i="27"/>
  <c r="R103" i="27"/>
  <c r="M103" i="27"/>
  <c r="CC99" i="27"/>
  <c r="CB99" i="27"/>
  <c r="CA99" i="27"/>
  <c r="BZ99" i="27"/>
  <c r="BY99" i="27"/>
  <c r="BX99" i="27"/>
  <c r="BW99" i="27"/>
  <c r="BV99" i="27"/>
  <c r="BU99" i="27"/>
  <c r="BT99" i="27"/>
  <c r="BS99" i="27"/>
  <c r="BR99" i="27"/>
  <c r="BL99" i="27"/>
  <c r="AZ99" i="27"/>
  <c r="BA99" i="27" s="1"/>
  <c r="AY99" i="27"/>
  <c r="AW99" i="27"/>
  <c r="AN99" i="27"/>
  <c r="X99" i="27"/>
  <c r="U99" i="27"/>
  <c r="R99" i="27"/>
  <c r="M99" i="27"/>
  <c r="CC31" i="27"/>
  <c r="CB31" i="27"/>
  <c r="CA31" i="27"/>
  <c r="BZ31" i="27"/>
  <c r="BY31" i="27"/>
  <c r="BX31" i="27"/>
  <c r="BW31" i="27"/>
  <c r="BV31" i="27"/>
  <c r="BU31" i="27"/>
  <c r="BT31" i="27"/>
  <c r="BS31" i="27"/>
  <c r="BR31" i="27"/>
  <c r="BL31" i="27"/>
  <c r="AZ31" i="27"/>
  <c r="BA31" i="27" s="1"/>
  <c r="AY31" i="27"/>
  <c r="AW31" i="27"/>
  <c r="AN31" i="27"/>
  <c r="X31" i="27"/>
  <c r="U31" i="27"/>
  <c r="R31" i="27"/>
  <c r="M31" i="27"/>
  <c r="CC11" i="27"/>
  <c r="CB11" i="27"/>
  <c r="CA11" i="27"/>
  <c r="BZ11" i="27"/>
  <c r="BY11" i="27"/>
  <c r="BX11" i="27"/>
  <c r="BW11" i="27"/>
  <c r="BV11" i="27"/>
  <c r="BU11" i="27"/>
  <c r="BT11" i="27"/>
  <c r="BS11" i="27"/>
  <c r="BR11" i="27"/>
  <c r="BL11" i="27"/>
  <c r="AZ11" i="27"/>
  <c r="BA11" i="27" s="1"/>
  <c r="AY11" i="27"/>
  <c r="AW11" i="27"/>
  <c r="AN11" i="27"/>
  <c r="X11" i="27"/>
  <c r="U11" i="27"/>
  <c r="R11" i="27"/>
  <c r="M11" i="27"/>
  <c r="CC98" i="27"/>
  <c r="CB98" i="27"/>
  <c r="CA98" i="27"/>
  <c r="BZ98" i="27"/>
  <c r="BY98" i="27"/>
  <c r="BX98" i="27"/>
  <c r="BW98" i="27"/>
  <c r="BV98" i="27"/>
  <c r="BU98" i="27"/>
  <c r="BT98" i="27"/>
  <c r="BS98" i="27"/>
  <c r="BR98" i="27"/>
  <c r="BL98" i="27"/>
  <c r="AZ98" i="27"/>
  <c r="BA98" i="27" s="1"/>
  <c r="AY98" i="27"/>
  <c r="AW98" i="27"/>
  <c r="AN98" i="27"/>
  <c r="X98" i="27"/>
  <c r="U98" i="27"/>
  <c r="R98" i="27"/>
  <c r="M98" i="27"/>
  <c r="CC107" i="27"/>
  <c r="CB107" i="27"/>
  <c r="CA107" i="27"/>
  <c r="BZ107" i="27"/>
  <c r="BY107" i="27"/>
  <c r="BX107" i="27"/>
  <c r="BW107" i="27"/>
  <c r="BV107" i="27"/>
  <c r="BU107" i="27"/>
  <c r="BT107" i="27"/>
  <c r="BS107" i="27"/>
  <c r="BR107" i="27"/>
  <c r="BL107" i="27"/>
  <c r="AZ107" i="27"/>
  <c r="BA107" i="27" s="1"/>
  <c r="AY107" i="27"/>
  <c r="AW107" i="27"/>
  <c r="AN107" i="27"/>
  <c r="X107" i="27"/>
  <c r="U107" i="27"/>
  <c r="R107" i="27"/>
  <c r="M107" i="27"/>
  <c r="CC100" i="27"/>
  <c r="CB100" i="27"/>
  <c r="CA100" i="27"/>
  <c r="BZ100" i="27"/>
  <c r="BY100" i="27"/>
  <c r="BX100" i="27"/>
  <c r="BW100" i="27"/>
  <c r="BV100" i="27"/>
  <c r="BU100" i="27"/>
  <c r="BT100" i="27"/>
  <c r="BS100" i="27"/>
  <c r="BR100" i="27"/>
  <c r="AZ100" i="27"/>
  <c r="BA100" i="27" s="1"/>
  <c r="AY100" i="27"/>
  <c r="AW100" i="27"/>
  <c r="AN100" i="27"/>
  <c r="X100" i="27"/>
  <c r="U100" i="27"/>
  <c r="R100" i="27"/>
  <c r="M100" i="27"/>
  <c r="CC26" i="27"/>
  <c r="CB26" i="27"/>
  <c r="CA26" i="27"/>
  <c r="BZ26" i="27"/>
  <c r="BY26" i="27"/>
  <c r="BX26" i="27"/>
  <c r="BW26" i="27"/>
  <c r="BV26" i="27"/>
  <c r="BU26" i="27"/>
  <c r="BT26" i="27"/>
  <c r="BS26" i="27"/>
  <c r="BR26" i="27"/>
  <c r="BL26" i="27"/>
  <c r="AZ26" i="27"/>
  <c r="BA26" i="27" s="1"/>
  <c r="AY26" i="27"/>
  <c r="AW26" i="27"/>
  <c r="AN26" i="27"/>
  <c r="X26" i="27"/>
  <c r="U26" i="27"/>
  <c r="R26" i="27"/>
  <c r="M26" i="27"/>
  <c r="CC88" i="27"/>
  <c r="CB88" i="27"/>
  <c r="CA88" i="27"/>
  <c r="BZ88" i="27"/>
  <c r="BY88" i="27"/>
  <c r="BX88" i="27"/>
  <c r="BW88" i="27"/>
  <c r="BV88" i="27"/>
  <c r="BU88" i="27"/>
  <c r="BT88" i="27"/>
  <c r="BS88" i="27"/>
  <c r="BR88" i="27"/>
  <c r="AZ88" i="27"/>
  <c r="BA88" i="27" s="1"/>
  <c r="AY88" i="27"/>
  <c r="AW88" i="27"/>
  <c r="AN88" i="27"/>
  <c r="X88" i="27"/>
  <c r="U88" i="27"/>
  <c r="R88" i="27"/>
  <c r="M88" i="27"/>
  <c r="CC24" i="27"/>
  <c r="CB24" i="27"/>
  <c r="CA24" i="27"/>
  <c r="BZ24" i="27"/>
  <c r="BY24" i="27"/>
  <c r="BX24" i="27"/>
  <c r="BW24" i="27"/>
  <c r="BV24" i="27"/>
  <c r="BU24" i="27"/>
  <c r="BT24" i="27"/>
  <c r="BS24" i="27"/>
  <c r="BR24" i="27"/>
  <c r="BL24" i="27"/>
  <c r="AZ24" i="27"/>
  <c r="BA24" i="27" s="1"/>
  <c r="AY24" i="27"/>
  <c r="AW24" i="27"/>
  <c r="AN24" i="27"/>
  <c r="X24" i="27"/>
  <c r="U24" i="27"/>
  <c r="R24" i="27"/>
  <c r="M24" i="27"/>
  <c r="CC38" i="27"/>
  <c r="CB38" i="27"/>
  <c r="CA38" i="27"/>
  <c r="BZ38" i="27"/>
  <c r="BY38" i="27"/>
  <c r="BX38" i="27"/>
  <c r="BW38" i="27"/>
  <c r="BV38" i="27"/>
  <c r="BU38" i="27"/>
  <c r="BT38" i="27"/>
  <c r="BS38" i="27"/>
  <c r="BR38" i="27"/>
  <c r="BL38" i="27"/>
  <c r="AZ38" i="27"/>
  <c r="BA38" i="27" s="1"/>
  <c r="AY38" i="27"/>
  <c r="AW38" i="27"/>
  <c r="AN38" i="27"/>
  <c r="X38" i="27"/>
  <c r="U38" i="27"/>
  <c r="R38" i="27"/>
  <c r="M38" i="27"/>
  <c r="CC67" i="27"/>
  <c r="CB67" i="27"/>
  <c r="CA67" i="27"/>
  <c r="BZ67" i="27"/>
  <c r="BY67" i="27"/>
  <c r="BX67" i="27"/>
  <c r="BW67" i="27"/>
  <c r="BV67" i="27"/>
  <c r="BU67" i="27"/>
  <c r="BT67" i="27"/>
  <c r="BS67" i="27"/>
  <c r="BR67" i="27"/>
  <c r="BL67" i="27"/>
  <c r="AZ67" i="27"/>
  <c r="BA67" i="27" s="1"/>
  <c r="AY67" i="27"/>
  <c r="AW67" i="27"/>
  <c r="AN67" i="27"/>
  <c r="X67" i="27"/>
  <c r="U67" i="27"/>
  <c r="R67" i="27"/>
  <c r="M67" i="27"/>
  <c r="CC92" i="27"/>
  <c r="CB92" i="27"/>
  <c r="CA92" i="27"/>
  <c r="BZ92" i="27"/>
  <c r="BY92" i="27"/>
  <c r="BX92" i="27"/>
  <c r="BW92" i="27"/>
  <c r="BV92" i="27"/>
  <c r="BU92" i="27"/>
  <c r="BT92" i="27"/>
  <c r="BS92" i="27"/>
  <c r="BR92" i="27"/>
  <c r="BL92" i="27"/>
  <c r="AZ92" i="27"/>
  <c r="BA92" i="27" s="1"/>
  <c r="AY92" i="27"/>
  <c r="AW92" i="27"/>
  <c r="AN92" i="27"/>
  <c r="X92" i="27"/>
  <c r="U92" i="27"/>
  <c r="R92" i="27"/>
  <c r="M92" i="27"/>
  <c r="CC86" i="27"/>
  <c r="CB86" i="27"/>
  <c r="CA86" i="27"/>
  <c r="BZ86" i="27"/>
  <c r="BY86" i="27"/>
  <c r="BX86" i="27"/>
  <c r="BW86" i="27"/>
  <c r="BV86" i="27"/>
  <c r="BU86" i="27"/>
  <c r="BT86" i="27"/>
  <c r="BS86" i="27"/>
  <c r="BR86" i="27"/>
  <c r="BL86" i="27"/>
  <c r="AZ86" i="27"/>
  <c r="BA86" i="27" s="1"/>
  <c r="AY86" i="27"/>
  <c r="AW86" i="27"/>
  <c r="AN86" i="27"/>
  <c r="X86" i="27"/>
  <c r="U86" i="27"/>
  <c r="R86" i="27"/>
  <c r="M86" i="27"/>
  <c r="CC78" i="27"/>
  <c r="CB78" i="27"/>
  <c r="CA78" i="27"/>
  <c r="BZ78" i="27"/>
  <c r="BY78" i="27"/>
  <c r="BX78" i="27"/>
  <c r="BW78" i="27"/>
  <c r="BV78" i="27"/>
  <c r="BU78" i="27"/>
  <c r="BT78" i="27"/>
  <c r="BS78" i="27"/>
  <c r="BR78" i="27"/>
  <c r="BL78" i="27"/>
  <c r="AZ78" i="27"/>
  <c r="BA78" i="27" s="1"/>
  <c r="AY78" i="27"/>
  <c r="AW78" i="27"/>
  <c r="AN78" i="27"/>
  <c r="X78" i="27"/>
  <c r="U78" i="27"/>
  <c r="R78" i="27"/>
  <c r="M78" i="27"/>
  <c r="CC89" i="27"/>
  <c r="CB89" i="27"/>
  <c r="CA89" i="27"/>
  <c r="BZ89" i="27"/>
  <c r="BY89" i="27"/>
  <c r="BX89" i="27"/>
  <c r="BW89" i="27"/>
  <c r="BV89" i="27"/>
  <c r="BU89" i="27"/>
  <c r="BT89" i="27"/>
  <c r="BS89" i="27"/>
  <c r="BR89" i="27"/>
  <c r="BL89" i="27"/>
  <c r="AZ89" i="27"/>
  <c r="BA89" i="27" s="1"/>
  <c r="AY89" i="27"/>
  <c r="AW89" i="27"/>
  <c r="AN89" i="27"/>
  <c r="X89" i="27"/>
  <c r="U89" i="27"/>
  <c r="R89" i="27"/>
  <c r="M89" i="27"/>
  <c r="CC119" i="27"/>
  <c r="CB119" i="27"/>
  <c r="CA119" i="27"/>
  <c r="BZ119" i="27"/>
  <c r="BY119" i="27"/>
  <c r="BX119" i="27"/>
  <c r="BW119" i="27"/>
  <c r="BV119" i="27"/>
  <c r="BU119" i="27"/>
  <c r="BT119" i="27"/>
  <c r="BS119" i="27"/>
  <c r="BR119" i="27"/>
  <c r="AZ119" i="27"/>
  <c r="BA119" i="27" s="1"/>
  <c r="AY119" i="27"/>
  <c r="AW119" i="27"/>
  <c r="AN119" i="27"/>
  <c r="X119" i="27"/>
  <c r="U119" i="27"/>
  <c r="R119" i="27"/>
  <c r="M119" i="27"/>
  <c r="CC93" i="27"/>
  <c r="CB93" i="27"/>
  <c r="CA93" i="27"/>
  <c r="BZ93" i="27"/>
  <c r="BY93" i="27"/>
  <c r="BX93" i="27"/>
  <c r="BW93" i="27"/>
  <c r="BV93" i="27"/>
  <c r="BU93" i="27"/>
  <c r="BT93" i="27"/>
  <c r="BS93" i="27"/>
  <c r="BR93" i="27"/>
  <c r="AZ93" i="27"/>
  <c r="BA93" i="27" s="1"/>
  <c r="AY93" i="27"/>
  <c r="AW93" i="27"/>
  <c r="AN93" i="27"/>
  <c r="X93" i="27"/>
  <c r="U93" i="27"/>
  <c r="R93" i="27"/>
  <c r="M93" i="27"/>
  <c r="CC97" i="27"/>
  <c r="CB97" i="27"/>
  <c r="CA97" i="27"/>
  <c r="BZ97" i="27"/>
  <c r="BY97" i="27"/>
  <c r="BX97" i="27"/>
  <c r="BW97" i="27"/>
  <c r="BV97" i="27"/>
  <c r="BU97" i="27"/>
  <c r="BT97" i="27"/>
  <c r="BS97" i="27"/>
  <c r="BR97" i="27"/>
  <c r="BL97" i="27"/>
  <c r="AZ97" i="27"/>
  <c r="BA97" i="27" s="1"/>
  <c r="AY97" i="27"/>
  <c r="AW97" i="27"/>
  <c r="AN97" i="27"/>
  <c r="X97" i="27"/>
  <c r="U97" i="27"/>
  <c r="R97" i="27"/>
  <c r="M97" i="27"/>
  <c r="CC85" i="27"/>
  <c r="CB85" i="27"/>
  <c r="CA85" i="27"/>
  <c r="BZ85" i="27"/>
  <c r="BY85" i="27"/>
  <c r="BX85" i="27"/>
  <c r="BW85" i="27"/>
  <c r="BV85" i="27"/>
  <c r="BU85" i="27"/>
  <c r="BT85" i="27"/>
  <c r="BS85" i="27"/>
  <c r="BR85" i="27"/>
  <c r="AZ85" i="27"/>
  <c r="BA85" i="27" s="1"/>
  <c r="AY85" i="27"/>
  <c r="AW85" i="27"/>
  <c r="AN85" i="27"/>
  <c r="X85" i="27"/>
  <c r="U85" i="27"/>
  <c r="R85" i="27"/>
  <c r="M85" i="27"/>
  <c r="CC63" i="27"/>
  <c r="CB63" i="27"/>
  <c r="CA63" i="27"/>
  <c r="BZ63" i="27"/>
  <c r="BY63" i="27"/>
  <c r="BX63" i="27"/>
  <c r="BW63" i="27"/>
  <c r="BV63" i="27"/>
  <c r="BU63" i="27"/>
  <c r="BT63" i="27"/>
  <c r="BS63" i="27"/>
  <c r="BR63" i="27"/>
  <c r="BL63" i="27"/>
  <c r="AZ63" i="27"/>
  <c r="BA63" i="27" s="1"/>
  <c r="AY63" i="27"/>
  <c r="AW63" i="27"/>
  <c r="AN63" i="27"/>
  <c r="X63" i="27"/>
  <c r="U63" i="27"/>
  <c r="R63" i="27"/>
  <c r="M63" i="27"/>
  <c r="CC118" i="27"/>
  <c r="CB118" i="27"/>
  <c r="CA118" i="27"/>
  <c r="BZ118" i="27"/>
  <c r="BY118" i="27"/>
  <c r="BX118" i="27"/>
  <c r="BW118" i="27"/>
  <c r="BV118" i="27"/>
  <c r="BU118" i="27"/>
  <c r="BT118" i="27"/>
  <c r="BS118" i="27"/>
  <c r="BR118" i="27"/>
  <c r="BL118" i="27"/>
  <c r="AZ118" i="27"/>
  <c r="BA118" i="27" s="1"/>
  <c r="AY118" i="27"/>
  <c r="AW118" i="27"/>
  <c r="AN118" i="27"/>
  <c r="X118" i="27"/>
  <c r="U118" i="27"/>
  <c r="R118" i="27"/>
  <c r="M118" i="27"/>
  <c r="CC82" i="27"/>
  <c r="CB82" i="27"/>
  <c r="CA82" i="27"/>
  <c r="BZ82" i="27"/>
  <c r="BY82" i="27"/>
  <c r="BX82" i="27"/>
  <c r="BW82" i="27"/>
  <c r="BV82" i="27"/>
  <c r="BU82" i="27"/>
  <c r="BT82" i="27"/>
  <c r="BS82" i="27"/>
  <c r="BR82" i="27"/>
  <c r="BL82" i="27"/>
  <c r="AZ82" i="27"/>
  <c r="BA82" i="27" s="1"/>
  <c r="AY82" i="27"/>
  <c r="AW82" i="27"/>
  <c r="AN82" i="27"/>
  <c r="X82" i="27"/>
  <c r="U82" i="27"/>
  <c r="R82" i="27"/>
  <c r="M82" i="27"/>
  <c r="CC40" i="27"/>
  <c r="CB40" i="27"/>
  <c r="CA40" i="27"/>
  <c r="BZ40" i="27"/>
  <c r="BY40" i="27"/>
  <c r="BX40" i="27"/>
  <c r="BW40" i="27"/>
  <c r="BV40" i="27"/>
  <c r="BU40" i="27"/>
  <c r="BT40" i="27"/>
  <c r="BS40" i="27"/>
  <c r="BR40" i="27"/>
  <c r="BL40" i="27"/>
  <c r="AZ40" i="27"/>
  <c r="BA40" i="27" s="1"/>
  <c r="AY40" i="27"/>
  <c r="AW40" i="27"/>
  <c r="AN40" i="27"/>
  <c r="X40" i="27"/>
  <c r="U40" i="27"/>
  <c r="R40" i="27"/>
  <c r="M40" i="27"/>
  <c r="CC74" i="27"/>
  <c r="CB74" i="27"/>
  <c r="CA74" i="27"/>
  <c r="BZ74" i="27"/>
  <c r="BY74" i="27"/>
  <c r="BX74" i="27"/>
  <c r="BW74" i="27"/>
  <c r="BV74" i="27"/>
  <c r="BU74" i="27"/>
  <c r="BT74" i="27"/>
  <c r="BS74" i="27"/>
  <c r="BR74" i="27"/>
  <c r="BL74" i="27"/>
  <c r="AZ74" i="27"/>
  <c r="BA74" i="27" s="1"/>
  <c r="AY74" i="27"/>
  <c r="AW74" i="27"/>
  <c r="AN74" i="27"/>
  <c r="X74" i="27"/>
  <c r="U74" i="27"/>
  <c r="R74" i="27"/>
  <c r="M74" i="27"/>
  <c r="CC90" i="27"/>
  <c r="CB90" i="27"/>
  <c r="CA90" i="27"/>
  <c r="BZ90" i="27"/>
  <c r="BY90" i="27"/>
  <c r="BX90" i="27"/>
  <c r="BW90" i="27"/>
  <c r="BV90" i="27"/>
  <c r="BU90" i="27"/>
  <c r="BT90" i="27"/>
  <c r="BS90" i="27"/>
  <c r="BR90" i="27"/>
  <c r="BL90" i="27"/>
  <c r="AZ90" i="27"/>
  <c r="BA90" i="27" s="1"/>
  <c r="AY90" i="27"/>
  <c r="AW90" i="27"/>
  <c r="AN90" i="27"/>
  <c r="X90" i="27"/>
  <c r="U90" i="27"/>
  <c r="R90" i="27"/>
  <c r="M90" i="27"/>
  <c r="CC83" i="27"/>
  <c r="CB83" i="27"/>
  <c r="CA83" i="27"/>
  <c r="BZ83" i="27"/>
  <c r="BY83" i="27"/>
  <c r="BX83" i="27"/>
  <c r="BW83" i="27"/>
  <c r="BV83" i="27"/>
  <c r="BU83" i="27"/>
  <c r="BT83" i="27"/>
  <c r="BS83" i="27"/>
  <c r="BR83" i="27"/>
  <c r="BL83" i="27"/>
  <c r="AZ83" i="27"/>
  <c r="BA83" i="27" s="1"/>
  <c r="AY83" i="27"/>
  <c r="AW83" i="27"/>
  <c r="AN83" i="27"/>
  <c r="X83" i="27"/>
  <c r="U83" i="27"/>
  <c r="R83" i="27"/>
  <c r="M83" i="27"/>
  <c r="CC80" i="27"/>
  <c r="CB80" i="27"/>
  <c r="CA80" i="27"/>
  <c r="BZ80" i="27"/>
  <c r="BY80" i="27"/>
  <c r="BX80" i="27"/>
  <c r="BW80" i="27"/>
  <c r="BV80" i="27"/>
  <c r="BU80" i="27"/>
  <c r="BT80" i="27"/>
  <c r="BS80" i="27"/>
  <c r="BR80" i="27"/>
  <c r="BL80" i="27"/>
  <c r="AZ80" i="27"/>
  <c r="BA80" i="27" s="1"/>
  <c r="AY80" i="27"/>
  <c r="AW80" i="27"/>
  <c r="AN80" i="27"/>
  <c r="X80" i="27"/>
  <c r="U80" i="27"/>
  <c r="R80" i="27"/>
  <c r="M80" i="27"/>
  <c r="CC84" i="27"/>
  <c r="CB84" i="27"/>
  <c r="CA84" i="27"/>
  <c r="BZ84" i="27"/>
  <c r="BY84" i="27"/>
  <c r="BX84" i="27"/>
  <c r="BW84" i="27"/>
  <c r="BV84" i="27"/>
  <c r="BU84" i="27"/>
  <c r="BT84" i="27"/>
  <c r="BS84" i="27"/>
  <c r="BR84" i="27"/>
  <c r="BL84" i="27"/>
  <c r="AZ84" i="27"/>
  <c r="BA84" i="27" s="1"/>
  <c r="AY84" i="27"/>
  <c r="AW84" i="27"/>
  <c r="AN84" i="27"/>
  <c r="X84" i="27"/>
  <c r="U84" i="27"/>
  <c r="R84" i="27"/>
  <c r="M84" i="27"/>
  <c r="CC22" i="27"/>
  <c r="CB22" i="27"/>
  <c r="CA22" i="27"/>
  <c r="BZ22" i="27"/>
  <c r="BY22" i="27"/>
  <c r="BX22" i="27"/>
  <c r="BW22" i="27"/>
  <c r="BV22" i="27"/>
  <c r="BU22" i="27"/>
  <c r="BT22" i="27"/>
  <c r="BS22" i="27"/>
  <c r="BR22" i="27"/>
  <c r="BL22" i="27"/>
  <c r="AZ22" i="27"/>
  <c r="BA22" i="27" s="1"/>
  <c r="AY22" i="27"/>
  <c r="AW22" i="27"/>
  <c r="AN22" i="27"/>
  <c r="X22" i="27"/>
  <c r="U22" i="27"/>
  <c r="R22" i="27"/>
  <c r="M22" i="27"/>
  <c r="CC34" i="27"/>
  <c r="CB34" i="27"/>
  <c r="CA34" i="27"/>
  <c r="BZ34" i="27"/>
  <c r="BY34" i="27"/>
  <c r="BX34" i="27"/>
  <c r="BW34" i="27"/>
  <c r="BV34" i="27"/>
  <c r="BU34" i="27"/>
  <c r="BT34" i="27"/>
  <c r="BS34" i="27"/>
  <c r="BR34" i="27"/>
  <c r="BL34" i="27"/>
  <c r="AZ34" i="27"/>
  <c r="BA34" i="27" s="1"/>
  <c r="AY34" i="27"/>
  <c r="AW34" i="27"/>
  <c r="AN34" i="27"/>
  <c r="X34" i="27"/>
  <c r="U34" i="27"/>
  <c r="R34" i="27"/>
  <c r="M34" i="27"/>
  <c r="CC73" i="27"/>
  <c r="CB73" i="27"/>
  <c r="CA73" i="27"/>
  <c r="BZ73" i="27"/>
  <c r="BY73" i="27"/>
  <c r="BX73" i="27"/>
  <c r="BW73" i="27"/>
  <c r="BV73" i="27"/>
  <c r="BU73" i="27"/>
  <c r="BT73" i="27"/>
  <c r="BS73" i="27"/>
  <c r="BR73" i="27"/>
  <c r="BL73" i="27"/>
  <c r="AZ73" i="27"/>
  <c r="BA73" i="27" s="1"/>
  <c r="AY73" i="27"/>
  <c r="AW73" i="27"/>
  <c r="AN73" i="27"/>
  <c r="X73" i="27"/>
  <c r="U73" i="27"/>
  <c r="R73" i="27"/>
  <c r="M73" i="27"/>
  <c r="CC138" i="27"/>
  <c r="CB138" i="27"/>
  <c r="CA138" i="27"/>
  <c r="BZ138" i="27"/>
  <c r="BY138" i="27"/>
  <c r="BX138" i="27"/>
  <c r="BW138" i="27"/>
  <c r="BV138" i="27"/>
  <c r="BU138" i="27"/>
  <c r="BT138" i="27"/>
  <c r="BS138" i="27"/>
  <c r="BR138" i="27"/>
  <c r="BL138" i="27"/>
  <c r="AZ138" i="27"/>
  <c r="BA138" i="27" s="1"/>
  <c r="AY138" i="27"/>
  <c r="AW138" i="27"/>
  <c r="AN138" i="27"/>
  <c r="X138" i="27"/>
  <c r="U138" i="27"/>
  <c r="R138" i="27"/>
  <c r="M138" i="27"/>
  <c r="CC134" i="27"/>
  <c r="CB134" i="27"/>
  <c r="CA134" i="27"/>
  <c r="BZ134" i="27"/>
  <c r="BY134" i="27"/>
  <c r="BX134" i="27"/>
  <c r="BW134" i="27"/>
  <c r="BV134" i="27"/>
  <c r="BU134" i="27"/>
  <c r="BT134" i="27"/>
  <c r="BS134" i="27"/>
  <c r="BR134" i="27"/>
  <c r="BL134" i="27"/>
  <c r="AZ134" i="27"/>
  <c r="BA134" i="27" s="1"/>
  <c r="AY134" i="27"/>
  <c r="AW134" i="27"/>
  <c r="AN134" i="27"/>
  <c r="X134" i="27"/>
  <c r="U134" i="27"/>
  <c r="R134" i="27"/>
  <c r="M134" i="27"/>
  <c r="CC18" i="27"/>
  <c r="CB18" i="27"/>
  <c r="CA18" i="27"/>
  <c r="BZ18" i="27"/>
  <c r="BY18" i="27"/>
  <c r="BX18" i="27"/>
  <c r="BW18" i="27"/>
  <c r="BV18" i="27"/>
  <c r="BU18" i="27"/>
  <c r="BT18" i="27"/>
  <c r="BS18" i="27"/>
  <c r="BR18" i="27"/>
  <c r="BL18" i="27"/>
  <c r="AZ18" i="27"/>
  <c r="BA18" i="27" s="1"/>
  <c r="AY18" i="27"/>
  <c r="AW18" i="27"/>
  <c r="AN18" i="27"/>
  <c r="X18" i="27"/>
  <c r="U18" i="27"/>
  <c r="R18" i="27"/>
  <c r="M18" i="27"/>
  <c r="CC61" i="27"/>
  <c r="CB61" i="27"/>
  <c r="CA61" i="27"/>
  <c r="BZ61" i="27"/>
  <c r="BY61" i="27"/>
  <c r="BX61" i="27"/>
  <c r="BW61" i="27"/>
  <c r="BV61" i="27"/>
  <c r="BU61" i="27"/>
  <c r="BT61" i="27"/>
  <c r="BS61" i="27"/>
  <c r="BR61" i="27"/>
  <c r="AZ61" i="27"/>
  <c r="BA61" i="27" s="1"/>
  <c r="AY61" i="27"/>
  <c r="AW61" i="27"/>
  <c r="AN61" i="27"/>
  <c r="X61" i="27"/>
  <c r="U61" i="27"/>
  <c r="R61" i="27"/>
  <c r="M61" i="27"/>
  <c r="CC60" i="27"/>
  <c r="CB60" i="27"/>
  <c r="CA60" i="27"/>
  <c r="BZ60" i="27"/>
  <c r="BY60" i="27"/>
  <c r="BX60" i="27"/>
  <c r="BW60" i="27"/>
  <c r="BV60" i="27"/>
  <c r="BU60" i="27"/>
  <c r="BT60" i="27"/>
  <c r="BS60" i="27"/>
  <c r="BR60" i="27"/>
  <c r="BL60" i="27"/>
  <c r="AZ60" i="27"/>
  <c r="BA60" i="27" s="1"/>
  <c r="AY60" i="27"/>
  <c r="AW60" i="27"/>
  <c r="AN60" i="27"/>
  <c r="X60" i="27"/>
  <c r="U60" i="27"/>
  <c r="R60" i="27"/>
  <c r="M60" i="27"/>
  <c r="CC55" i="27"/>
  <c r="CB55" i="27"/>
  <c r="CA55" i="27"/>
  <c r="BZ55" i="27"/>
  <c r="BY55" i="27"/>
  <c r="BX55" i="27"/>
  <c r="BW55" i="27"/>
  <c r="BV55" i="27"/>
  <c r="BU55" i="27"/>
  <c r="BT55" i="27"/>
  <c r="BS55" i="27"/>
  <c r="BR55" i="27"/>
  <c r="BL55" i="27"/>
  <c r="AZ55" i="27"/>
  <c r="BA55" i="27" s="1"/>
  <c r="AY55" i="27"/>
  <c r="AW55" i="27"/>
  <c r="AN55" i="27"/>
  <c r="X55" i="27"/>
  <c r="U55" i="27"/>
  <c r="R55" i="27"/>
  <c r="M55" i="27"/>
  <c r="CC59" i="27"/>
  <c r="CB59" i="27"/>
  <c r="CA59" i="27"/>
  <c r="BZ59" i="27"/>
  <c r="BY59" i="27"/>
  <c r="BX59" i="27"/>
  <c r="BW59" i="27"/>
  <c r="BV59" i="27"/>
  <c r="BU59" i="27"/>
  <c r="BT59" i="27"/>
  <c r="BS59" i="27"/>
  <c r="BR59" i="27"/>
  <c r="BL59" i="27"/>
  <c r="AZ59" i="27"/>
  <c r="BA59" i="27" s="1"/>
  <c r="AY59" i="27"/>
  <c r="AW59" i="27"/>
  <c r="AN59" i="27"/>
  <c r="X59" i="27"/>
  <c r="U59" i="27"/>
  <c r="R59" i="27"/>
  <c r="M59" i="27"/>
  <c r="CC57" i="27"/>
  <c r="CB57" i="27"/>
  <c r="CA57" i="27"/>
  <c r="BZ57" i="27"/>
  <c r="BY57" i="27"/>
  <c r="BX57" i="27"/>
  <c r="BW57" i="27"/>
  <c r="BV57" i="27"/>
  <c r="BU57" i="27"/>
  <c r="BT57" i="27"/>
  <c r="BS57" i="27"/>
  <c r="BR57" i="27"/>
  <c r="BL57" i="27"/>
  <c r="AZ57" i="27"/>
  <c r="BA57" i="27" s="1"/>
  <c r="AY57" i="27"/>
  <c r="AW57" i="27"/>
  <c r="AN57" i="27"/>
  <c r="X57" i="27"/>
  <c r="U57" i="27"/>
  <c r="R57" i="27"/>
  <c r="M57" i="27"/>
  <c r="CC54" i="27"/>
  <c r="CB54" i="27"/>
  <c r="CA54" i="27"/>
  <c r="BZ54" i="27"/>
  <c r="BY54" i="27"/>
  <c r="BX54" i="27"/>
  <c r="BW54" i="27"/>
  <c r="BV54" i="27"/>
  <c r="BU54" i="27"/>
  <c r="BT54" i="27"/>
  <c r="BS54" i="27"/>
  <c r="BR54" i="27"/>
  <c r="BL54" i="27"/>
  <c r="AZ54" i="27"/>
  <c r="BA54" i="27" s="1"/>
  <c r="AY54" i="27"/>
  <c r="AW54" i="27"/>
  <c r="AN54" i="27"/>
  <c r="X54" i="27"/>
  <c r="U54" i="27"/>
  <c r="R54" i="27"/>
  <c r="M54" i="27"/>
  <c r="CC3" i="27"/>
  <c r="CB3" i="27"/>
  <c r="CA3" i="27"/>
  <c r="BZ3" i="27"/>
  <c r="BY3" i="27"/>
  <c r="BX3" i="27"/>
  <c r="BW3" i="27"/>
  <c r="BV3" i="27"/>
  <c r="BU3" i="27"/>
  <c r="BT3" i="27"/>
  <c r="BS3" i="27"/>
  <c r="BR3" i="27"/>
  <c r="AZ3" i="27"/>
  <c r="BA3" i="27" s="1"/>
  <c r="AY3" i="27"/>
  <c r="AW3" i="27"/>
  <c r="AN3" i="27"/>
  <c r="X3" i="27"/>
  <c r="U3" i="27"/>
  <c r="R3" i="27"/>
  <c r="M3" i="27"/>
  <c r="CC7" i="27"/>
  <c r="CB7" i="27"/>
  <c r="CA7" i="27"/>
  <c r="BZ7" i="27"/>
  <c r="BY7" i="27"/>
  <c r="BX7" i="27"/>
  <c r="BW7" i="27"/>
  <c r="BV7" i="27"/>
  <c r="BU7" i="27"/>
  <c r="BT7" i="27"/>
  <c r="BS7" i="27"/>
  <c r="BR7" i="27"/>
  <c r="BL7" i="27"/>
  <c r="AZ7" i="27"/>
  <c r="BA7" i="27" s="1"/>
  <c r="AY7" i="27"/>
  <c r="AW7" i="27"/>
  <c r="AN7" i="27"/>
  <c r="X7" i="27"/>
  <c r="U7" i="27"/>
  <c r="R7" i="27"/>
  <c r="M7" i="27"/>
  <c r="CC96" i="27"/>
  <c r="CB96" i="27"/>
  <c r="CA96" i="27"/>
  <c r="BZ96" i="27"/>
  <c r="BY96" i="27"/>
  <c r="BX96" i="27"/>
  <c r="BW96" i="27"/>
  <c r="BV96" i="27"/>
  <c r="BU96" i="27"/>
  <c r="BT96" i="27"/>
  <c r="BS96" i="27"/>
  <c r="BR96" i="27"/>
  <c r="BL96" i="27"/>
  <c r="AZ96" i="27"/>
  <c r="BA96" i="27" s="1"/>
  <c r="AY96" i="27"/>
  <c r="AW96" i="27"/>
  <c r="AN96" i="27"/>
  <c r="X96" i="27"/>
  <c r="U96" i="27"/>
  <c r="R96" i="27"/>
  <c r="M96" i="27"/>
  <c r="CC36" i="27"/>
  <c r="CB36" i="27"/>
  <c r="CA36" i="27"/>
  <c r="BZ36" i="27"/>
  <c r="BY36" i="27"/>
  <c r="BX36" i="27"/>
  <c r="BW36" i="27"/>
  <c r="BV36" i="27"/>
  <c r="BU36" i="27"/>
  <c r="BT36" i="27"/>
  <c r="BS36" i="27"/>
  <c r="BR36" i="27"/>
  <c r="BL36" i="27"/>
  <c r="AZ36" i="27"/>
  <c r="BA36" i="27" s="1"/>
  <c r="AY36" i="27"/>
  <c r="AW36" i="27"/>
  <c r="AN36" i="27"/>
  <c r="X36" i="27"/>
  <c r="U36" i="27"/>
  <c r="R36" i="27"/>
  <c r="M36" i="27"/>
  <c r="CC72" i="27"/>
  <c r="CB72" i="27"/>
  <c r="CA72" i="27"/>
  <c r="BZ72" i="27"/>
  <c r="BY72" i="27"/>
  <c r="BX72" i="27"/>
  <c r="BW72" i="27"/>
  <c r="BV72" i="27"/>
  <c r="BU72" i="27"/>
  <c r="BT72" i="27"/>
  <c r="BS72" i="27"/>
  <c r="BR72" i="27"/>
  <c r="BL72" i="27"/>
  <c r="AZ72" i="27"/>
  <c r="BA72" i="27" s="1"/>
  <c r="AY72" i="27"/>
  <c r="AW72" i="27"/>
  <c r="AN72" i="27"/>
  <c r="X72" i="27"/>
  <c r="U72" i="27"/>
  <c r="R72" i="27"/>
  <c r="M72" i="27"/>
  <c r="CC64" i="27"/>
  <c r="CB64" i="27"/>
  <c r="CA64" i="27"/>
  <c r="BZ64" i="27"/>
  <c r="BY64" i="27"/>
  <c r="BX64" i="27"/>
  <c r="BW64" i="27"/>
  <c r="BV64" i="27"/>
  <c r="BU64" i="27"/>
  <c r="BT64" i="27"/>
  <c r="BS64" i="27"/>
  <c r="BR64" i="27"/>
  <c r="BL64" i="27"/>
  <c r="AZ64" i="27"/>
  <c r="BA64" i="27" s="1"/>
  <c r="AY64" i="27"/>
  <c r="AW64" i="27"/>
  <c r="AN64" i="27"/>
  <c r="X64" i="27"/>
  <c r="U64" i="27"/>
  <c r="R64" i="27"/>
  <c r="M64" i="27"/>
  <c r="CC76" i="27"/>
  <c r="CB76" i="27"/>
  <c r="CA76" i="27"/>
  <c r="BZ76" i="27"/>
  <c r="BY76" i="27"/>
  <c r="BX76" i="27"/>
  <c r="BW76" i="27"/>
  <c r="BV76" i="27"/>
  <c r="BU76" i="27"/>
  <c r="BT76" i="27"/>
  <c r="BS76" i="27"/>
  <c r="BR76" i="27"/>
  <c r="BL76" i="27"/>
  <c r="AZ76" i="27"/>
  <c r="BA76" i="27" s="1"/>
  <c r="AY76" i="27"/>
  <c r="AW76" i="27"/>
  <c r="AN76" i="27"/>
  <c r="X76" i="27"/>
  <c r="U76" i="27"/>
  <c r="R76" i="27"/>
  <c r="M76" i="27"/>
  <c r="CC75" i="27"/>
  <c r="CB75" i="27"/>
  <c r="CA75" i="27"/>
  <c r="BZ75" i="27"/>
  <c r="BY75" i="27"/>
  <c r="BX75" i="27"/>
  <c r="BW75" i="27"/>
  <c r="BV75" i="27"/>
  <c r="BU75" i="27"/>
  <c r="BT75" i="27"/>
  <c r="BS75" i="27"/>
  <c r="BR75" i="27"/>
  <c r="AZ75" i="27"/>
  <c r="BA75" i="27" s="1"/>
  <c r="AY75" i="27"/>
  <c r="AW75" i="27"/>
  <c r="AN75" i="27"/>
  <c r="X75" i="27"/>
  <c r="U75" i="27"/>
  <c r="R75" i="27"/>
  <c r="M75" i="27"/>
  <c r="CC68" i="27"/>
  <c r="CB68" i="27"/>
  <c r="CA68" i="27"/>
  <c r="BZ68" i="27"/>
  <c r="BY68" i="27"/>
  <c r="BX68" i="27"/>
  <c r="BW68" i="27"/>
  <c r="BV68" i="27"/>
  <c r="BU68" i="27"/>
  <c r="BT68" i="27"/>
  <c r="BS68" i="27"/>
  <c r="BR68" i="27"/>
  <c r="BL68" i="27"/>
  <c r="AZ68" i="27"/>
  <c r="BA68" i="27" s="1"/>
  <c r="AY68" i="27"/>
  <c r="AW68" i="27"/>
  <c r="AN68" i="27"/>
  <c r="X68" i="27"/>
  <c r="U68" i="27"/>
  <c r="R68" i="27"/>
  <c r="M68" i="27"/>
  <c r="CC6" i="27"/>
  <c r="CB6" i="27"/>
  <c r="CA6" i="27"/>
  <c r="BZ6" i="27"/>
  <c r="BY6" i="27"/>
  <c r="BX6" i="27"/>
  <c r="BW6" i="27"/>
  <c r="BV6" i="27"/>
  <c r="BU6" i="27"/>
  <c r="BT6" i="27"/>
  <c r="BS6" i="27"/>
  <c r="BR6" i="27"/>
  <c r="BL6" i="27"/>
  <c r="AZ6" i="27"/>
  <c r="BA6" i="27" s="1"/>
  <c r="AY6" i="27"/>
  <c r="AW6" i="27"/>
  <c r="AN6" i="27"/>
  <c r="X6" i="27"/>
  <c r="U6" i="27"/>
  <c r="R6" i="27"/>
  <c r="M6" i="27"/>
  <c r="CC52" i="27"/>
  <c r="CB52" i="27"/>
  <c r="CA52" i="27"/>
  <c r="BZ52" i="27"/>
  <c r="BY52" i="27"/>
  <c r="BX52" i="27"/>
  <c r="BW52" i="27"/>
  <c r="BV52" i="27"/>
  <c r="BU52" i="27"/>
  <c r="BS52" i="27"/>
  <c r="BR52" i="27"/>
  <c r="BL52" i="27"/>
  <c r="AZ52" i="27"/>
  <c r="BA52" i="27" s="1"/>
  <c r="AY52" i="27"/>
  <c r="AW52" i="27"/>
  <c r="AN52" i="27"/>
  <c r="X52" i="27"/>
  <c r="U52" i="27"/>
  <c r="R52" i="27"/>
  <c r="M52" i="27"/>
  <c r="CC70" i="27"/>
  <c r="CB70" i="27"/>
  <c r="CA70" i="27"/>
  <c r="BZ70" i="27"/>
  <c r="BY70" i="27"/>
  <c r="BX70" i="27"/>
  <c r="BW70" i="27"/>
  <c r="BV70" i="27"/>
  <c r="BU70" i="27"/>
  <c r="BT70" i="27"/>
  <c r="BS70" i="27"/>
  <c r="BR70" i="27"/>
  <c r="BL70" i="27"/>
  <c r="AZ70" i="27"/>
  <c r="BA70" i="27" s="1"/>
  <c r="AY70" i="27"/>
  <c r="AW70" i="27"/>
  <c r="AN70" i="27"/>
  <c r="X70" i="27"/>
  <c r="U70" i="27"/>
  <c r="R70" i="27"/>
  <c r="M70" i="27"/>
  <c r="CC133" i="27"/>
  <c r="CB133" i="27"/>
  <c r="CA133" i="27"/>
  <c r="BZ133" i="27"/>
  <c r="BY133" i="27"/>
  <c r="BX133" i="27"/>
  <c r="BW133" i="27"/>
  <c r="BV133" i="27"/>
  <c r="BU133" i="27"/>
  <c r="BT133" i="27"/>
  <c r="BS133" i="27"/>
  <c r="BR133" i="27"/>
  <c r="AZ133" i="27"/>
  <c r="BA133" i="27" s="1"/>
  <c r="AY133" i="27"/>
  <c r="AW133" i="27"/>
  <c r="AN133" i="27"/>
  <c r="X133" i="27"/>
  <c r="U133" i="27"/>
  <c r="R133" i="27"/>
  <c r="M133" i="27"/>
  <c r="CC51" i="27"/>
  <c r="CB51" i="27"/>
  <c r="CA51" i="27"/>
  <c r="BZ51" i="27"/>
  <c r="BY51" i="27"/>
  <c r="BX51" i="27"/>
  <c r="BW51" i="27"/>
  <c r="BV51" i="27"/>
  <c r="BU51" i="27"/>
  <c r="BT51" i="27"/>
  <c r="BS51" i="27"/>
  <c r="BR51" i="27"/>
  <c r="BL51" i="27"/>
  <c r="AZ51" i="27"/>
  <c r="BA51" i="27" s="1"/>
  <c r="AY51" i="27"/>
  <c r="AW51" i="27"/>
  <c r="AN51" i="27"/>
  <c r="X51" i="27"/>
  <c r="U51" i="27"/>
  <c r="R51" i="27"/>
  <c r="M51" i="27"/>
  <c r="CC50" i="27"/>
  <c r="CB50" i="27"/>
  <c r="CA50" i="27"/>
  <c r="BZ50" i="27"/>
  <c r="BY50" i="27"/>
  <c r="BX50" i="27"/>
  <c r="BW50" i="27"/>
  <c r="BV50" i="27"/>
  <c r="BU50" i="27"/>
  <c r="BT50" i="27"/>
  <c r="BS50" i="27"/>
  <c r="BR50" i="27"/>
  <c r="BL50" i="27"/>
  <c r="AZ50" i="27"/>
  <c r="BA50" i="27" s="1"/>
  <c r="AY50" i="27"/>
  <c r="AW50" i="27"/>
  <c r="AN50" i="27"/>
  <c r="X50" i="27"/>
  <c r="U50" i="27"/>
  <c r="R50" i="27"/>
  <c r="M50" i="27"/>
  <c r="CC115" i="27"/>
  <c r="CB115" i="27"/>
  <c r="CA115" i="27"/>
  <c r="BZ115" i="27"/>
  <c r="BY115" i="27"/>
  <c r="BX115" i="27"/>
  <c r="BW115" i="27"/>
  <c r="BV115" i="27"/>
  <c r="BU115" i="27"/>
  <c r="BT115" i="27"/>
  <c r="BS115" i="27"/>
  <c r="BR115" i="27"/>
  <c r="BL115" i="27"/>
  <c r="AZ115" i="27"/>
  <c r="BA115" i="27" s="1"/>
  <c r="AY115" i="27"/>
  <c r="AW115" i="27"/>
  <c r="AN115" i="27"/>
  <c r="X115" i="27"/>
  <c r="U115" i="27"/>
  <c r="R115" i="27"/>
  <c r="M115" i="27"/>
  <c r="CC69" i="27"/>
  <c r="CB69" i="27"/>
  <c r="CA69" i="27"/>
  <c r="BZ69" i="27"/>
  <c r="BY69" i="27"/>
  <c r="BX69" i="27"/>
  <c r="BW69" i="27"/>
  <c r="BV69" i="27"/>
  <c r="BU69" i="27"/>
  <c r="BT69" i="27"/>
  <c r="BS69" i="27"/>
  <c r="BR69" i="27"/>
  <c r="BL69" i="27"/>
  <c r="AZ69" i="27"/>
  <c r="BA69" i="27" s="1"/>
  <c r="AY69" i="27"/>
  <c r="AW69" i="27"/>
  <c r="AN69" i="27"/>
  <c r="X69" i="27"/>
  <c r="U69" i="27"/>
  <c r="R69" i="27"/>
  <c r="M69" i="27"/>
  <c r="CC47" i="27"/>
  <c r="CB47" i="27"/>
  <c r="CA47" i="27"/>
  <c r="BZ47" i="27"/>
  <c r="BY47" i="27"/>
  <c r="BX47" i="27"/>
  <c r="BW47" i="27"/>
  <c r="BV47" i="27"/>
  <c r="BU47" i="27"/>
  <c r="BT47" i="27"/>
  <c r="BS47" i="27"/>
  <c r="BR47" i="27"/>
  <c r="BL47" i="27"/>
  <c r="AZ47" i="27"/>
  <c r="BA47" i="27" s="1"/>
  <c r="AY47" i="27"/>
  <c r="AW47" i="27"/>
  <c r="AN47" i="27"/>
  <c r="X47" i="27"/>
  <c r="U47" i="27"/>
  <c r="R47" i="27"/>
  <c r="M47" i="27"/>
  <c r="CC46" i="27"/>
  <c r="CB46" i="27"/>
  <c r="CA46" i="27"/>
  <c r="BZ46" i="27"/>
  <c r="BY46" i="27"/>
  <c r="BX46" i="27"/>
  <c r="BW46" i="27"/>
  <c r="BV46" i="27"/>
  <c r="BU46" i="27"/>
  <c r="BT46" i="27"/>
  <c r="BS46" i="27"/>
  <c r="BR46" i="27"/>
  <c r="BL46" i="27"/>
  <c r="AZ46" i="27"/>
  <c r="BA46" i="27" s="1"/>
  <c r="AY46" i="27"/>
  <c r="AW46" i="27"/>
  <c r="AN46" i="27"/>
  <c r="X46" i="27"/>
  <c r="U46" i="27"/>
  <c r="R46" i="27"/>
  <c r="M46" i="27"/>
  <c r="CC65" i="27"/>
  <c r="CB65" i="27"/>
  <c r="CA65" i="27"/>
  <c r="BZ65" i="27"/>
  <c r="BY65" i="27"/>
  <c r="BX65" i="27"/>
  <c r="BW65" i="27"/>
  <c r="BV65" i="27"/>
  <c r="BU65" i="27"/>
  <c r="BT65" i="27"/>
  <c r="BS65" i="27"/>
  <c r="BR65" i="27"/>
  <c r="AZ65" i="27"/>
  <c r="BA65" i="27" s="1"/>
  <c r="AY65" i="27"/>
  <c r="AW65" i="27"/>
  <c r="AN65" i="27"/>
  <c r="X65" i="27"/>
  <c r="U65" i="27"/>
  <c r="R65" i="27"/>
  <c r="M65" i="27"/>
  <c r="CC62" i="27"/>
  <c r="CB62" i="27"/>
  <c r="CA62" i="27"/>
  <c r="BZ62" i="27"/>
  <c r="BY62" i="27"/>
  <c r="BX62" i="27"/>
  <c r="BW62" i="27"/>
  <c r="BV62" i="27"/>
  <c r="BU62" i="27"/>
  <c r="BT62" i="27"/>
  <c r="BS62" i="27"/>
  <c r="BR62" i="27"/>
  <c r="BL62" i="27"/>
  <c r="AZ62" i="27"/>
  <c r="BA62" i="27" s="1"/>
  <c r="AY62" i="27"/>
  <c r="AW62" i="27"/>
  <c r="AN62" i="27"/>
  <c r="X62" i="27"/>
  <c r="U62" i="27"/>
  <c r="R62" i="27"/>
  <c r="M62" i="27"/>
  <c r="CC116" i="27"/>
  <c r="CB116" i="27"/>
  <c r="CA116" i="27"/>
  <c r="BZ116" i="27"/>
  <c r="BY116" i="27"/>
  <c r="BX116" i="27"/>
  <c r="BW116" i="27"/>
  <c r="BV116" i="27"/>
  <c r="BU116" i="27"/>
  <c r="BT116" i="27"/>
  <c r="BS116" i="27"/>
  <c r="BR116" i="27"/>
  <c r="BL116" i="27"/>
  <c r="AZ116" i="27"/>
  <c r="BA116" i="27" s="1"/>
  <c r="AY116" i="27"/>
  <c r="AW116" i="27"/>
  <c r="AN116" i="27"/>
  <c r="X116" i="27"/>
  <c r="U116" i="27"/>
  <c r="R116" i="27"/>
  <c r="M116" i="27"/>
  <c r="CC114" i="27"/>
  <c r="CB114" i="27"/>
  <c r="CA114" i="27"/>
  <c r="BZ114" i="27"/>
  <c r="BY114" i="27"/>
  <c r="BX114" i="27"/>
  <c r="BW114" i="27"/>
  <c r="BV114" i="27"/>
  <c r="BU114" i="27"/>
  <c r="BT114" i="27"/>
  <c r="BS114" i="27"/>
  <c r="BR114" i="27"/>
  <c r="BL114" i="27"/>
  <c r="AZ114" i="27"/>
  <c r="BA114" i="27" s="1"/>
  <c r="AY114" i="27"/>
  <c r="AW114" i="27"/>
  <c r="AN114" i="27"/>
  <c r="X114" i="27"/>
  <c r="U114" i="27"/>
  <c r="R114" i="27"/>
  <c r="M114" i="27"/>
  <c r="CC112" i="27"/>
  <c r="CB112" i="27"/>
  <c r="CA112" i="27"/>
  <c r="BZ112" i="27"/>
  <c r="BY112" i="27"/>
  <c r="BX112" i="27"/>
  <c r="BW112" i="27"/>
  <c r="BV112" i="27"/>
  <c r="BU112" i="27"/>
  <c r="BT112" i="27"/>
  <c r="BS112" i="27"/>
  <c r="BR112" i="27"/>
  <c r="BL112" i="27"/>
  <c r="AZ112" i="27"/>
  <c r="BA112" i="27" s="1"/>
  <c r="AY112" i="27"/>
  <c r="AW112" i="27"/>
  <c r="AN112" i="27"/>
  <c r="X112" i="27"/>
  <c r="U112" i="27"/>
  <c r="R112" i="27"/>
  <c r="M112" i="27"/>
  <c r="CC110" i="27"/>
  <c r="CB110" i="27"/>
  <c r="CA110" i="27"/>
  <c r="BZ110" i="27"/>
  <c r="BY110" i="27"/>
  <c r="BX110" i="27"/>
  <c r="BW110" i="27"/>
  <c r="BV110" i="27"/>
  <c r="BU110" i="27"/>
  <c r="BT110" i="27"/>
  <c r="BS110" i="27"/>
  <c r="BR110" i="27"/>
  <c r="BL110" i="27"/>
  <c r="AZ110" i="27"/>
  <c r="BA110" i="27" s="1"/>
  <c r="AY110" i="27"/>
  <c r="AW110" i="27"/>
  <c r="AN110" i="27"/>
  <c r="X110" i="27"/>
  <c r="U110" i="27"/>
  <c r="R110" i="27"/>
  <c r="M110" i="27"/>
  <c r="CC39" i="27"/>
  <c r="CB39" i="27"/>
  <c r="CA39" i="27"/>
  <c r="BZ39" i="27"/>
  <c r="BY39" i="27"/>
  <c r="BX39" i="27"/>
  <c r="BW39" i="27"/>
  <c r="BV39" i="27"/>
  <c r="BU39" i="27"/>
  <c r="BT39" i="27"/>
  <c r="BS39" i="27"/>
  <c r="BR39" i="27"/>
  <c r="BL39" i="27"/>
  <c r="AZ39" i="27"/>
  <c r="BA39" i="27" s="1"/>
  <c r="AY39" i="27"/>
  <c r="AW39" i="27"/>
  <c r="AN39" i="27"/>
  <c r="X39" i="27"/>
  <c r="U39" i="27"/>
  <c r="R39" i="27"/>
  <c r="M39" i="27"/>
  <c r="CC43" i="27"/>
  <c r="CB43" i="27"/>
  <c r="CA43" i="27"/>
  <c r="BZ43" i="27"/>
  <c r="BY43" i="27"/>
  <c r="BX43" i="27"/>
  <c r="BW43" i="27"/>
  <c r="BV43" i="27"/>
  <c r="BU43" i="27"/>
  <c r="BT43" i="27"/>
  <c r="BS43" i="27"/>
  <c r="BR43" i="27"/>
  <c r="BL43" i="27"/>
  <c r="AZ43" i="27"/>
  <c r="BA43" i="27" s="1"/>
  <c r="AY43" i="27"/>
  <c r="AW43" i="27"/>
  <c r="AN43" i="27"/>
  <c r="X43" i="27"/>
  <c r="U43" i="27"/>
  <c r="R43" i="27"/>
  <c r="M43" i="27"/>
  <c r="CC44" i="27"/>
  <c r="CB44" i="27"/>
  <c r="CA44" i="27"/>
  <c r="BZ44" i="27"/>
  <c r="BY44" i="27"/>
  <c r="BX44" i="27"/>
  <c r="BW44" i="27"/>
  <c r="BV44" i="27"/>
  <c r="BU44" i="27"/>
  <c r="BT44" i="27"/>
  <c r="BS44" i="27"/>
  <c r="BR44" i="27"/>
  <c r="BL44" i="27"/>
  <c r="AZ44" i="27"/>
  <c r="BA44" i="27" s="1"/>
  <c r="AY44" i="27"/>
  <c r="AW44" i="27"/>
  <c r="AN44" i="27"/>
  <c r="X44" i="27"/>
  <c r="U44" i="27"/>
  <c r="R44" i="27"/>
  <c r="M44" i="27"/>
  <c r="CC32" i="27"/>
  <c r="CB32" i="27"/>
  <c r="CA32" i="27"/>
  <c r="BZ32" i="27"/>
  <c r="BY32" i="27"/>
  <c r="BX32" i="27"/>
  <c r="BW32" i="27"/>
  <c r="BV32" i="27"/>
  <c r="BU32" i="27"/>
  <c r="BT32" i="27"/>
  <c r="BS32" i="27"/>
  <c r="BR32" i="27"/>
  <c r="BL32" i="27"/>
  <c r="AZ32" i="27"/>
  <c r="BA32" i="27" s="1"/>
  <c r="AY32" i="27"/>
  <c r="AW32" i="27"/>
  <c r="AN32" i="27"/>
  <c r="X32" i="27"/>
  <c r="U32" i="27"/>
  <c r="R32" i="27"/>
  <c r="M32" i="27"/>
  <c r="CC29" i="27"/>
  <c r="CB29" i="27"/>
  <c r="CA29" i="27"/>
  <c r="BZ29" i="27"/>
  <c r="BY29" i="27"/>
  <c r="BX29" i="27"/>
  <c r="BW29" i="27"/>
  <c r="BV29" i="27"/>
  <c r="BU29" i="27"/>
  <c r="BT29" i="27"/>
  <c r="BS29" i="27"/>
  <c r="BR29" i="27"/>
  <c r="BL29" i="27"/>
  <c r="AZ29" i="27"/>
  <c r="BA29" i="27" s="1"/>
  <c r="AY29" i="27"/>
  <c r="AW29" i="27"/>
  <c r="AN29" i="27"/>
  <c r="X29" i="27"/>
  <c r="U29" i="27"/>
  <c r="R29" i="27"/>
  <c r="M29" i="27"/>
  <c r="CC30" i="27"/>
  <c r="CB30" i="27"/>
  <c r="CA30" i="27"/>
  <c r="BZ30" i="27"/>
  <c r="BY30" i="27"/>
  <c r="BX30" i="27"/>
  <c r="BW30" i="27"/>
  <c r="BV30" i="27"/>
  <c r="BU30" i="27"/>
  <c r="BT30" i="27"/>
  <c r="BS30" i="27"/>
  <c r="BR30" i="27"/>
  <c r="BL30" i="27"/>
  <c r="AZ30" i="27"/>
  <c r="BA30" i="27" s="1"/>
  <c r="AY30" i="27"/>
  <c r="AW30" i="27"/>
  <c r="AN30" i="27"/>
  <c r="X30" i="27"/>
  <c r="U30" i="27"/>
  <c r="R30" i="27"/>
  <c r="M30" i="27"/>
  <c r="CC21" i="27"/>
  <c r="CB21" i="27"/>
  <c r="CA21" i="27"/>
  <c r="BZ21" i="27"/>
  <c r="BY21" i="27"/>
  <c r="BX21" i="27"/>
  <c r="BW21" i="27"/>
  <c r="BV21" i="27"/>
  <c r="BU21" i="27"/>
  <c r="BT21" i="27"/>
  <c r="BS21" i="27"/>
  <c r="BR21" i="27"/>
  <c r="AZ21" i="27"/>
  <c r="BA21" i="27" s="1"/>
  <c r="AY21" i="27"/>
  <c r="AW21" i="27"/>
  <c r="AN21" i="27"/>
  <c r="X21" i="27"/>
  <c r="U21" i="27"/>
  <c r="R21" i="27"/>
  <c r="CC16" i="27"/>
  <c r="CB16" i="27"/>
  <c r="CA16" i="27"/>
  <c r="BZ16" i="27"/>
  <c r="BY16" i="27"/>
  <c r="BX16" i="27"/>
  <c r="BW16" i="27"/>
  <c r="BV16" i="27"/>
  <c r="BU16" i="27"/>
  <c r="BT16" i="27"/>
  <c r="BS16" i="27"/>
  <c r="BR16" i="27"/>
  <c r="BL16" i="27"/>
  <c r="AZ16" i="27"/>
  <c r="BA16" i="27" s="1"/>
  <c r="AY16" i="27"/>
  <c r="AW16" i="27"/>
  <c r="AN16" i="27"/>
  <c r="X16" i="27"/>
  <c r="U16" i="27"/>
  <c r="R16" i="27"/>
  <c r="M16" i="27"/>
  <c r="CC66" i="27"/>
  <c r="CB66" i="27"/>
  <c r="CA66" i="27"/>
  <c r="BZ66" i="27"/>
  <c r="BY66" i="27"/>
  <c r="BX66" i="27"/>
  <c r="BW66" i="27"/>
  <c r="BV66" i="27"/>
  <c r="BU66" i="27"/>
  <c r="BT66" i="27"/>
  <c r="BS66" i="27"/>
  <c r="BR66" i="27"/>
  <c r="AZ66" i="27"/>
  <c r="BA66" i="27" s="1"/>
  <c r="AY66" i="27"/>
  <c r="AW66" i="27"/>
  <c r="AN66" i="27"/>
  <c r="X66" i="27"/>
  <c r="U66" i="27"/>
  <c r="R66" i="27"/>
  <c r="M66" i="27"/>
  <c r="CC87" i="27"/>
  <c r="CB87" i="27"/>
  <c r="CA87" i="27"/>
  <c r="BZ87" i="27"/>
  <c r="BY87" i="27"/>
  <c r="BX87" i="27"/>
  <c r="BW87" i="27"/>
  <c r="BV87" i="27"/>
  <c r="BU87" i="27"/>
  <c r="BT87" i="27"/>
  <c r="BS87" i="27"/>
  <c r="BR87" i="27"/>
  <c r="BL87" i="27"/>
  <c r="AZ87" i="27"/>
  <c r="BA87" i="27" s="1"/>
  <c r="AY87" i="27"/>
  <c r="AW87" i="27"/>
  <c r="AN87" i="27"/>
  <c r="X87" i="27"/>
  <c r="U87" i="27"/>
  <c r="R87" i="27"/>
  <c r="M87" i="27"/>
  <c r="CC106" i="27"/>
  <c r="CB106" i="27"/>
  <c r="CA106" i="27"/>
  <c r="BZ106" i="27"/>
  <c r="BY106" i="27"/>
  <c r="BX106" i="27"/>
  <c r="BW106" i="27"/>
  <c r="BV106" i="27"/>
  <c r="BU106" i="27"/>
  <c r="BT106" i="27"/>
  <c r="BS106" i="27"/>
  <c r="BR106" i="27"/>
  <c r="AZ106" i="27"/>
  <c r="BA106" i="27" s="1"/>
  <c r="AY106" i="27"/>
  <c r="AW106" i="27"/>
  <c r="AN106" i="27"/>
  <c r="X106" i="27"/>
  <c r="U106" i="27"/>
  <c r="R106" i="27"/>
  <c r="M106" i="27"/>
  <c r="CC123" i="27"/>
  <c r="CB123" i="27"/>
  <c r="CA123" i="27"/>
  <c r="BZ123" i="27"/>
  <c r="BY123" i="27"/>
  <c r="BX123" i="27"/>
  <c r="BW123" i="27"/>
  <c r="BV123" i="27"/>
  <c r="BU123" i="27"/>
  <c r="BT123" i="27"/>
  <c r="BS123" i="27"/>
  <c r="BR123" i="27"/>
  <c r="BL123" i="27"/>
  <c r="AZ123" i="27"/>
  <c r="BA123" i="27" s="1"/>
  <c r="AY123" i="27"/>
  <c r="AW123" i="27"/>
  <c r="AN123" i="27"/>
  <c r="X123" i="27"/>
  <c r="U123" i="27"/>
  <c r="R123" i="27"/>
  <c r="M123" i="27"/>
  <c r="CC56" i="27"/>
  <c r="CB56" i="27"/>
  <c r="CA56" i="27"/>
  <c r="BZ56" i="27"/>
  <c r="BY56" i="27"/>
  <c r="BX56" i="27"/>
  <c r="BW56" i="27"/>
  <c r="BV56" i="27"/>
  <c r="BU56" i="27"/>
  <c r="BT56" i="27"/>
  <c r="BS56" i="27"/>
  <c r="BR56" i="27"/>
  <c r="BL56" i="27"/>
  <c r="AZ56" i="27"/>
  <c r="BA56" i="27" s="1"/>
  <c r="AY56" i="27"/>
  <c r="AW56" i="27"/>
  <c r="AN56" i="27"/>
  <c r="X56" i="27"/>
  <c r="U56" i="27"/>
  <c r="R56" i="27"/>
  <c r="M56" i="27"/>
  <c r="CC127" i="27"/>
  <c r="CB127" i="27"/>
  <c r="CA127" i="27"/>
  <c r="BZ127" i="27"/>
  <c r="BY127" i="27"/>
  <c r="BX127" i="27"/>
  <c r="BW127" i="27"/>
  <c r="BV127" i="27"/>
  <c r="BU127" i="27"/>
  <c r="BT127" i="27"/>
  <c r="BS127" i="27"/>
  <c r="BR127" i="27"/>
  <c r="AZ127" i="27"/>
  <c r="BA127" i="27" s="1"/>
  <c r="AY127" i="27"/>
  <c r="AW127" i="27"/>
  <c r="AN127" i="27"/>
  <c r="X127" i="27"/>
  <c r="U127" i="27"/>
  <c r="R127" i="27"/>
  <c r="M127" i="27"/>
  <c r="CC108" i="27"/>
  <c r="CB108" i="27"/>
  <c r="CA108" i="27"/>
  <c r="BZ108" i="27"/>
  <c r="BY108" i="27"/>
  <c r="BX108" i="27"/>
  <c r="BW108" i="27"/>
  <c r="BV108" i="27"/>
  <c r="BU108" i="27"/>
  <c r="BT108" i="27"/>
  <c r="BS108" i="27"/>
  <c r="BR108" i="27"/>
  <c r="AZ108" i="27"/>
  <c r="BA108" i="27" s="1"/>
  <c r="AY108" i="27"/>
  <c r="AW108" i="27"/>
  <c r="AN108" i="27"/>
  <c r="X108" i="27"/>
  <c r="U108" i="27"/>
  <c r="R108" i="27"/>
  <c r="M108" i="27"/>
  <c r="CC104" i="27"/>
  <c r="CB104" i="27"/>
  <c r="CA104" i="27"/>
  <c r="BZ104" i="27"/>
  <c r="BY104" i="27"/>
  <c r="BX104" i="27"/>
  <c r="BW104" i="27"/>
  <c r="BV104" i="27"/>
  <c r="BU104" i="27"/>
  <c r="BT104" i="27"/>
  <c r="BS104" i="27"/>
  <c r="BR104" i="27"/>
  <c r="BL104" i="27"/>
  <c r="AZ104" i="27"/>
  <c r="BA104" i="27" s="1"/>
  <c r="AY104" i="27"/>
  <c r="AW104" i="27"/>
  <c r="AN104" i="27"/>
  <c r="X104" i="27"/>
  <c r="U104" i="27"/>
  <c r="R104" i="27"/>
  <c r="M104" i="27"/>
  <c r="CC17" i="27"/>
  <c r="CB17" i="27"/>
  <c r="CA17" i="27"/>
  <c r="BZ17" i="27"/>
  <c r="BY17" i="27"/>
  <c r="BX17" i="27"/>
  <c r="BW17" i="27"/>
  <c r="BV17" i="27"/>
  <c r="BU17" i="27"/>
  <c r="BT17" i="27"/>
  <c r="BS17" i="27"/>
  <c r="BR17" i="27"/>
  <c r="BL17" i="27"/>
  <c r="AZ17" i="27"/>
  <c r="BA17" i="27" s="1"/>
  <c r="AY17" i="27"/>
  <c r="AW17" i="27"/>
  <c r="AN17" i="27"/>
  <c r="X17" i="27"/>
  <c r="U17" i="27"/>
  <c r="R17" i="27"/>
  <c r="M17" i="27"/>
  <c r="CC94" i="27"/>
  <c r="CB94" i="27"/>
  <c r="CA94" i="27"/>
  <c r="BZ94" i="27"/>
  <c r="BY94" i="27"/>
  <c r="BX94" i="27"/>
  <c r="BW94" i="27"/>
  <c r="BV94" i="27"/>
  <c r="BU94" i="27"/>
  <c r="BT94" i="27"/>
  <c r="BS94" i="27"/>
  <c r="BR94" i="27"/>
  <c r="BL94" i="27"/>
  <c r="AZ94" i="27"/>
  <c r="BA94" i="27" s="1"/>
  <c r="AY94" i="27"/>
  <c r="AW94" i="27"/>
  <c r="AN94" i="27"/>
  <c r="X94" i="27"/>
  <c r="U94" i="27"/>
  <c r="R94" i="27"/>
  <c r="M94" i="27"/>
  <c r="CC23" i="27"/>
  <c r="CB23" i="27"/>
  <c r="CA23" i="27"/>
  <c r="BZ23" i="27"/>
  <c r="BY23" i="27"/>
  <c r="BX23" i="27"/>
  <c r="BW23" i="27"/>
  <c r="BV23" i="27"/>
  <c r="BU23" i="27"/>
  <c r="BT23" i="27"/>
  <c r="BS23" i="27"/>
  <c r="BR23" i="27"/>
  <c r="BL23" i="27"/>
  <c r="AZ23" i="27"/>
  <c r="BA23" i="27" s="1"/>
  <c r="AY23" i="27"/>
  <c r="AW23" i="27"/>
  <c r="AN23" i="27"/>
  <c r="X23" i="27"/>
  <c r="U23" i="27"/>
  <c r="R23" i="27"/>
  <c r="M23" i="27"/>
  <c r="CC41" i="27"/>
  <c r="CB41" i="27"/>
  <c r="CA41" i="27"/>
  <c r="BZ41" i="27"/>
  <c r="BY41" i="27"/>
  <c r="BX41" i="27"/>
  <c r="BW41" i="27"/>
  <c r="BV41" i="27"/>
  <c r="BU41" i="27"/>
  <c r="BT41" i="27"/>
  <c r="BS41" i="27"/>
  <c r="BR41" i="27"/>
  <c r="BL41" i="27"/>
  <c r="AZ41" i="27"/>
  <c r="BA41" i="27" s="1"/>
  <c r="AY41" i="27"/>
  <c r="AW41" i="27"/>
  <c r="AN41" i="27"/>
  <c r="X41" i="27"/>
  <c r="U41" i="27"/>
  <c r="R41" i="27"/>
  <c r="M41" i="27"/>
  <c r="CC121" i="27"/>
  <c r="CB121" i="27"/>
  <c r="CA121" i="27"/>
  <c r="BZ121" i="27"/>
  <c r="BY121" i="27"/>
  <c r="BX121" i="27"/>
  <c r="BW121" i="27"/>
  <c r="BV121" i="27"/>
  <c r="BU121" i="27"/>
  <c r="BT121" i="27"/>
  <c r="BS121" i="27"/>
  <c r="BR121" i="27"/>
  <c r="BL121" i="27"/>
  <c r="AZ121" i="27"/>
  <c r="BA121" i="27" s="1"/>
  <c r="AY121" i="27"/>
  <c r="AW121" i="27"/>
  <c r="AN121" i="27"/>
  <c r="X121" i="27"/>
  <c r="U121" i="27"/>
  <c r="R121" i="27"/>
  <c r="M121" i="27"/>
  <c r="CC120" i="27"/>
  <c r="CB120" i="27"/>
  <c r="CA120" i="27"/>
  <c r="BZ120" i="27"/>
  <c r="BY120" i="27"/>
  <c r="BX120" i="27"/>
  <c r="BW120" i="27"/>
  <c r="BV120" i="27"/>
  <c r="BU120" i="27"/>
  <c r="BT120" i="27"/>
  <c r="BS120" i="27"/>
  <c r="BR120" i="27"/>
  <c r="BL120" i="27"/>
  <c r="AZ120" i="27"/>
  <c r="BA120" i="27" s="1"/>
  <c r="AY120" i="27"/>
  <c r="AW120" i="27"/>
  <c r="AN120" i="27"/>
  <c r="X120" i="27"/>
  <c r="U120" i="27"/>
  <c r="R120" i="27"/>
  <c r="M120" i="27"/>
  <c r="CC9" i="27"/>
  <c r="CB9" i="27"/>
  <c r="CA9" i="27"/>
  <c r="BZ9" i="27"/>
  <c r="BY9" i="27"/>
  <c r="BX9" i="27"/>
  <c r="BW9" i="27"/>
  <c r="BV9" i="27"/>
  <c r="BR9" i="27"/>
  <c r="BA9" i="27"/>
  <c r="AN9" i="27"/>
  <c r="X9" i="27"/>
  <c r="U9" i="27"/>
  <c r="R9" i="27"/>
  <c r="M9" i="27"/>
  <c r="CC102" i="27"/>
  <c r="CB102" i="27"/>
  <c r="CA102" i="27"/>
  <c r="BZ102" i="27"/>
  <c r="BY102" i="27"/>
  <c r="BX102" i="27"/>
  <c r="BW102" i="27"/>
  <c r="BV102" i="27"/>
  <c r="BU102" i="27"/>
  <c r="BT102" i="27"/>
  <c r="BS102" i="27"/>
  <c r="BR102" i="27"/>
  <c r="BL102" i="27"/>
  <c r="AZ102" i="27"/>
  <c r="BA102" i="27" s="1"/>
  <c r="AY102" i="27"/>
  <c r="AW102" i="27"/>
  <c r="AN102" i="27"/>
  <c r="X102" i="27"/>
  <c r="U102" i="27"/>
  <c r="R102" i="27"/>
  <c r="M102" i="27"/>
  <c r="CC58" i="27"/>
  <c r="CB58" i="27"/>
  <c r="CA58" i="27"/>
  <c r="BZ58" i="27"/>
  <c r="BY58" i="27"/>
  <c r="BX58" i="27"/>
  <c r="BW58" i="27"/>
  <c r="BV58" i="27"/>
  <c r="BU58" i="27"/>
  <c r="BT58" i="27"/>
  <c r="BS58" i="27"/>
  <c r="BR58" i="27"/>
  <c r="BL58" i="27"/>
  <c r="AZ58" i="27"/>
  <c r="BA58" i="27" s="1"/>
  <c r="AY58" i="27"/>
  <c r="AW58" i="27"/>
  <c r="AN58" i="27"/>
  <c r="X58" i="27"/>
  <c r="U58" i="27"/>
  <c r="R58" i="27"/>
  <c r="M58" i="27"/>
  <c r="CC77" i="27"/>
  <c r="CB77" i="27"/>
  <c r="CA77" i="27"/>
  <c r="BZ77" i="27"/>
  <c r="BY77" i="27"/>
  <c r="BX77" i="27"/>
  <c r="BW77" i="27"/>
  <c r="BV77" i="27"/>
  <c r="BU77" i="27"/>
  <c r="BT77" i="27"/>
  <c r="BS77" i="27"/>
  <c r="BR77" i="27"/>
  <c r="AZ77" i="27"/>
  <c r="BA77" i="27" s="1"/>
  <c r="AY77" i="27"/>
  <c r="AW77" i="27"/>
  <c r="AN77" i="27"/>
  <c r="X77" i="27"/>
  <c r="U77" i="27"/>
  <c r="R77" i="27"/>
  <c r="M77" i="27"/>
  <c r="CC15" i="27"/>
  <c r="CB15" i="27"/>
  <c r="CA15" i="27"/>
  <c r="BZ15" i="27"/>
  <c r="BY15" i="27"/>
  <c r="BX15" i="27"/>
  <c r="BW15" i="27"/>
  <c r="BV15" i="27"/>
  <c r="BU15" i="27"/>
  <c r="BT15" i="27"/>
  <c r="BS15" i="27"/>
  <c r="BL15" i="27"/>
  <c r="AZ15" i="27"/>
  <c r="BA15" i="27" s="1"/>
  <c r="AY15" i="27"/>
  <c r="AW15" i="27"/>
  <c r="AN15" i="27"/>
  <c r="X15" i="27"/>
  <c r="U15" i="27"/>
  <c r="R15" i="27"/>
  <c r="M15" i="27"/>
  <c r="CC136" i="27"/>
  <c r="CB136" i="27"/>
  <c r="CA136" i="27"/>
  <c r="BZ136" i="27"/>
  <c r="BY136" i="27"/>
  <c r="BX136" i="27"/>
  <c r="BW136" i="27"/>
  <c r="BV136" i="27"/>
  <c r="BU136" i="27"/>
  <c r="BT136" i="27"/>
  <c r="BS136" i="27"/>
  <c r="BR136" i="27"/>
  <c r="AZ136" i="27"/>
  <c r="BA136" i="27" s="1"/>
  <c r="AY136" i="27"/>
  <c r="AW136" i="27"/>
  <c r="AN136" i="27"/>
  <c r="X136" i="27"/>
  <c r="U136" i="27"/>
  <c r="R136" i="27"/>
  <c r="M136" i="27"/>
  <c r="CC2" i="27"/>
  <c r="CB2" i="27"/>
  <c r="CA2" i="27"/>
  <c r="BZ2" i="27"/>
  <c r="BY2" i="27"/>
  <c r="BX2" i="27"/>
  <c r="BW2" i="27"/>
  <c r="BV2" i="27"/>
  <c r="BU2" i="27"/>
  <c r="BT2" i="27"/>
  <c r="BS2" i="27"/>
  <c r="BR2" i="27"/>
  <c r="BL2" i="27"/>
  <c r="AZ2" i="27"/>
  <c r="BA2" i="27" s="1"/>
  <c r="AY2" i="27"/>
  <c r="AW2" i="27"/>
  <c r="AN2" i="27"/>
  <c r="X2" i="27"/>
  <c r="U2" i="27"/>
  <c r="R2" i="27"/>
  <c r="M2" i="27"/>
  <c r="CC42" i="27"/>
  <c r="CB42" i="27"/>
  <c r="CA42" i="27"/>
  <c r="BZ42" i="27"/>
  <c r="BY42" i="27"/>
  <c r="BX42" i="27"/>
  <c r="BW42" i="27"/>
  <c r="BV42" i="27"/>
  <c r="BU42" i="27"/>
  <c r="BT42" i="27"/>
  <c r="BS42" i="27"/>
  <c r="BR42" i="27"/>
  <c r="AZ42" i="27"/>
  <c r="BA42" i="27" s="1"/>
  <c r="AY42" i="27"/>
  <c r="AW42" i="27"/>
  <c r="AN42" i="27"/>
  <c r="X42" i="27"/>
  <c r="U42" i="27"/>
  <c r="R42" i="27"/>
  <c r="M42" i="27"/>
  <c r="CC130" i="27"/>
  <c r="CB130" i="27"/>
  <c r="CA130" i="27"/>
  <c r="BZ130" i="27"/>
  <c r="BY130" i="27"/>
  <c r="BX130" i="27"/>
  <c r="BW130" i="27"/>
  <c r="BV130" i="27"/>
  <c r="BU130" i="27"/>
  <c r="BT130" i="27"/>
  <c r="BS130" i="27"/>
  <c r="BR130" i="27"/>
  <c r="BL130" i="27"/>
  <c r="AZ130" i="27"/>
  <c r="BA130" i="27" s="1"/>
  <c r="AY130" i="27"/>
  <c r="AW130" i="27"/>
  <c r="AN130" i="27"/>
  <c r="X130" i="27"/>
  <c r="U130" i="27"/>
  <c r="R130" i="27"/>
  <c r="M130" i="27"/>
  <c r="CC128" i="27"/>
  <c r="CB128" i="27"/>
  <c r="CA128" i="27"/>
  <c r="BZ128" i="27"/>
  <c r="BY128" i="27"/>
  <c r="BX128" i="27"/>
  <c r="BW128" i="27"/>
  <c r="BV128" i="27"/>
  <c r="BU128" i="27"/>
  <c r="BT128" i="27"/>
  <c r="BS128" i="27"/>
  <c r="BR128" i="27"/>
  <c r="BL128" i="27"/>
  <c r="AZ128" i="27"/>
  <c r="BA128" i="27" s="1"/>
  <c r="AY128" i="27"/>
  <c r="AW128" i="27"/>
  <c r="AN128" i="27"/>
  <c r="X128" i="27"/>
  <c r="U128" i="27"/>
  <c r="R128" i="27"/>
  <c r="M128" i="27"/>
  <c r="CC81" i="27"/>
  <c r="CB81" i="27"/>
  <c r="CA81" i="27"/>
  <c r="BZ81" i="27"/>
  <c r="BY81" i="27"/>
  <c r="BX81" i="27"/>
  <c r="BW81" i="27"/>
  <c r="BV81" i="27"/>
  <c r="BU81" i="27"/>
  <c r="BT81" i="27"/>
  <c r="BS81" i="27"/>
  <c r="BR81" i="27"/>
  <c r="BL81" i="27"/>
  <c r="AZ81" i="27"/>
  <c r="BA81" i="27" s="1"/>
  <c r="AY81" i="27"/>
  <c r="AW81" i="27"/>
  <c r="AN81" i="27"/>
  <c r="X81" i="27"/>
  <c r="U81" i="27"/>
  <c r="R81" i="27"/>
  <c r="M81" i="27"/>
  <c r="CC14" i="27"/>
  <c r="CB14" i="27"/>
  <c r="CA14" i="27"/>
  <c r="BZ14" i="27"/>
  <c r="BY14" i="27"/>
  <c r="BX14" i="27"/>
  <c r="BW14" i="27"/>
  <c r="BV14" i="27"/>
  <c r="BU14" i="27"/>
  <c r="BT14" i="27"/>
  <c r="BS14" i="27"/>
  <c r="BR14" i="27"/>
  <c r="BL14" i="27"/>
  <c r="AZ14" i="27"/>
  <c r="BA14" i="27" s="1"/>
  <c r="AY14" i="27"/>
  <c r="AW14" i="27"/>
  <c r="AN14" i="27"/>
  <c r="X14" i="27"/>
  <c r="U14" i="27"/>
  <c r="R14" i="27"/>
  <c r="M14" i="27"/>
  <c r="CC79" i="27"/>
  <c r="CB79" i="27"/>
  <c r="CA79" i="27"/>
  <c r="BZ79" i="27"/>
  <c r="BY79" i="27"/>
  <c r="BX79" i="27"/>
  <c r="BW79" i="27"/>
  <c r="BV79" i="27"/>
  <c r="BU79" i="27"/>
  <c r="BT79" i="27"/>
  <c r="BS79" i="27"/>
  <c r="BR79" i="27"/>
  <c r="BL79" i="27"/>
  <c r="AZ79" i="27"/>
  <c r="BA79" i="27" s="1"/>
  <c r="AY79" i="27"/>
  <c r="AW79" i="27"/>
  <c r="AN79" i="27"/>
  <c r="X79" i="27"/>
  <c r="U79" i="27"/>
  <c r="R79" i="27"/>
  <c r="M79" i="27"/>
  <c r="CC124" i="27"/>
  <c r="CB124" i="27"/>
  <c r="CA124" i="27"/>
  <c r="BZ124" i="27"/>
  <c r="BY124" i="27"/>
  <c r="BX124" i="27"/>
  <c r="BW124" i="27"/>
  <c r="BV124" i="27"/>
  <c r="BU124" i="27"/>
  <c r="BT124" i="27"/>
  <c r="BS124" i="27"/>
  <c r="BR124" i="27"/>
  <c r="BL124" i="27"/>
  <c r="AZ124" i="27"/>
  <c r="BA124" i="27" s="1"/>
  <c r="AY124" i="27"/>
  <c r="AW124" i="27"/>
  <c r="AN124" i="27"/>
  <c r="X124" i="27"/>
  <c r="U124" i="27"/>
  <c r="R124" i="27"/>
  <c r="M124" i="27"/>
  <c r="CC8" i="27"/>
  <c r="CB8" i="27"/>
  <c r="CA8" i="27"/>
  <c r="BZ8" i="27"/>
  <c r="BY8" i="27"/>
  <c r="BX8" i="27"/>
  <c r="BW8" i="27"/>
  <c r="BV8" i="27"/>
  <c r="BU8" i="27"/>
  <c r="BT8" i="27"/>
  <c r="BS8" i="27"/>
  <c r="BR8" i="27"/>
  <c r="BL8" i="27"/>
  <c r="AZ8" i="27"/>
  <c r="BA8" i="27" s="1"/>
  <c r="AY8" i="27"/>
  <c r="AW8" i="27"/>
  <c r="AN8" i="27"/>
  <c r="X8" i="27"/>
  <c r="U8" i="27"/>
  <c r="R8" i="27"/>
  <c r="M8" i="27"/>
  <c r="R137" i="1"/>
  <c r="R136" i="1"/>
  <c r="M40" i="1"/>
  <c r="M36" i="1"/>
  <c r="BW138" i="1"/>
  <c r="BV138" i="1"/>
  <c r="AZ138" i="1"/>
  <c r="BA138" i="1" s="1"/>
  <c r="AY138" i="1"/>
  <c r="AY131" i="1"/>
  <c r="AW138" i="1"/>
  <c r="AN138" i="1"/>
  <c r="U138" i="1"/>
  <c r="R138" i="1"/>
  <c r="A2" i="25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1" i="25" s="1"/>
  <c r="A32" i="25" s="1"/>
  <c r="A33" i="25" s="1"/>
  <c r="A34" i="25" s="1"/>
  <c r="A35" i="25" s="1"/>
  <c r="G34" i="25"/>
  <c r="G28" i="25"/>
  <c r="G27" i="25"/>
  <c r="G24" i="25"/>
  <c r="G20" i="25"/>
  <c r="G15" i="25"/>
  <c r="G10" i="25"/>
  <c r="G7" i="25"/>
  <c r="G5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F5" i="25"/>
  <c r="F4" i="25"/>
  <c r="F3" i="25"/>
  <c r="F2" i="25"/>
  <c r="M138" i="1"/>
  <c r="M196" i="17"/>
  <c r="M195" i="17"/>
  <c r="M194" i="17"/>
  <c r="M193" i="17"/>
  <c r="M192" i="17"/>
  <c r="M191" i="17"/>
  <c r="M190" i="17"/>
  <c r="M189" i="17"/>
  <c r="M188" i="17"/>
  <c r="M187" i="17"/>
  <c r="M186" i="17"/>
  <c r="M185" i="17"/>
  <c r="M184" i="17"/>
  <c r="M183" i="17"/>
  <c r="M182" i="17"/>
  <c r="M181" i="17"/>
  <c r="M180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2" i="17"/>
  <c r="E3" i="17"/>
  <c r="C6" i="20" s="1"/>
  <c r="E4" i="17"/>
  <c r="C7" i="20" s="1"/>
  <c r="E5" i="17"/>
  <c r="E6" i="17"/>
  <c r="C9" i="20" s="1"/>
  <c r="E7" i="17"/>
  <c r="C10" i="20" s="1"/>
  <c r="E8" i="17"/>
  <c r="C11" i="20" s="1"/>
  <c r="E9" i="17"/>
  <c r="E10" i="17"/>
  <c r="C13" i="20" s="1"/>
  <c r="E11" i="17"/>
  <c r="C14" i="20" s="1"/>
  <c r="E12" i="17"/>
  <c r="E13" i="17"/>
  <c r="C16" i="20" s="1"/>
  <c r="E14" i="17"/>
  <c r="C17" i="20" s="1"/>
  <c r="E15" i="17"/>
  <c r="C18" i="20" s="1"/>
  <c r="E16" i="17"/>
  <c r="C19" i="20" s="1"/>
  <c r="E17" i="17"/>
  <c r="E18" i="17"/>
  <c r="C21" i="20" s="1"/>
  <c r="E19" i="17"/>
  <c r="C22" i="20" s="1"/>
  <c r="E20" i="17"/>
  <c r="E21" i="17"/>
  <c r="C24" i="20" s="1"/>
  <c r="E22" i="17"/>
  <c r="C25" i="20" s="1"/>
  <c r="E23" i="17"/>
  <c r="E24" i="17"/>
  <c r="C27" i="20" s="1"/>
  <c r="E25" i="17"/>
  <c r="C28" i="20" s="1"/>
  <c r="E26" i="17"/>
  <c r="E27" i="17"/>
  <c r="C30" i="20" s="1"/>
  <c r="E28" i="17"/>
  <c r="C31" i="20" s="1"/>
  <c r="E29" i="17"/>
  <c r="E30" i="17"/>
  <c r="C33" i="20" s="1"/>
  <c r="E31" i="17"/>
  <c r="C34" i="20" s="1"/>
  <c r="E32" i="17"/>
  <c r="E33" i="17"/>
  <c r="C36" i="20" s="1"/>
  <c r="E34" i="17"/>
  <c r="C37" i="20" s="1"/>
  <c r="E35" i="17"/>
  <c r="E36" i="17"/>
  <c r="C39" i="20" s="1"/>
  <c r="E37" i="17"/>
  <c r="C40" i="20" s="1"/>
  <c r="E38" i="17"/>
  <c r="E39" i="17"/>
  <c r="C42" i="20" s="1"/>
  <c r="E40" i="17"/>
  <c r="C43" i="20" s="1"/>
  <c r="E41" i="17"/>
  <c r="C44" i="20" s="1"/>
  <c r="E42" i="17"/>
  <c r="C45" i="20" s="1"/>
  <c r="E43" i="17"/>
  <c r="C46" i="20" s="1"/>
  <c r="E44" i="17"/>
  <c r="C47" i="20" s="1"/>
  <c r="E45" i="17"/>
  <c r="C48" i="20" s="1"/>
  <c r="E46" i="17"/>
  <c r="C49" i="20" s="1"/>
  <c r="E47" i="17"/>
  <c r="C50" i="20" s="1"/>
  <c r="E48" i="17"/>
  <c r="C51" i="20" s="1"/>
  <c r="E49" i="17"/>
  <c r="C52" i="20" s="1"/>
  <c r="E50" i="17"/>
  <c r="C53" i="20" s="1"/>
  <c r="E51" i="17"/>
  <c r="C54" i="20" s="1"/>
  <c r="E52" i="17"/>
  <c r="C55" i="20" s="1"/>
  <c r="E53" i="17"/>
  <c r="C56" i="20" s="1"/>
  <c r="E54" i="17"/>
  <c r="C57" i="20" s="1"/>
  <c r="E55" i="17"/>
  <c r="C58" i="20" s="1"/>
  <c r="E56" i="17"/>
  <c r="C59" i="20" s="1"/>
  <c r="E57" i="17"/>
  <c r="C60" i="20" s="1"/>
  <c r="E58" i="17"/>
  <c r="C61" i="20" s="1"/>
  <c r="E59" i="17"/>
  <c r="C62" i="20" s="1"/>
  <c r="E60" i="17"/>
  <c r="C63" i="20" s="1"/>
  <c r="E61" i="17"/>
  <c r="C64" i="20" s="1"/>
  <c r="E62" i="17"/>
  <c r="E63" i="17"/>
  <c r="C66" i="20" s="1"/>
  <c r="E64" i="17"/>
  <c r="C67" i="20" s="1"/>
  <c r="E65" i="17"/>
  <c r="C68" i="20" s="1"/>
  <c r="E66" i="17"/>
  <c r="C69" i="20" s="1"/>
  <c r="E67" i="17"/>
  <c r="C70" i="20" s="1"/>
  <c r="E68" i="17"/>
  <c r="C71" i="20" s="1"/>
  <c r="E69" i="17"/>
  <c r="C72" i="20" s="1"/>
  <c r="E70" i="17"/>
  <c r="C73" i="20" s="1"/>
  <c r="E71" i="17"/>
  <c r="C74" i="20" s="1"/>
  <c r="E72" i="17"/>
  <c r="C75" i="20" s="1"/>
  <c r="E73" i="17"/>
  <c r="C76" i="20" s="1"/>
  <c r="E74" i="17"/>
  <c r="C77" i="20" s="1"/>
  <c r="E75" i="17"/>
  <c r="C78" i="20" s="1"/>
  <c r="E76" i="17"/>
  <c r="C79" i="20" s="1"/>
  <c r="E77" i="17"/>
  <c r="C80" i="20" s="1"/>
  <c r="E78" i="17"/>
  <c r="C81" i="20" s="1"/>
  <c r="E79" i="17"/>
  <c r="C82" i="20" s="1"/>
  <c r="E80" i="17"/>
  <c r="C83" i="20" s="1"/>
  <c r="E81" i="17"/>
  <c r="C84" i="20" s="1"/>
  <c r="E82" i="17"/>
  <c r="C85" i="20" s="1"/>
  <c r="E83" i="17"/>
  <c r="C86" i="20" s="1"/>
  <c r="E84" i="17"/>
  <c r="C87" i="20" s="1"/>
  <c r="E85" i="17"/>
  <c r="C88" i="20" s="1"/>
  <c r="E86" i="17"/>
  <c r="C89" i="20" s="1"/>
  <c r="E87" i="17"/>
  <c r="C90" i="20" s="1"/>
  <c r="E88" i="17"/>
  <c r="C91" i="20" s="1"/>
  <c r="E89" i="17"/>
  <c r="C92" i="20" s="1"/>
  <c r="E90" i="17"/>
  <c r="C93" i="20" s="1"/>
  <c r="E91" i="17"/>
  <c r="C94" i="20" s="1"/>
  <c r="E92" i="17"/>
  <c r="C95" i="20" s="1"/>
  <c r="E93" i="17"/>
  <c r="C96" i="20" s="1"/>
  <c r="E94" i="17"/>
  <c r="C97" i="20" s="1"/>
  <c r="E95" i="17"/>
  <c r="C98" i="20" s="1"/>
  <c r="E96" i="17"/>
  <c r="C99" i="20" s="1"/>
  <c r="E97" i="17"/>
  <c r="C100" i="20" s="1"/>
  <c r="E98" i="17"/>
  <c r="C101" i="20" s="1"/>
  <c r="E99" i="17"/>
  <c r="C102" i="20" s="1"/>
  <c r="E100" i="17"/>
  <c r="C103" i="20" s="1"/>
  <c r="E101" i="17"/>
  <c r="C104" i="20" s="1"/>
  <c r="E102" i="17"/>
  <c r="C105" i="20" s="1"/>
  <c r="E103" i="17"/>
  <c r="C106" i="20" s="1"/>
  <c r="E104" i="17"/>
  <c r="C107" i="20" s="1"/>
  <c r="E105" i="17"/>
  <c r="C108" i="20" s="1"/>
  <c r="E106" i="17"/>
  <c r="C109" i="20" s="1"/>
  <c r="E107" i="17"/>
  <c r="C110" i="20" s="1"/>
  <c r="E108" i="17"/>
  <c r="C111" i="20" s="1"/>
  <c r="E109" i="17"/>
  <c r="C112" i="20" s="1"/>
  <c r="E110" i="17"/>
  <c r="C113" i="20" s="1"/>
  <c r="E111" i="17"/>
  <c r="C114" i="20" s="1"/>
  <c r="E112" i="17"/>
  <c r="C115" i="20" s="1"/>
  <c r="E113" i="17"/>
  <c r="C116" i="20" s="1"/>
  <c r="E114" i="17"/>
  <c r="C117" i="20" s="1"/>
  <c r="E115" i="17"/>
  <c r="C118" i="20" s="1"/>
  <c r="E116" i="17"/>
  <c r="C119" i="20" s="1"/>
  <c r="E117" i="17"/>
  <c r="C120" i="20" s="1"/>
  <c r="E118" i="17"/>
  <c r="C121" i="20" s="1"/>
  <c r="E119" i="17"/>
  <c r="C122" i="20" s="1"/>
  <c r="E120" i="17"/>
  <c r="C123" i="20" s="1"/>
  <c r="E121" i="17"/>
  <c r="C124" i="20" s="1"/>
  <c r="E122" i="17"/>
  <c r="C125" i="20" s="1"/>
  <c r="E123" i="17"/>
  <c r="C126" i="20" s="1"/>
  <c r="E124" i="17"/>
  <c r="C127" i="20" s="1"/>
  <c r="E125" i="17"/>
  <c r="C128" i="20" s="1"/>
  <c r="E126" i="17"/>
  <c r="C129" i="20" s="1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2" i="17"/>
  <c r="C5" i="20" s="1"/>
  <c r="K3" i="22"/>
  <c r="K4" i="22"/>
  <c r="K5" i="22"/>
  <c r="K6" i="22"/>
  <c r="K7" i="22"/>
  <c r="K8" i="22"/>
  <c r="K9" i="22"/>
  <c r="K10" i="22"/>
  <c r="K11" i="22"/>
  <c r="K12" i="22"/>
  <c r="K13" i="22"/>
  <c r="M90" i="1"/>
  <c r="M63" i="1"/>
  <c r="M91" i="1"/>
  <c r="M68" i="1"/>
  <c r="P3" i="22"/>
  <c r="O13" i="22"/>
  <c r="O12" i="22"/>
  <c r="O11" i="22"/>
  <c r="O10" i="22"/>
  <c r="O9" i="22"/>
  <c r="O8" i="22"/>
  <c r="O7" i="22"/>
  <c r="O6" i="22"/>
  <c r="O5" i="22"/>
  <c r="O4" i="22"/>
  <c r="R135" i="1"/>
  <c r="R134" i="1"/>
  <c r="R132" i="1"/>
  <c r="BG56" i="2"/>
  <c r="BG55" i="2"/>
  <c r="N18" i="4"/>
  <c r="L56" i="2"/>
  <c r="L10" i="22"/>
  <c r="R125" i="1"/>
  <c r="W4" i="22"/>
  <c r="W5" i="22"/>
  <c r="W6" i="22"/>
  <c r="W7" i="22"/>
  <c r="W8" i="22"/>
  <c r="W9" i="22"/>
  <c r="W10" i="22"/>
  <c r="W11" i="22"/>
  <c r="W12" i="22"/>
  <c r="W13" i="22"/>
  <c r="W3" i="22"/>
  <c r="P4" i="22"/>
  <c r="P5" i="22"/>
  <c r="P6" i="22"/>
  <c r="P7" i="22"/>
  <c r="P8" i="22"/>
  <c r="P9" i="22"/>
  <c r="P10" i="22"/>
  <c r="P11" i="22"/>
  <c r="P12" i="22"/>
  <c r="P13" i="22"/>
  <c r="R4" i="22"/>
  <c r="R5" i="22"/>
  <c r="R6" i="22"/>
  <c r="R7" i="22"/>
  <c r="R8" i="22"/>
  <c r="R9" i="22"/>
  <c r="R10" i="22"/>
  <c r="R11" i="22"/>
  <c r="R12" i="22"/>
  <c r="R13" i="22"/>
  <c r="R3" i="22"/>
  <c r="R14" i="22" s="1"/>
  <c r="E14" i="22"/>
  <c r="F14" i="22"/>
  <c r="G14" i="22"/>
  <c r="H14" i="22"/>
  <c r="I14" i="22"/>
  <c r="J14" i="22"/>
  <c r="W4" i="4"/>
  <c r="W5" i="4"/>
  <c r="W6" i="4"/>
  <c r="W7" i="4"/>
  <c r="W8" i="4"/>
  <c r="W9" i="4"/>
  <c r="W10" i="4"/>
  <c r="W11" i="4"/>
  <c r="W12" i="4"/>
  <c r="W13" i="4"/>
  <c r="W3" i="4"/>
  <c r="V3" i="4"/>
  <c r="U4" i="4"/>
  <c r="U5" i="4"/>
  <c r="U6" i="4"/>
  <c r="U7" i="4"/>
  <c r="U8" i="4"/>
  <c r="U9" i="4"/>
  <c r="U10" i="4"/>
  <c r="U11" i="4"/>
  <c r="U12" i="4"/>
  <c r="U13" i="4"/>
  <c r="U3" i="4"/>
  <c r="U14" i="4" s="1"/>
  <c r="BH30" i="2"/>
  <c r="BH22" i="2"/>
  <c r="BH8" i="2"/>
  <c r="BH7" i="2"/>
  <c r="BH4" i="2"/>
  <c r="BH3" i="2"/>
  <c r="AR45" i="2"/>
  <c r="AR46" i="2"/>
  <c r="AR47" i="2"/>
  <c r="R77" i="1"/>
  <c r="AR16" i="2"/>
  <c r="AR29" i="2"/>
  <c r="AR23" i="2"/>
  <c r="C21" i="6"/>
  <c r="G62" i="6"/>
  <c r="G63" i="6"/>
  <c r="G64" i="6"/>
  <c r="G65" i="6"/>
  <c r="G66" i="6"/>
  <c r="G67" i="6"/>
  <c r="G68" i="6"/>
  <c r="G69" i="6"/>
  <c r="G70" i="6"/>
  <c r="G71" i="6"/>
  <c r="G72" i="6"/>
  <c r="G61" i="6"/>
  <c r="F11" i="6"/>
  <c r="F12" i="6"/>
  <c r="F13" i="6"/>
  <c r="F14" i="6"/>
  <c r="F15" i="6"/>
  <c r="F16" i="6"/>
  <c r="F17" i="6"/>
  <c r="F18" i="6"/>
  <c r="F19" i="6"/>
  <c r="F20" i="6"/>
  <c r="F21" i="6"/>
  <c r="F10" i="6"/>
  <c r="F22" i="6" s="1"/>
  <c r="E72" i="6"/>
  <c r="E69" i="6"/>
  <c r="E67" i="6"/>
  <c r="E61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F72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F71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F70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F69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F68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F67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F66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F65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F64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F63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F62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F61" i="6"/>
  <c r="L55" i="2"/>
  <c r="M2" i="1"/>
  <c r="R2" i="1"/>
  <c r="U2" i="1"/>
  <c r="X2" i="1"/>
  <c r="AN2" i="1"/>
  <c r="M22" i="1"/>
  <c r="R22" i="1"/>
  <c r="U22" i="1"/>
  <c r="X22" i="1"/>
  <c r="AN22" i="1"/>
  <c r="M31" i="1"/>
  <c r="R31" i="1"/>
  <c r="U31" i="1"/>
  <c r="X31" i="1"/>
  <c r="AN31" i="1"/>
  <c r="M5" i="1"/>
  <c r="R5" i="1"/>
  <c r="U5" i="1"/>
  <c r="X5" i="1"/>
  <c r="AN5" i="1"/>
  <c r="M54" i="1"/>
  <c r="R54" i="1"/>
  <c r="U54" i="1"/>
  <c r="X54" i="1"/>
  <c r="AN54" i="1"/>
  <c r="M62" i="1"/>
  <c r="R62" i="1"/>
  <c r="U62" i="1"/>
  <c r="X62" i="1"/>
  <c r="AN62" i="1"/>
  <c r="R63" i="1"/>
  <c r="U63" i="1"/>
  <c r="X63" i="1"/>
  <c r="AN63" i="1"/>
  <c r="M70" i="1"/>
  <c r="R70" i="1"/>
  <c r="U70" i="1"/>
  <c r="X70" i="1"/>
  <c r="AN70" i="1"/>
  <c r="M10" i="1"/>
  <c r="R10" i="1"/>
  <c r="U10" i="1"/>
  <c r="X10" i="1"/>
  <c r="AN10" i="1"/>
  <c r="M101" i="1"/>
  <c r="R101" i="1"/>
  <c r="U101" i="1"/>
  <c r="X101" i="1"/>
  <c r="AN101" i="1"/>
  <c r="M12" i="1"/>
  <c r="R12" i="1"/>
  <c r="U12" i="1"/>
  <c r="X12" i="1"/>
  <c r="AN12" i="1"/>
  <c r="M110" i="1"/>
  <c r="R110" i="1"/>
  <c r="U110" i="1"/>
  <c r="X110" i="1"/>
  <c r="AN110" i="1"/>
  <c r="M113" i="1"/>
  <c r="R113" i="1"/>
  <c r="U113" i="1"/>
  <c r="X113" i="1"/>
  <c r="AN113" i="1"/>
  <c r="M117" i="1"/>
  <c r="R117" i="1"/>
  <c r="U117" i="1"/>
  <c r="X117" i="1"/>
  <c r="AN117" i="1"/>
  <c r="M16" i="1"/>
  <c r="R16" i="1"/>
  <c r="U16" i="1"/>
  <c r="X16" i="1"/>
  <c r="AN16" i="1"/>
  <c r="M119" i="1"/>
  <c r="R119" i="1"/>
  <c r="U119" i="1"/>
  <c r="X119" i="1"/>
  <c r="AN119" i="1"/>
  <c r="M120" i="1"/>
  <c r="R120" i="1"/>
  <c r="U120" i="1"/>
  <c r="X120" i="1"/>
  <c r="AN120" i="1"/>
  <c r="M124" i="1"/>
  <c r="R124" i="1"/>
  <c r="U124" i="1"/>
  <c r="X124" i="1"/>
  <c r="AN124" i="1"/>
  <c r="M20" i="1"/>
  <c r="R20" i="1"/>
  <c r="U20" i="1"/>
  <c r="X20" i="1"/>
  <c r="AN20" i="1"/>
  <c r="R32" i="1"/>
  <c r="U32" i="1"/>
  <c r="X32" i="1"/>
  <c r="AN32" i="1"/>
  <c r="M33" i="1"/>
  <c r="R33" i="1"/>
  <c r="U33" i="1"/>
  <c r="X33" i="1"/>
  <c r="AN33" i="1"/>
  <c r="M34" i="1"/>
  <c r="R34" i="1"/>
  <c r="U34" i="1"/>
  <c r="X34" i="1"/>
  <c r="AN34" i="1"/>
  <c r="M35" i="1"/>
  <c r="R35" i="1"/>
  <c r="U35" i="1"/>
  <c r="X35" i="1"/>
  <c r="AN35" i="1"/>
  <c r="M74" i="1"/>
  <c r="R74" i="1"/>
  <c r="U74" i="1"/>
  <c r="X74" i="1"/>
  <c r="AN74" i="1"/>
  <c r="M75" i="1"/>
  <c r="R75" i="1"/>
  <c r="U75" i="1"/>
  <c r="X75" i="1"/>
  <c r="AN75" i="1"/>
  <c r="M95" i="1"/>
  <c r="R95" i="1"/>
  <c r="U95" i="1"/>
  <c r="X95" i="1"/>
  <c r="AN95" i="1"/>
  <c r="M97" i="1"/>
  <c r="R97" i="1"/>
  <c r="U97" i="1"/>
  <c r="X97" i="1"/>
  <c r="AN97" i="1"/>
  <c r="M102" i="1"/>
  <c r="R102" i="1"/>
  <c r="U102" i="1"/>
  <c r="X102" i="1"/>
  <c r="AN102" i="1"/>
  <c r="M105" i="1"/>
  <c r="R105" i="1"/>
  <c r="U105" i="1"/>
  <c r="X105" i="1"/>
  <c r="AN105" i="1"/>
  <c r="M109" i="1"/>
  <c r="R109" i="1"/>
  <c r="U109" i="1"/>
  <c r="X109" i="1"/>
  <c r="AN109" i="1"/>
  <c r="M111" i="1"/>
  <c r="R111" i="1"/>
  <c r="U111" i="1"/>
  <c r="X111" i="1"/>
  <c r="AN111" i="1"/>
  <c r="M121" i="1"/>
  <c r="R121" i="1"/>
  <c r="U121" i="1"/>
  <c r="X121" i="1"/>
  <c r="AN121" i="1"/>
  <c r="M136" i="1"/>
  <c r="AN136" i="1"/>
  <c r="M137" i="1"/>
  <c r="AN137" i="1"/>
  <c r="M9" i="1"/>
  <c r="R9" i="1"/>
  <c r="U9" i="1"/>
  <c r="X9" i="1"/>
  <c r="AN9" i="1"/>
  <c r="M37" i="1"/>
  <c r="R37" i="1"/>
  <c r="U37" i="1"/>
  <c r="X37" i="1"/>
  <c r="AN37" i="1"/>
  <c r="M38" i="1"/>
  <c r="R38" i="1"/>
  <c r="U38" i="1"/>
  <c r="X38" i="1"/>
  <c r="AN38" i="1"/>
  <c r="M19" i="1"/>
  <c r="R19" i="1"/>
  <c r="U19" i="1"/>
  <c r="X19" i="1"/>
  <c r="AN19" i="1"/>
  <c r="M60" i="1"/>
  <c r="R60" i="1"/>
  <c r="U60" i="1"/>
  <c r="X60" i="1"/>
  <c r="AN60" i="1"/>
  <c r="M81" i="1"/>
  <c r="R81" i="1"/>
  <c r="U81" i="1"/>
  <c r="X81" i="1"/>
  <c r="AN81" i="1"/>
  <c r="M94" i="1"/>
  <c r="R94" i="1"/>
  <c r="U94" i="1"/>
  <c r="X94" i="1"/>
  <c r="AN94" i="1"/>
  <c r="M123" i="1"/>
  <c r="R123" i="1"/>
  <c r="U123" i="1"/>
  <c r="X123" i="1"/>
  <c r="R36" i="1"/>
  <c r="U36" i="1"/>
  <c r="X36" i="1"/>
  <c r="AN36" i="1"/>
  <c r="M45" i="1"/>
  <c r="R45" i="1"/>
  <c r="U45" i="1"/>
  <c r="X45" i="1"/>
  <c r="AN45" i="1"/>
  <c r="M46" i="1"/>
  <c r="R46" i="1"/>
  <c r="U46" i="1"/>
  <c r="X46" i="1"/>
  <c r="AN46" i="1"/>
  <c r="M49" i="1"/>
  <c r="R49" i="1"/>
  <c r="U49" i="1"/>
  <c r="X49" i="1"/>
  <c r="AN49" i="1"/>
  <c r="M50" i="1"/>
  <c r="R50" i="1"/>
  <c r="U50" i="1"/>
  <c r="X50" i="1"/>
  <c r="AN50" i="1"/>
  <c r="M53" i="1"/>
  <c r="R53" i="1"/>
  <c r="U53" i="1"/>
  <c r="X53" i="1"/>
  <c r="AN53" i="1"/>
  <c r="M118" i="1"/>
  <c r="R118" i="1"/>
  <c r="U118" i="1"/>
  <c r="X118" i="1"/>
  <c r="AN118" i="1"/>
  <c r="M132" i="1"/>
  <c r="AN132" i="1"/>
  <c r="M134" i="1"/>
  <c r="AN134" i="1"/>
  <c r="M135" i="1"/>
  <c r="AN135" i="1"/>
  <c r="M14" i="1"/>
  <c r="R14" i="1"/>
  <c r="U14" i="1"/>
  <c r="X14" i="1"/>
  <c r="AN14" i="1"/>
  <c r="M55" i="1"/>
  <c r="R55" i="1"/>
  <c r="U55" i="1"/>
  <c r="X55" i="1"/>
  <c r="AN55" i="1"/>
  <c r="M56" i="1"/>
  <c r="R56" i="1"/>
  <c r="U56" i="1"/>
  <c r="X56" i="1"/>
  <c r="AN56" i="1"/>
  <c r="M57" i="1"/>
  <c r="R57" i="1"/>
  <c r="U57" i="1"/>
  <c r="X57" i="1"/>
  <c r="AN57" i="1"/>
  <c r="M58" i="1"/>
  <c r="R58" i="1"/>
  <c r="U58" i="1"/>
  <c r="X58" i="1"/>
  <c r="AN58" i="1"/>
  <c r="M59" i="1"/>
  <c r="R59" i="1"/>
  <c r="U59" i="1"/>
  <c r="X59" i="1"/>
  <c r="AN59" i="1"/>
  <c r="M26" i="1"/>
  <c r="R26" i="1"/>
  <c r="U26" i="1"/>
  <c r="X26" i="1"/>
  <c r="AN26" i="1"/>
  <c r="M30" i="1"/>
  <c r="R30" i="1"/>
  <c r="U30" i="1"/>
  <c r="X30" i="1"/>
  <c r="AN30" i="1"/>
  <c r="M43" i="1"/>
  <c r="R43" i="1"/>
  <c r="U43" i="1"/>
  <c r="X43" i="1"/>
  <c r="AN43" i="1"/>
  <c r="M44" i="1"/>
  <c r="R44" i="1"/>
  <c r="U44" i="1"/>
  <c r="X44" i="1"/>
  <c r="AN44" i="1"/>
  <c r="M47" i="1"/>
  <c r="R47" i="1"/>
  <c r="U47" i="1"/>
  <c r="X47" i="1"/>
  <c r="AN47" i="1"/>
  <c r="M52" i="1"/>
  <c r="R52" i="1"/>
  <c r="U52" i="1"/>
  <c r="X52" i="1"/>
  <c r="AN52" i="1"/>
  <c r="M64" i="1"/>
  <c r="R64" i="1"/>
  <c r="U64" i="1"/>
  <c r="X64" i="1"/>
  <c r="AN64" i="1"/>
  <c r="M67" i="1"/>
  <c r="R67" i="1"/>
  <c r="U67" i="1"/>
  <c r="X67" i="1"/>
  <c r="AN67" i="1"/>
  <c r="M65" i="1"/>
  <c r="R65" i="1"/>
  <c r="U65" i="1"/>
  <c r="X65" i="1"/>
  <c r="AN65" i="1"/>
  <c r="M66" i="1"/>
  <c r="R66" i="1"/>
  <c r="U66" i="1"/>
  <c r="X66" i="1"/>
  <c r="AN66" i="1"/>
  <c r="R68" i="1"/>
  <c r="U68" i="1"/>
  <c r="X68" i="1"/>
  <c r="AN68" i="1"/>
  <c r="M69" i="1"/>
  <c r="R69" i="1"/>
  <c r="U69" i="1"/>
  <c r="X69" i="1"/>
  <c r="AN69" i="1"/>
  <c r="M73" i="1"/>
  <c r="R73" i="1"/>
  <c r="U73" i="1"/>
  <c r="X73" i="1"/>
  <c r="AN73" i="1"/>
  <c r="M80" i="1"/>
  <c r="R80" i="1"/>
  <c r="U80" i="1"/>
  <c r="X80" i="1"/>
  <c r="AN80" i="1"/>
  <c r="M84" i="1"/>
  <c r="R84" i="1"/>
  <c r="U84" i="1"/>
  <c r="X84" i="1"/>
  <c r="AN84" i="1"/>
  <c r="M93" i="1"/>
  <c r="R93" i="1"/>
  <c r="U93" i="1"/>
  <c r="X93" i="1"/>
  <c r="AN93" i="1"/>
  <c r="M126" i="1"/>
  <c r="R126" i="1"/>
  <c r="U126" i="1"/>
  <c r="X126" i="1"/>
  <c r="AN126" i="1"/>
  <c r="M77" i="1"/>
  <c r="U77" i="1"/>
  <c r="X77" i="1"/>
  <c r="AN77" i="1"/>
  <c r="M78" i="1"/>
  <c r="R78" i="1"/>
  <c r="U78" i="1"/>
  <c r="X78" i="1"/>
  <c r="AN78" i="1"/>
  <c r="M4" i="1"/>
  <c r="R4" i="1"/>
  <c r="U4" i="1"/>
  <c r="X4" i="1"/>
  <c r="AN4" i="1"/>
  <c r="M6" i="1"/>
  <c r="R6" i="1"/>
  <c r="U6" i="1"/>
  <c r="X6" i="1"/>
  <c r="AN6" i="1"/>
  <c r="M13" i="1"/>
  <c r="R13" i="1"/>
  <c r="U13" i="1"/>
  <c r="X13" i="1"/>
  <c r="AN13" i="1"/>
  <c r="M82" i="1"/>
  <c r="R82" i="1"/>
  <c r="U82" i="1"/>
  <c r="X82" i="1"/>
  <c r="AN82" i="1"/>
  <c r="M76" i="1"/>
  <c r="R76" i="1"/>
  <c r="U76" i="1"/>
  <c r="X76" i="1"/>
  <c r="AN76" i="1"/>
  <c r="R90" i="1"/>
  <c r="U90" i="1"/>
  <c r="X90" i="1"/>
  <c r="AN90" i="1"/>
  <c r="M85" i="1"/>
  <c r="R85" i="1"/>
  <c r="U85" i="1"/>
  <c r="X85" i="1"/>
  <c r="AN85" i="1"/>
  <c r="M86" i="1"/>
  <c r="R86" i="1"/>
  <c r="U86" i="1"/>
  <c r="X86" i="1"/>
  <c r="AN86" i="1"/>
  <c r="M87" i="1"/>
  <c r="R87" i="1"/>
  <c r="U87" i="1"/>
  <c r="X87" i="1"/>
  <c r="AN87" i="1"/>
  <c r="M21" i="1"/>
  <c r="R21" i="1"/>
  <c r="U21" i="1"/>
  <c r="X21" i="1"/>
  <c r="AN21" i="1"/>
  <c r="M89" i="1"/>
  <c r="R89" i="1"/>
  <c r="U89" i="1"/>
  <c r="X89" i="1"/>
  <c r="AN89" i="1"/>
  <c r="M29" i="1"/>
  <c r="R29" i="1"/>
  <c r="U29" i="1"/>
  <c r="X29" i="1"/>
  <c r="AN29" i="1"/>
  <c r="M61" i="1"/>
  <c r="R61" i="1"/>
  <c r="U61" i="1"/>
  <c r="X61" i="1"/>
  <c r="AN61" i="1"/>
  <c r="M92" i="1"/>
  <c r="R92" i="1"/>
  <c r="U92" i="1"/>
  <c r="X92" i="1"/>
  <c r="AN92" i="1"/>
  <c r="M79" i="1"/>
  <c r="R79" i="1"/>
  <c r="U79" i="1"/>
  <c r="X79" i="1"/>
  <c r="AN79" i="1"/>
  <c r="R91" i="1"/>
  <c r="U91" i="1"/>
  <c r="X91" i="1"/>
  <c r="AN91" i="1"/>
  <c r="M107" i="1"/>
  <c r="R107" i="1"/>
  <c r="U107" i="1"/>
  <c r="X107" i="1"/>
  <c r="AN107" i="1"/>
  <c r="M96" i="1"/>
  <c r="R96" i="1"/>
  <c r="U96" i="1"/>
  <c r="X96" i="1"/>
  <c r="AN96" i="1"/>
  <c r="M128" i="1"/>
  <c r="R128" i="1"/>
  <c r="U128" i="1"/>
  <c r="X128" i="1"/>
  <c r="AN128" i="1"/>
  <c r="M15" i="1"/>
  <c r="R15" i="1"/>
  <c r="U15" i="1"/>
  <c r="X15" i="1"/>
  <c r="AN15" i="1"/>
  <c r="M99" i="1"/>
  <c r="R99" i="1"/>
  <c r="U99" i="1"/>
  <c r="X99" i="1"/>
  <c r="AN99" i="1"/>
  <c r="M100" i="1"/>
  <c r="R100" i="1"/>
  <c r="U100" i="1"/>
  <c r="X100" i="1"/>
  <c r="AN100" i="1"/>
  <c r="M23" i="1"/>
  <c r="R23" i="1"/>
  <c r="U23" i="1"/>
  <c r="X23" i="1"/>
  <c r="AN23" i="1"/>
  <c r="M28" i="1"/>
  <c r="R28" i="1"/>
  <c r="U28" i="1"/>
  <c r="X28" i="1"/>
  <c r="AN28" i="1"/>
  <c r="M103" i="1"/>
  <c r="R103" i="1"/>
  <c r="U103" i="1"/>
  <c r="X103" i="1"/>
  <c r="AN103" i="1"/>
  <c r="M104" i="1"/>
  <c r="R104" i="1"/>
  <c r="U104" i="1"/>
  <c r="X104" i="1"/>
  <c r="AN104" i="1"/>
  <c r="M98" i="1"/>
  <c r="R98" i="1"/>
  <c r="U98" i="1"/>
  <c r="X98" i="1"/>
  <c r="AN98" i="1"/>
  <c r="M127" i="1"/>
  <c r="R127" i="1"/>
  <c r="U127" i="1"/>
  <c r="X127" i="1"/>
  <c r="AN127" i="1"/>
  <c r="M24" i="1"/>
  <c r="R24" i="1"/>
  <c r="U24" i="1"/>
  <c r="X24" i="1"/>
  <c r="AN24" i="1"/>
  <c r="M108" i="1"/>
  <c r="R108" i="1"/>
  <c r="U108" i="1"/>
  <c r="X108" i="1"/>
  <c r="AN108" i="1"/>
  <c r="M39" i="1"/>
  <c r="R39" i="1"/>
  <c r="U39" i="1"/>
  <c r="X39" i="1"/>
  <c r="AN39" i="1"/>
  <c r="R40" i="1"/>
  <c r="U40" i="1"/>
  <c r="X40" i="1"/>
  <c r="AN40" i="1"/>
  <c r="M41" i="1"/>
  <c r="R41" i="1"/>
  <c r="U41" i="1"/>
  <c r="X41" i="1"/>
  <c r="AN41" i="1"/>
  <c r="M112" i="1"/>
  <c r="R112" i="1"/>
  <c r="U112" i="1"/>
  <c r="X112" i="1"/>
  <c r="AN112" i="1"/>
  <c r="M114" i="1"/>
  <c r="R114" i="1"/>
  <c r="U114" i="1"/>
  <c r="X114" i="1"/>
  <c r="AN114" i="1"/>
  <c r="M3" i="1"/>
  <c r="R3" i="1"/>
  <c r="U3" i="1"/>
  <c r="X3" i="1"/>
  <c r="AN3" i="1"/>
  <c r="M115" i="1"/>
  <c r="R115" i="1"/>
  <c r="U115" i="1"/>
  <c r="X115" i="1"/>
  <c r="AN115" i="1"/>
  <c r="M116" i="1"/>
  <c r="R116" i="1"/>
  <c r="U116" i="1"/>
  <c r="X116" i="1"/>
  <c r="AN116" i="1"/>
  <c r="M17" i="1"/>
  <c r="R17" i="1"/>
  <c r="U17" i="1"/>
  <c r="X17" i="1"/>
  <c r="AN17" i="1"/>
  <c r="M18" i="1"/>
  <c r="R18" i="1"/>
  <c r="U18" i="1"/>
  <c r="X18" i="1"/>
  <c r="AN18" i="1"/>
  <c r="M27" i="1"/>
  <c r="R27" i="1"/>
  <c r="U27" i="1"/>
  <c r="X27" i="1"/>
  <c r="AN27" i="1"/>
  <c r="M42" i="1"/>
  <c r="R42" i="1"/>
  <c r="U42" i="1"/>
  <c r="X42" i="1"/>
  <c r="AN42" i="1"/>
  <c r="M48" i="1"/>
  <c r="R48" i="1"/>
  <c r="U48" i="1"/>
  <c r="X48" i="1"/>
  <c r="AN48" i="1"/>
  <c r="M122" i="1"/>
  <c r="R122" i="1"/>
  <c r="U122" i="1"/>
  <c r="X122" i="1"/>
  <c r="AN122" i="1"/>
  <c r="M83" i="1"/>
  <c r="R83" i="1"/>
  <c r="U83" i="1"/>
  <c r="X83" i="1"/>
  <c r="AN83" i="1"/>
  <c r="M88" i="1"/>
  <c r="R88" i="1"/>
  <c r="U88" i="1"/>
  <c r="X88" i="1"/>
  <c r="AN88" i="1"/>
  <c r="M125" i="1"/>
  <c r="U125" i="1"/>
  <c r="X125" i="1"/>
  <c r="AN125" i="1"/>
  <c r="M7" i="1"/>
  <c r="R7" i="1"/>
  <c r="U7" i="1"/>
  <c r="X7" i="1"/>
  <c r="AN7" i="1"/>
  <c r="M8" i="1"/>
  <c r="R8" i="1"/>
  <c r="U8" i="1"/>
  <c r="X8" i="1"/>
  <c r="AN8" i="1"/>
  <c r="M11" i="1"/>
  <c r="R11" i="1"/>
  <c r="U11" i="1"/>
  <c r="X11" i="1"/>
  <c r="AN11" i="1"/>
  <c r="M129" i="1"/>
  <c r="R129" i="1"/>
  <c r="U129" i="1"/>
  <c r="X129" i="1"/>
  <c r="AN129" i="1"/>
  <c r="M130" i="1"/>
  <c r="R130" i="1"/>
  <c r="U130" i="1"/>
  <c r="X130" i="1"/>
  <c r="AN130" i="1"/>
  <c r="M25" i="1"/>
  <c r="R25" i="1"/>
  <c r="U25" i="1"/>
  <c r="X25" i="1"/>
  <c r="AN25" i="1"/>
  <c r="M51" i="1"/>
  <c r="R51" i="1"/>
  <c r="U51" i="1"/>
  <c r="X51" i="1"/>
  <c r="AN51" i="1"/>
  <c r="M133" i="1"/>
  <c r="R133" i="1"/>
  <c r="U133" i="1"/>
  <c r="X133" i="1"/>
  <c r="AN133" i="1"/>
  <c r="M71" i="1"/>
  <c r="R71" i="1"/>
  <c r="U71" i="1"/>
  <c r="X71" i="1"/>
  <c r="AN71" i="1"/>
  <c r="M72" i="1"/>
  <c r="R72" i="1"/>
  <c r="U72" i="1"/>
  <c r="X72" i="1"/>
  <c r="AN72" i="1"/>
  <c r="M106" i="1"/>
  <c r="R106" i="1"/>
  <c r="U106" i="1"/>
  <c r="X106" i="1"/>
  <c r="AN106" i="1"/>
  <c r="M131" i="1"/>
  <c r="R131" i="1"/>
  <c r="U131" i="1"/>
  <c r="X131" i="1"/>
  <c r="AN131" i="1"/>
  <c r="BW131" i="1"/>
  <c r="BV131" i="1"/>
  <c r="BU131" i="1"/>
  <c r="BT131" i="1"/>
  <c r="BW135" i="1"/>
  <c r="BV135" i="1"/>
  <c r="BW134" i="1"/>
  <c r="BV134" i="1"/>
  <c r="BW132" i="1"/>
  <c r="BV132" i="1"/>
  <c r="BU135" i="1"/>
  <c r="BU134" i="1"/>
  <c r="BU132" i="1"/>
  <c r="BT135" i="1"/>
  <c r="BT134" i="1"/>
  <c r="BT132" i="1"/>
  <c r="AZ135" i="1"/>
  <c r="BA135" i="1" s="1"/>
  <c r="AZ134" i="1"/>
  <c r="BA134" i="1" s="1"/>
  <c r="AZ132" i="1"/>
  <c r="BA132" i="1" s="1"/>
  <c r="AY135" i="1"/>
  <c r="AY134" i="1"/>
  <c r="AY132" i="1"/>
  <c r="AW135" i="1"/>
  <c r="AW134" i="1"/>
  <c r="AW132" i="1"/>
  <c r="BV137" i="1"/>
  <c r="BV136" i="1"/>
  <c r="BW137" i="1"/>
  <c r="BW136" i="1"/>
  <c r="BU137" i="1"/>
  <c r="BU136" i="1"/>
  <c r="BT137" i="1"/>
  <c r="BT136" i="1"/>
  <c r="BS137" i="1"/>
  <c r="BS136" i="1"/>
  <c r="AZ137" i="1"/>
  <c r="AZ136" i="1"/>
  <c r="BA136" i="1" s="1"/>
  <c r="BA137" i="1"/>
  <c r="AY137" i="1"/>
  <c r="AY136" i="1"/>
  <c r="AW137" i="1"/>
  <c r="AW136" i="1"/>
  <c r="C11" i="6"/>
  <c r="AR42" i="2"/>
  <c r="BU24" i="1"/>
  <c r="AW99" i="1"/>
  <c r="BS91" i="1"/>
  <c r="L3" i="22"/>
  <c r="AW69" i="1"/>
  <c r="AZ131" i="1"/>
  <c r="BA131" i="1" s="1"/>
  <c r="AW131" i="1"/>
  <c r="BT128" i="1"/>
  <c r="BS128" i="1"/>
  <c r="BS127" i="1"/>
  <c r="BS126" i="1"/>
  <c r="BS124" i="1"/>
  <c r="BS123" i="1"/>
  <c r="AZ128" i="1"/>
  <c r="BA128" i="1" s="1"/>
  <c r="AY128" i="1"/>
  <c r="AW128" i="1"/>
  <c r="BT127" i="1"/>
  <c r="AZ127" i="1"/>
  <c r="BA127" i="1" s="1"/>
  <c r="AY127" i="1"/>
  <c r="AW127" i="1"/>
  <c r="BT126" i="1"/>
  <c r="AZ126" i="1"/>
  <c r="BA126" i="1" s="1"/>
  <c r="AY126" i="1"/>
  <c r="AW126" i="1"/>
  <c r="BT124" i="1"/>
  <c r="AZ124" i="1"/>
  <c r="BA124" i="1" s="1"/>
  <c r="AY124" i="1"/>
  <c r="AW124" i="1"/>
  <c r="BT123" i="1"/>
  <c r="AZ123" i="1"/>
  <c r="BA123" i="1" s="1"/>
  <c r="AY123" i="1"/>
  <c r="AW123" i="1"/>
  <c r="BS23" i="1"/>
  <c r="J34" i="6"/>
  <c r="I34" i="6"/>
  <c r="H34" i="6"/>
  <c r="G34" i="6"/>
  <c r="F34" i="6"/>
  <c r="E34" i="6"/>
  <c r="D34" i="6"/>
  <c r="C34" i="6"/>
  <c r="D33" i="6"/>
  <c r="E33" i="6"/>
  <c r="F33" i="6"/>
  <c r="G33" i="6"/>
  <c r="H33" i="6"/>
  <c r="I33" i="6"/>
  <c r="I35" i="6" s="1"/>
  <c r="J33" i="6"/>
  <c r="C33" i="6"/>
  <c r="D28" i="6"/>
  <c r="E28" i="6"/>
  <c r="F28" i="6"/>
  <c r="G28" i="6"/>
  <c r="C28" i="6"/>
  <c r="D27" i="6"/>
  <c r="E27" i="6"/>
  <c r="F27" i="6"/>
  <c r="G27" i="6"/>
  <c r="C27" i="6"/>
  <c r="Z2" i="4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5" i="20"/>
  <c r="E6" i="20"/>
  <c r="E7" i="20"/>
  <c r="G7" i="20" s="1"/>
  <c r="E8" i="20"/>
  <c r="G8" i="20" s="1"/>
  <c r="E9" i="20"/>
  <c r="G9" i="20" s="1"/>
  <c r="E10" i="20"/>
  <c r="G10" i="20" s="1"/>
  <c r="E11" i="20"/>
  <c r="G11" i="20" s="1"/>
  <c r="E12" i="20"/>
  <c r="G12" i="20" s="1"/>
  <c r="E13" i="20"/>
  <c r="G13" i="20" s="1"/>
  <c r="E14" i="20"/>
  <c r="G14" i="20" s="1"/>
  <c r="E15" i="20"/>
  <c r="G15" i="20" s="1"/>
  <c r="E16" i="20"/>
  <c r="G16" i="20" s="1"/>
  <c r="E17" i="20"/>
  <c r="G17" i="20" s="1"/>
  <c r="E18" i="20"/>
  <c r="G18" i="20" s="1"/>
  <c r="E19" i="20"/>
  <c r="G19" i="20" s="1"/>
  <c r="E20" i="20"/>
  <c r="G20" i="20" s="1"/>
  <c r="E21" i="20"/>
  <c r="G21" i="20" s="1"/>
  <c r="E22" i="20"/>
  <c r="G22" i="20" s="1"/>
  <c r="E23" i="20"/>
  <c r="G23" i="20" s="1"/>
  <c r="E24" i="20"/>
  <c r="G24" i="20" s="1"/>
  <c r="E25" i="20"/>
  <c r="G25" i="20" s="1"/>
  <c r="E26" i="20"/>
  <c r="G26" i="20" s="1"/>
  <c r="E27" i="20"/>
  <c r="G27" i="20" s="1"/>
  <c r="E28" i="20"/>
  <c r="G28" i="20" s="1"/>
  <c r="E29" i="20"/>
  <c r="G29" i="20" s="1"/>
  <c r="E30" i="20"/>
  <c r="G30" i="20" s="1"/>
  <c r="E31" i="20"/>
  <c r="G31" i="20" s="1"/>
  <c r="E32" i="20"/>
  <c r="G32" i="20" s="1"/>
  <c r="E33" i="20"/>
  <c r="G33" i="20" s="1"/>
  <c r="E34" i="20"/>
  <c r="G34" i="20" s="1"/>
  <c r="E35" i="20"/>
  <c r="G35" i="20" s="1"/>
  <c r="E36" i="20"/>
  <c r="G36" i="20" s="1"/>
  <c r="E37" i="20"/>
  <c r="G37" i="20" s="1"/>
  <c r="E38" i="20"/>
  <c r="G38" i="20" s="1"/>
  <c r="E39" i="20"/>
  <c r="G39" i="20" s="1"/>
  <c r="E40" i="20"/>
  <c r="G40" i="20" s="1"/>
  <c r="E41" i="20"/>
  <c r="G41" i="20" s="1"/>
  <c r="E42" i="20"/>
  <c r="G42" i="20" s="1"/>
  <c r="E43" i="20"/>
  <c r="G43" i="20" s="1"/>
  <c r="E44" i="20"/>
  <c r="G44" i="20" s="1"/>
  <c r="E45" i="20"/>
  <c r="G45" i="20" s="1"/>
  <c r="E46" i="20"/>
  <c r="G46" i="20" s="1"/>
  <c r="E47" i="20"/>
  <c r="G47" i="20" s="1"/>
  <c r="E48" i="20"/>
  <c r="G48" i="20" s="1"/>
  <c r="E49" i="20"/>
  <c r="G49" i="20" s="1"/>
  <c r="E50" i="20"/>
  <c r="G50" i="20" s="1"/>
  <c r="E51" i="20"/>
  <c r="G51" i="20" s="1"/>
  <c r="E52" i="20"/>
  <c r="G52" i="20" s="1"/>
  <c r="E53" i="20"/>
  <c r="G53" i="20" s="1"/>
  <c r="E54" i="20"/>
  <c r="G54" i="20" s="1"/>
  <c r="E55" i="20"/>
  <c r="G55" i="20" s="1"/>
  <c r="E56" i="20"/>
  <c r="G56" i="20" s="1"/>
  <c r="E57" i="20"/>
  <c r="G57" i="20" s="1"/>
  <c r="E58" i="20"/>
  <c r="G58" i="20" s="1"/>
  <c r="E59" i="20"/>
  <c r="G59" i="20" s="1"/>
  <c r="E60" i="20"/>
  <c r="G60" i="20" s="1"/>
  <c r="E61" i="20"/>
  <c r="G61" i="20" s="1"/>
  <c r="E62" i="20"/>
  <c r="G62" i="20" s="1"/>
  <c r="E63" i="20"/>
  <c r="G63" i="20" s="1"/>
  <c r="E64" i="20"/>
  <c r="G64" i="20" s="1"/>
  <c r="E65" i="20"/>
  <c r="G65" i="20" s="1"/>
  <c r="E66" i="20"/>
  <c r="G66" i="20" s="1"/>
  <c r="E67" i="20"/>
  <c r="G67" i="20" s="1"/>
  <c r="E68" i="20"/>
  <c r="G68" i="20" s="1"/>
  <c r="E69" i="20"/>
  <c r="G69" i="20" s="1"/>
  <c r="E70" i="20"/>
  <c r="G70" i="20" s="1"/>
  <c r="E71" i="20"/>
  <c r="G71" i="20" s="1"/>
  <c r="E72" i="20"/>
  <c r="G72" i="20" s="1"/>
  <c r="E73" i="20"/>
  <c r="G73" i="20" s="1"/>
  <c r="E74" i="20"/>
  <c r="G74" i="20" s="1"/>
  <c r="E75" i="20"/>
  <c r="G75" i="20" s="1"/>
  <c r="E76" i="20"/>
  <c r="G76" i="20" s="1"/>
  <c r="E77" i="20"/>
  <c r="G77" i="20" s="1"/>
  <c r="E78" i="20"/>
  <c r="G78" i="20" s="1"/>
  <c r="E79" i="20"/>
  <c r="G79" i="20" s="1"/>
  <c r="E80" i="20"/>
  <c r="G80" i="20" s="1"/>
  <c r="E81" i="20"/>
  <c r="G81" i="20" s="1"/>
  <c r="E82" i="20"/>
  <c r="G82" i="20" s="1"/>
  <c r="E83" i="20"/>
  <c r="G83" i="20" s="1"/>
  <c r="E84" i="20"/>
  <c r="G84" i="20" s="1"/>
  <c r="E85" i="20"/>
  <c r="G85" i="20" s="1"/>
  <c r="E86" i="20"/>
  <c r="G86" i="20" s="1"/>
  <c r="E87" i="20"/>
  <c r="G87" i="20" s="1"/>
  <c r="E88" i="20"/>
  <c r="G88" i="20" s="1"/>
  <c r="E89" i="20"/>
  <c r="G89" i="20" s="1"/>
  <c r="E90" i="20"/>
  <c r="G90" i="20" s="1"/>
  <c r="E91" i="20"/>
  <c r="G91" i="20" s="1"/>
  <c r="E92" i="20"/>
  <c r="G92" i="20" s="1"/>
  <c r="E93" i="20"/>
  <c r="G93" i="20" s="1"/>
  <c r="E94" i="20"/>
  <c r="G94" i="20" s="1"/>
  <c r="E95" i="20"/>
  <c r="G95" i="20" s="1"/>
  <c r="E96" i="20"/>
  <c r="G96" i="20" s="1"/>
  <c r="E97" i="20"/>
  <c r="G97" i="20" s="1"/>
  <c r="E98" i="20"/>
  <c r="G98" i="20" s="1"/>
  <c r="E99" i="20"/>
  <c r="G99" i="20" s="1"/>
  <c r="E100" i="20"/>
  <c r="G100" i="20" s="1"/>
  <c r="E101" i="20"/>
  <c r="G101" i="20" s="1"/>
  <c r="E102" i="20"/>
  <c r="G102" i="20" s="1"/>
  <c r="E103" i="20"/>
  <c r="G103" i="20" s="1"/>
  <c r="E104" i="20"/>
  <c r="G104" i="20" s="1"/>
  <c r="E105" i="20"/>
  <c r="G105" i="20" s="1"/>
  <c r="E106" i="20"/>
  <c r="G106" i="20" s="1"/>
  <c r="E107" i="20"/>
  <c r="G107" i="20" s="1"/>
  <c r="E108" i="20"/>
  <c r="G108" i="20" s="1"/>
  <c r="E109" i="20"/>
  <c r="G109" i="20" s="1"/>
  <c r="E110" i="20"/>
  <c r="G110" i="20" s="1"/>
  <c r="E111" i="20"/>
  <c r="G111" i="20" s="1"/>
  <c r="E112" i="20"/>
  <c r="G112" i="20" s="1"/>
  <c r="E113" i="20"/>
  <c r="G113" i="20" s="1"/>
  <c r="E114" i="20"/>
  <c r="G114" i="20" s="1"/>
  <c r="E115" i="20"/>
  <c r="G115" i="20" s="1"/>
  <c r="E116" i="20"/>
  <c r="G116" i="20" s="1"/>
  <c r="E117" i="20"/>
  <c r="G117" i="20" s="1"/>
  <c r="E118" i="20"/>
  <c r="G118" i="20" s="1"/>
  <c r="E119" i="20"/>
  <c r="G119" i="20" s="1"/>
  <c r="E120" i="20"/>
  <c r="G120" i="20" s="1"/>
  <c r="E121" i="20"/>
  <c r="G121" i="20" s="1"/>
  <c r="E122" i="20"/>
  <c r="G122" i="20" s="1"/>
  <c r="E123" i="20"/>
  <c r="G123" i="20" s="1"/>
  <c r="E124" i="20"/>
  <c r="G124" i="20" s="1"/>
  <c r="E125" i="20"/>
  <c r="G125" i="20" s="1"/>
  <c r="E126" i="20"/>
  <c r="G126" i="20" s="1"/>
  <c r="E127" i="20"/>
  <c r="G127" i="20" s="1"/>
  <c r="E128" i="20"/>
  <c r="G128" i="20" s="1"/>
  <c r="E129" i="20"/>
  <c r="G129" i="20" s="1"/>
  <c r="E130" i="20"/>
  <c r="G130" i="20" s="1"/>
  <c r="E131" i="20"/>
  <c r="G131" i="20" s="1"/>
  <c r="E132" i="20"/>
  <c r="E133" i="20"/>
  <c r="G133" i="20" s="1"/>
  <c r="E134" i="20"/>
  <c r="G134" i="20" s="1"/>
  <c r="E135" i="20"/>
  <c r="G135" i="20" s="1"/>
  <c r="E136" i="20"/>
  <c r="G136" i="20" s="1"/>
  <c r="E137" i="20"/>
  <c r="G137" i="20" s="1"/>
  <c r="E138" i="20"/>
  <c r="G138" i="20" s="1"/>
  <c r="E139" i="20"/>
  <c r="G139" i="20" s="1"/>
  <c r="E140" i="20"/>
  <c r="G140" i="20" s="1"/>
  <c r="E141" i="20"/>
  <c r="G141" i="20" s="1"/>
  <c r="E142" i="20"/>
  <c r="G142" i="20" s="1"/>
  <c r="E143" i="20"/>
  <c r="G143" i="20" s="1"/>
  <c r="E144" i="20"/>
  <c r="G144" i="20" s="1"/>
  <c r="E145" i="20"/>
  <c r="G145" i="20" s="1"/>
  <c r="E146" i="20"/>
  <c r="G146" i="20" s="1"/>
  <c r="E147" i="20"/>
  <c r="G147" i="20" s="1"/>
  <c r="E148" i="20"/>
  <c r="G148" i="20" s="1"/>
  <c r="E149" i="20"/>
  <c r="E150" i="20"/>
  <c r="E151" i="20"/>
  <c r="E152" i="20"/>
  <c r="G152" i="20" s="1"/>
  <c r="E153" i="20"/>
  <c r="G153" i="20" s="1"/>
  <c r="E154" i="20"/>
  <c r="G154" i="20" s="1"/>
  <c r="E155" i="20"/>
  <c r="G155" i="20" s="1"/>
  <c r="E156" i="20"/>
  <c r="E157" i="20"/>
  <c r="E158" i="20"/>
  <c r="G158" i="20" s="1"/>
  <c r="E159" i="20"/>
  <c r="G159" i="20" s="1"/>
  <c r="E160" i="20"/>
  <c r="G160" i="20" s="1"/>
  <c r="E161" i="20"/>
  <c r="G161" i="20" s="1"/>
  <c r="E162" i="20"/>
  <c r="E163" i="20"/>
  <c r="E164" i="20"/>
  <c r="E165" i="20"/>
  <c r="G165" i="20" s="1"/>
  <c r="E166" i="20"/>
  <c r="E167" i="20"/>
  <c r="E168" i="20"/>
  <c r="G168" i="20" s="1"/>
  <c r="E169" i="20"/>
  <c r="E170" i="20"/>
  <c r="E171" i="20"/>
  <c r="G171" i="20" s="1"/>
  <c r="E172" i="20"/>
  <c r="G172" i="20" s="1"/>
  <c r="E173" i="20"/>
  <c r="G173" i="20" s="1"/>
  <c r="E174" i="20"/>
  <c r="G174" i="20" s="1"/>
  <c r="E175" i="20"/>
  <c r="E176" i="20"/>
  <c r="G176" i="20" s="1"/>
  <c r="E177" i="20"/>
  <c r="G177" i="20" s="1"/>
  <c r="E178" i="20"/>
  <c r="G178" i="20" s="1"/>
  <c r="E179" i="20"/>
  <c r="E180" i="20"/>
  <c r="E181" i="20"/>
  <c r="G181" i="20" s="1"/>
  <c r="E182" i="20"/>
  <c r="G182" i="20" s="1"/>
  <c r="E183" i="20"/>
  <c r="G183" i="20" s="1"/>
  <c r="E184" i="20"/>
  <c r="G184" i="20" s="1"/>
  <c r="E185" i="20"/>
  <c r="G185" i="20" s="1"/>
  <c r="E186" i="20"/>
  <c r="G186" i="20" s="1"/>
  <c r="E187" i="20"/>
  <c r="E188" i="20"/>
  <c r="G188" i="20" s="1"/>
  <c r="E189" i="20"/>
  <c r="G189" i="20" s="1"/>
  <c r="E190" i="20"/>
  <c r="E191" i="20"/>
  <c r="E192" i="20"/>
  <c r="E193" i="20"/>
  <c r="E194" i="20"/>
  <c r="E195" i="20"/>
  <c r="E196" i="20"/>
  <c r="E5" i="20"/>
  <c r="Z10" i="4"/>
  <c r="AF5" i="4" s="1"/>
  <c r="C3" i="4"/>
  <c r="L4" i="6"/>
  <c r="M4" i="6"/>
  <c r="N4" i="6"/>
  <c r="O4" i="6"/>
  <c r="P4" i="6"/>
  <c r="Q4" i="6"/>
  <c r="R4" i="6"/>
  <c r="S4" i="6"/>
  <c r="M3" i="6"/>
  <c r="N3" i="6"/>
  <c r="O3" i="6"/>
  <c r="P3" i="6"/>
  <c r="Q3" i="6"/>
  <c r="R3" i="6"/>
  <c r="S3" i="6"/>
  <c r="L3" i="6"/>
  <c r="T2" i="17"/>
  <c r="C65" i="20"/>
  <c r="C41" i="20"/>
  <c r="C38" i="20"/>
  <c r="C35" i="20"/>
  <c r="C32" i="20"/>
  <c r="C29" i="20"/>
  <c r="C26" i="20"/>
  <c r="C23" i="20"/>
  <c r="C20" i="20"/>
  <c r="C15" i="20"/>
  <c r="C12" i="20"/>
  <c r="C8" i="20"/>
  <c r="AW3" i="1"/>
  <c r="G197" i="20"/>
  <c r="H197" i="20"/>
  <c r="I197" i="20"/>
  <c r="J197" i="20"/>
  <c r="K197" i="20"/>
  <c r="L197" i="20"/>
  <c r="M197" i="20"/>
  <c r="N197" i="20"/>
  <c r="O197" i="20"/>
  <c r="P197" i="20"/>
  <c r="Q197" i="20"/>
  <c r="R197" i="20"/>
  <c r="S197" i="20"/>
  <c r="T197" i="20"/>
  <c r="U197" i="20"/>
  <c r="V197" i="20"/>
  <c r="W197" i="20"/>
  <c r="X197" i="20"/>
  <c r="Y197" i="20"/>
  <c r="AA197" i="20"/>
  <c r="G198" i="20"/>
  <c r="H198" i="20"/>
  <c r="I198" i="20"/>
  <c r="J198" i="20"/>
  <c r="K198" i="20"/>
  <c r="L198" i="20"/>
  <c r="M198" i="20"/>
  <c r="N198" i="20"/>
  <c r="O198" i="20"/>
  <c r="P198" i="20"/>
  <c r="Q198" i="20"/>
  <c r="R198" i="20"/>
  <c r="S198" i="20"/>
  <c r="T198" i="20"/>
  <c r="U198" i="20"/>
  <c r="V198" i="20"/>
  <c r="W198" i="20"/>
  <c r="X198" i="20"/>
  <c r="Y198" i="20"/>
  <c r="AA198" i="20"/>
  <c r="G199" i="20"/>
  <c r="H199" i="20"/>
  <c r="I199" i="20"/>
  <c r="J199" i="20"/>
  <c r="K199" i="20"/>
  <c r="L199" i="20"/>
  <c r="M199" i="20"/>
  <c r="N199" i="20"/>
  <c r="O199" i="20"/>
  <c r="P199" i="20"/>
  <c r="Q199" i="20"/>
  <c r="R199" i="20"/>
  <c r="S199" i="20"/>
  <c r="T199" i="20"/>
  <c r="U199" i="20"/>
  <c r="V199" i="20"/>
  <c r="W199" i="20"/>
  <c r="X199" i="20"/>
  <c r="Y199" i="20"/>
  <c r="AA199" i="20"/>
  <c r="G200" i="20"/>
  <c r="H200" i="20"/>
  <c r="I200" i="20"/>
  <c r="J200" i="20"/>
  <c r="K200" i="20"/>
  <c r="L200" i="20"/>
  <c r="M200" i="20"/>
  <c r="N200" i="20"/>
  <c r="O200" i="20"/>
  <c r="P200" i="20"/>
  <c r="Q200" i="20"/>
  <c r="R200" i="20"/>
  <c r="S200" i="20"/>
  <c r="T200" i="20"/>
  <c r="U200" i="20"/>
  <c r="V200" i="20"/>
  <c r="W200" i="20"/>
  <c r="X200" i="20"/>
  <c r="Y200" i="20"/>
  <c r="AA200" i="20"/>
  <c r="G201" i="20"/>
  <c r="H201" i="20"/>
  <c r="I201" i="20"/>
  <c r="J201" i="20"/>
  <c r="K201" i="20"/>
  <c r="L201" i="20"/>
  <c r="M201" i="20"/>
  <c r="N201" i="20"/>
  <c r="O201" i="20"/>
  <c r="P201" i="20"/>
  <c r="Q201" i="20"/>
  <c r="R201" i="20"/>
  <c r="S201" i="20"/>
  <c r="T201" i="20"/>
  <c r="U201" i="20"/>
  <c r="V201" i="20"/>
  <c r="W201" i="20"/>
  <c r="X201" i="20"/>
  <c r="Y201" i="20"/>
  <c r="AA201" i="20"/>
  <c r="G202" i="20"/>
  <c r="H202" i="20"/>
  <c r="I202" i="20"/>
  <c r="J202" i="20"/>
  <c r="K202" i="20"/>
  <c r="L202" i="20"/>
  <c r="M202" i="20"/>
  <c r="N202" i="20"/>
  <c r="O202" i="20"/>
  <c r="P202" i="20"/>
  <c r="Q202" i="20"/>
  <c r="R202" i="20"/>
  <c r="S202" i="20"/>
  <c r="T202" i="20"/>
  <c r="U202" i="20"/>
  <c r="V202" i="20"/>
  <c r="W202" i="20"/>
  <c r="X202" i="20"/>
  <c r="Y202" i="20"/>
  <c r="AA202" i="20"/>
  <c r="G203" i="20"/>
  <c r="H203" i="20"/>
  <c r="I203" i="20"/>
  <c r="J203" i="20"/>
  <c r="K203" i="20"/>
  <c r="L203" i="20"/>
  <c r="M203" i="20"/>
  <c r="N203" i="20"/>
  <c r="O203" i="20"/>
  <c r="P203" i="20"/>
  <c r="Q203" i="20"/>
  <c r="R203" i="20"/>
  <c r="S203" i="20"/>
  <c r="T203" i="20"/>
  <c r="U203" i="20"/>
  <c r="V203" i="20"/>
  <c r="W203" i="20"/>
  <c r="X203" i="20"/>
  <c r="Y203" i="20"/>
  <c r="AA203" i="20"/>
  <c r="G204" i="20"/>
  <c r="H204" i="20"/>
  <c r="I204" i="20"/>
  <c r="J204" i="20"/>
  <c r="K204" i="20"/>
  <c r="L204" i="20"/>
  <c r="M204" i="20"/>
  <c r="N204" i="20"/>
  <c r="O204" i="20"/>
  <c r="P204" i="20"/>
  <c r="Q204" i="20"/>
  <c r="R204" i="20"/>
  <c r="S204" i="20"/>
  <c r="T204" i="20"/>
  <c r="U204" i="20"/>
  <c r="V204" i="20"/>
  <c r="W204" i="20"/>
  <c r="X204" i="20"/>
  <c r="Y204" i="20"/>
  <c r="AA204" i="20"/>
  <c r="G205" i="20"/>
  <c r="H205" i="20"/>
  <c r="I205" i="20"/>
  <c r="J205" i="20"/>
  <c r="K205" i="20"/>
  <c r="L205" i="20"/>
  <c r="M205" i="20"/>
  <c r="N205" i="20"/>
  <c r="O205" i="20"/>
  <c r="P205" i="20"/>
  <c r="Q205" i="20"/>
  <c r="R205" i="20"/>
  <c r="S205" i="20"/>
  <c r="T205" i="20"/>
  <c r="U205" i="20"/>
  <c r="V205" i="20"/>
  <c r="W205" i="20"/>
  <c r="X205" i="20"/>
  <c r="Y205" i="20"/>
  <c r="AA205" i="20"/>
  <c r="G206" i="20"/>
  <c r="H206" i="20"/>
  <c r="I206" i="20"/>
  <c r="J206" i="20"/>
  <c r="K206" i="20"/>
  <c r="L206" i="20"/>
  <c r="M206" i="20"/>
  <c r="N206" i="20"/>
  <c r="O206" i="20"/>
  <c r="P206" i="20"/>
  <c r="Q206" i="20"/>
  <c r="R206" i="20"/>
  <c r="S206" i="20"/>
  <c r="T206" i="20"/>
  <c r="U206" i="20"/>
  <c r="V206" i="20"/>
  <c r="W206" i="20"/>
  <c r="X206" i="20"/>
  <c r="Y206" i="20"/>
  <c r="AA206" i="20"/>
  <c r="G207" i="20"/>
  <c r="H207" i="20"/>
  <c r="I207" i="20"/>
  <c r="J207" i="20"/>
  <c r="K207" i="20"/>
  <c r="L207" i="20"/>
  <c r="M207" i="20"/>
  <c r="N207" i="20"/>
  <c r="O207" i="20"/>
  <c r="P207" i="20"/>
  <c r="Q207" i="20"/>
  <c r="R207" i="20"/>
  <c r="S207" i="20"/>
  <c r="T207" i="20"/>
  <c r="U207" i="20"/>
  <c r="V207" i="20"/>
  <c r="W207" i="20"/>
  <c r="X207" i="20"/>
  <c r="Y207" i="20"/>
  <c r="AA207" i="20"/>
  <c r="G208" i="20"/>
  <c r="H208" i="20"/>
  <c r="I208" i="20"/>
  <c r="J208" i="20"/>
  <c r="K208" i="20"/>
  <c r="L208" i="20"/>
  <c r="M208" i="20"/>
  <c r="N208" i="20"/>
  <c r="O208" i="20"/>
  <c r="P208" i="20"/>
  <c r="Q208" i="20"/>
  <c r="R208" i="20"/>
  <c r="S208" i="20"/>
  <c r="T208" i="20"/>
  <c r="U208" i="20"/>
  <c r="V208" i="20"/>
  <c r="W208" i="20"/>
  <c r="X208" i="20"/>
  <c r="Y208" i="20"/>
  <c r="AA208" i="20"/>
  <c r="G209" i="20"/>
  <c r="H209" i="20"/>
  <c r="I209" i="20"/>
  <c r="J209" i="20"/>
  <c r="K209" i="20"/>
  <c r="L209" i="20"/>
  <c r="M209" i="20"/>
  <c r="N209" i="20"/>
  <c r="O209" i="20"/>
  <c r="P209" i="20"/>
  <c r="Q209" i="20"/>
  <c r="R209" i="20"/>
  <c r="S209" i="20"/>
  <c r="T209" i="20"/>
  <c r="U209" i="20"/>
  <c r="V209" i="20"/>
  <c r="W209" i="20"/>
  <c r="X209" i="20"/>
  <c r="Y209" i="20"/>
  <c r="AA209" i="20"/>
  <c r="G210" i="20"/>
  <c r="H210" i="20"/>
  <c r="I210" i="20"/>
  <c r="J210" i="20"/>
  <c r="K210" i="20"/>
  <c r="L210" i="20"/>
  <c r="M210" i="20"/>
  <c r="N210" i="20"/>
  <c r="O210" i="20"/>
  <c r="P210" i="20"/>
  <c r="Q210" i="20"/>
  <c r="R210" i="20"/>
  <c r="S210" i="20"/>
  <c r="T210" i="20"/>
  <c r="U210" i="20"/>
  <c r="V210" i="20"/>
  <c r="W210" i="20"/>
  <c r="X210" i="20"/>
  <c r="Y210" i="20"/>
  <c r="AA210" i="20"/>
  <c r="G211" i="20"/>
  <c r="H211" i="20"/>
  <c r="I211" i="20"/>
  <c r="J211" i="20"/>
  <c r="K211" i="20"/>
  <c r="L211" i="20"/>
  <c r="M211" i="20"/>
  <c r="N211" i="20"/>
  <c r="O211" i="20"/>
  <c r="P211" i="20"/>
  <c r="Q211" i="20"/>
  <c r="R211" i="20"/>
  <c r="S211" i="20"/>
  <c r="T211" i="20"/>
  <c r="U211" i="20"/>
  <c r="V211" i="20"/>
  <c r="W211" i="20"/>
  <c r="X211" i="20"/>
  <c r="Y211" i="20"/>
  <c r="AA211" i="20"/>
  <c r="G212" i="20"/>
  <c r="H212" i="20"/>
  <c r="I212" i="20"/>
  <c r="J212" i="20"/>
  <c r="K212" i="20"/>
  <c r="L212" i="20"/>
  <c r="M212" i="20"/>
  <c r="N212" i="20"/>
  <c r="O212" i="20"/>
  <c r="P212" i="20"/>
  <c r="Q212" i="20"/>
  <c r="R212" i="20"/>
  <c r="S212" i="20"/>
  <c r="T212" i="20"/>
  <c r="U212" i="20"/>
  <c r="V212" i="20"/>
  <c r="W212" i="20"/>
  <c r="X212" i="20"/>
  <c r="Y212" i="20"/>
  <c r="AA212" i="20"/>
  <c r="G213" i="20"/>
  <c r="H213" i="20"/>
  <c r="I213" i="20"/>
  <c r="J213" i="20"/>
  <c r="K213" i="20"/>
  <c r="L213" i="20"/>
  <c r="M213" i="20"/>
  <c r="N213" i="20"/>
  <c r="O213" i="20"/>
  <c r="P213" i="20"/>
  <c r="Q213" i="20"/>
  <c r="R213" i="20"/>
  <c r="S213" i="20"/>
  <c r="T213" i="20"/>
  <c r="U213" i="20"/>
  <c r="V213" i="20"/>
  <c r="W213" i="20"/>
  <c r="X213" i="20"/>
  <c r="Y213" i="20"/>
  <c r="AA213" i="20"/>
  <c r="G214" i="20"/>
  <c r="H214" i="20"/>
  <c r="I214" i="20"/>
  <c r="J214" i="20"/>
  <c r="K214" i="20"/>
  <c r="L214" i="20"/>
  <c r="M214" i="20"/>
  <c r="N214" i="20"/>
  <c r="O214" i="20"/>
  <c r="P214" i="20"/>
  <c r="Q214" i="20"/>
  <c r="R214" i="20"/>
  <c r="S214" i="20"/>
  <c r="T214" i="20"/>
  <c r="U214" i="20"/>
  <c r="V214" i="20"/>
  <c r="W214" i="20"/>
  <c r="X214" i="20"/>
  <c r="Y214" i="20"/>
  <c r="AA214" i="20"/>
  <c r="G215" i="20"/>
  <c r="H215" i="20"/>
  <c r="I215" i="20"/>
  <c r="J215" i="20"/>
  <c r="K215" i="20"/>
  <c r="L215" i="20"/>
  <c r="M215" i="20"/>
  <c r="N215" i="20"/>
  <c r="O215" i="20"/>
  <c r="P215" i="20"/>
  <c r="Q215" i="20"/>
  <c r="R215" i="20"/>
  <c r="S215" i="20"/>
  <c r="T215" i="20"/>
  <c r="U215" i="20"/>
  <c r="V215" i="20"/>
  <c r="W215" i="20"/>
  <c r="X215" i="20"/>
  <c r="Y215" i="20"/>
  <c r="AA215" i="20"/>
  <c r="G216" i="20"/>
  <c r="H216" i="20"/>
  <c r="I216" i="20"/>
  <c r="J216" i="20"/>
  <c r="K216" i="20"/>
  <c r="L216" i="20"/>
  <c r="M216" i="20"/>
  <c r="N216" i="20"/>
  <c r="O216" i="20"/>
  <c r="P216" i="20"/>
  <c r="Q216" i="20"/>
  <c r="R216" i="20"/>
  <c r="S216" i="20"/>
  <c r="T216" i="20"/>
  <c r="U216" i="20"/>
  <c r="V216" i="20"/>
  <c r="W216" i="20"/>
  <c r="X216" i="20"/>
  <c r="Y216" i="20"/>
  <c r="AA216" i="20"/>
  <c r="G217" i="20"/>
  <c r="H217" i="20"/>
  <c r="I217" i="20"/>
  <c r="J217" i="20"/>
  <c r="K217" i="20"/>
  <c r="L217" i="20"/>
  <c r="M217" i="20"/>
  <c r="N217" i="20"/>
  <c r="O217" i="20"/>
  <c r="P217" i="20"/>
  <c r="Q217" i="20"/>
  <c r="R217" i="20"/>
  <c r="S217" i="20"/>
  <c r="T217" i="20"/>
  <c r="U217" i="20"/>
  <c r="V217" i="20"/>
  <c r="W217" i="20"/>
  <c r="X217" i="20"/>
  <c r="Y217" i="20"/>
  <c r="AA217" i="20"/>
  <c r="P192" i="17"/>
  <c r="P193" i="17"/>
  <c r="P194" i="17"/>
  <c r="P195" i="17"/>
  <c r="P196" i="17"/>
  <c r="AQ31" i="22"/>
  <c r="AP31" i="22"/>
  <c r="AO31" i="22"/>
  <c r="AL31" i="22"/>
  <c r="AK31" i="22"/>
  <c r="AQ30" i="22"/>
  <c r="AP30" i="22"/>
  <c r="AO30" i="22"/>
  <c r="AL30" i="22"/>
  <c r="AK30" i="22"/>
  <c r="AQ29" i="22"/>
  <c r="AP29" i="22"/>
  <c r="AO29" i="22"/>
  <c r="AK29" i="22"/>
  <c r="AQ28" i="22"/>
  <c r="AP28" i="22"/>
  <c r="AO28" i="22"/>
  <c r="AL28" i="22"/>
  <c r="AK28" i="22"/>
  <c r="AQ27" i="22"/>
  <c r="AP27" i="22"/>
  <c r="AO27" i="22"/>
  <c r="AL27" i="22"/>
  <c r="AK27" i="22"/>
  <c r="AQ26" i="22"/>
  <c r="AP26" i="22"/>
  <c r="AO26" i="22"/>
  <c r="AL26" i="22"/>
  <c r="AK26" i="22"/>
  <c r="AQ25" i="22"/>
  <c r="AP25" i="22"/>
  <c r="AO25" i="22"/>
  <c r="AL25" i="22"/>
  <c r="AK25" i="22"/>
  <c r="AQ24" i="22"/>
  <c r="AP24" i="22"/>
  <c r="AO24" i="22"/>
  <c r="AK24" i="22"/>
  <c r="AQ23" i="22"/>
  <c r="AP23" i="22"/>
  <c r="AO23" i="22"/>
  <c r="AL23" i="22"/>
  <c r="AK23" i="22"/>
  <c r="AQ22" i="22"/>
  <c r="AP22" i="22"/>
  <c r="AO22" i="22"/>
  <c r="AL22" i="22"/>
  <c r="AK22" i="22"/>
  <c r="AQ21" i="22"/>
  <c r="AP21" i="22"/>
  <c r="AO21" i="22"/>
  <c r="AL21" i="22"/>
  <c r="AK21" i="22"/>
  <c r="AS14" i="22"/>
  <c r="AR14" i="22"/>
  <c r="AQ14" i="22"/>
  <c r="AP14" i="22"/>
  <c r="AO14" i="22"/>
  <c r="AN14" i="22"/>
  <c r="AM14" i="22"/>
  <c r="AL14" i="22"/>
  <c r="AK14" i="22"/>
  <c r="AJ14" i="22"/>
  <c r="AI14" i="22"/>
  <c r="U14" i="22"/>
  <c r="O14" i="22"/>
  <c r="D14" i="22"/>
  <c r="V13" i="22"/>
  <c r="T13" i="22"/>
  <c r="L13" i="22"/>
  <c r="C13" i="22"/>
  <c r="V12" i="22"/>
  <c r="T12" i="22"/>
  <c r="L12" i="22"/>
  <c r="C12" i="22"/>
  <c r="V11" i="22"/>
  <c r="T11" i="22"/>
  <c r="L11" i="22"/>
  <c r="C11" i="22"/>
  <c r="V10" i="22"/>
  <c r="T10" i="22"/>
  <c r="C10" i="22"/>
  <c r="V9" i="22"/>
  <c r="T9" i="22"/>
  <c r="L9" i="22"/>
  <c r="C9" i="22"/>
  <c r="V8" i="22"/>
  <c r="T8" i="22"/>
  <c r="L8" i="22"/>
  <c r="C8" i="22"/>
  <c r="V7" i="22"/>
  <c r="T7" i="22"/>
  <c r="L7" i="22"/>
  <c r="C7" i="22"/>
  <c r="V6" i="22"/>
  <c r="T6" i="22"/>
  <c r="L6" i="22"/>
  <c r="C6" i="22"/>
  <c r="V5" i="22"/>
  <c r="T5" i="22"/>
  <c r="L5" i="22"/>
  <c r="C5" i="22"/>
  <c r="V4" i="22"/>
  <c r="T4" i="22"/>
  <c r="L4" i="22"/>
  <c r="V3" i="22"/>
  <c r="P14" i="22"/>
  <c r="U4" i="3"/>
  <c r="U5" i="3"/>
  <c r="U6" i="3"/>
  <c r="U7" i="3"/>
  <c r="U8" i="3"/>
  <c r="U9" i="3"/>
  <c r="U10" i="3"/>
  <c r="U11" i="3"/>
  <c r="U12" i="3"/>
  <c r="U13" i="3"/>
  <c r="U3" i="3"/>
  <c r="S14" i="3"/>
  <c r="S4" i="3"/>
  <c r="S5" i="3"/>
  <c r="S6" i="3"/>
  <c r="S7" i="3"/>
  <c r="S8" i="3"/>
  <c r="S9" i="3"/>
  <c r="S10" i="3"/>
  <c r="S11" i="3"/>
  <c r="S12" i="3"/>
  <c r="S13" i="3"/>
  <c r="S3" i="3"/>
  <c r="R14" i="3"/>
  <c r="R4" i="3"/>
  <c r="R5" i="3"/>
  <c r="R6" i="3"/>
  <c r="R7" i="3"/>
  <c r="R8" i="3"/>
  <c r="R9" i="3"/>
  <c r="R10" i="3"/>
  <c r="R11" i="3"/>
  <c r="R12" i="3"/>
  <c r="R13" i="3"/>
  <c r="R3" i="3"/>
  <c r="AR18" i="3"/>
  <c r="AR19" i="3"/>
  <c r="AR20" i="3"/>
  <c r="AR21" i="3"/>
  <c r="AR22" i="3"/>
  <c r="AR23" i="3"/>
  <c r="AR24" i="3"/>
  <c r="AR25" i="3"/>
  <c r="AR26" i="3"/>
  <c r="AR27" i="3"/>
  <c r="AR17" i="3"/>
  <c r="AQ27" i="3"/>
  <c r="AP27" i="3"/>
  <c r="AM27" i="3"/>
  <c r="AL27" i="3"/>
  <c r="AQ26" i="3"/>
  <c r="AP26" i="3"/>
  <c r="AM26" i="3"/>
  <c r="AL26" i="3"/>
  <c r="AQ25" i="3"/>
  <c r="AP25" i="3"/>
  <c r="AL25" i="3"/>
  <c r="AQ24" i="3"/>
  <c r="AP24" i="3"/>
  <c r="AM24" i="3"/>
  <c r="AL24" i="3"/>
  <c r="AQ23" i="3"/>
  <c r="AP23" i="3"/>
  <c r="AM23" i="3"/>
  <c r="AL23" i="3"/>
  <c r="AQ22" i="3"/>
  <c r="AP22" i="3"/>
  <c r="AM22" i="3"/>
  <c r="AL22" i="3"/>
  <c r="AQ21" i="3"/>
  <c r="AP21" i="3"/>
  <c r="AM21" i="3"/>
  <c r="AL21" i="3"/>
  <c r="AQ20" i="3"/>
  <c r="AP20" i="3"/>
  <c r="AL20" i="3"/>
  <c r="AQ19" i="3"/>
  <c r="AP19" i="3"/>
  <c r="AM19" i="3"/>
  <c r="AL19" i="3"/>
  <c r="AQ18" i="3"/>
  <c r="AP18" i="3"/>
  <c r="AM18" i="3"/>
  <c r="AL18" i="3"/>
  <c r="AQ17" i="3"/>
  <c r="AP17" i="3"/>
  <c r="AM17" i="3"/>
  <c r="AL17" i="3"/>
  <c r="W4" i="3"/>
  <c r="W5" i="3"/>
  <c r="W6" i="3"/>
  <c r="W7" i="3"/>
  <c r="W8" i="3"/>
  <c r="W9" i="3"/>
  <c r="W10" i="3"/>
  <c r="W11" i="3"/>
  <c r="W12" i="3"/>
  <c r="W13" i="3"/>
  <c r="AJ14" i="3"/>
  <c r="Z3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5" i="20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7" i="17"/>
  <c r="P176" i="17"/>
  <c r="P175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61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23" i="17"/>
  <c r="P122" i="17"/>
  <c r="P121" i="17"/>
  <c r="P120" i="17"/>
  <c r="P119" i="17"/>
  <c r="P118" i="17"/>
  <c r="P117" i="17"/>
  <c r="P116" i="17"/>
  <c r="P115" i="17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5" i="17"/>
  <c r="P74" i="17"/>
  <c r="P73" i="17"/>
  <c r="P72" i="17"/>
  <c r="P71" i="17"/>
  <c r="P70" i="17"/>
  <c r="P69" i="17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AP14" i="3"/>
  <c r="F14" i="3"/>
  <c r="E14" i="3"/>
  <c r="D14" i="3"/>
  <c r="G14" i="3"/>
  <c r="BX22" i="1"/>
  <c r="BY22" i="1"/>
  <c r="BZ22" i="1"/>
  <c r="CA22" i="1"/>
  <c r="CB22" i="1"/>
  <c r="CC22" i="1"/>
  <c r="BX31" i="1"/>
  <c r="BY31" i="1"/>
  <c r="BZ31" i="1"/>
  <c r="CA31" i="1"/>
  <c r="CB31" i="1"/>
  <c r="CC31" i="1"/>
  <c r="BX5" i="1"/>
  <c r="BY5" i="1"/>
  <c r="BZ5" i="1"/>
  <c r="CA5" i="1"/>
  <c r="CB5" i="1"/>
  <c r="CC5" i="1"/>
  <c r="BX54" i="1"/>
  <c r="BY54" i="1"/>
  <c r="BZ54" i="1"/>
  <c r="CA54" i="1"/>
  <c r="CB54" i="1"/>
  <c r="CC54" i="1"/>
  <c r="BX62" i="1"/>
  <c r="BY62" i="1"/>
  <c r="BZ62" i="1"/>
  <c r="CA62" i="1"/>
  <c r="CB62" i="1"/>
  <c r="CC62" i="1"/>
  <c r="BX63" i="1"/>
  <c r="BY63" i="1"/>
  <c r="BZ63" i="1"/>
  <c r="CA63" i="1"/>
  <c r="CB63" i="1"/>
  <c r="CC63" i="1"/>
  <c r="BX70" i="1"/>
  <c r="BY70" i="1"/>
  <c r="BZ70" i="1"/>
  <c r="CA70" i="1"/>
  <c r="CB70" i="1"/>
  <c r="CC70" i="1"/>
  <c r="BX10" i="1"/>
  <c r="BY10" i="1"/>
  <c r="BZ10" i="1"/>
  <c r="CA10" i="1"/>
  <c r="CB10" i="1"/>
  <c r="CC10" i="1"/>
  <c r="BX101" i="1"/>
  <c r="BY101" i="1"/>
  <c r="BZ101" i="1"/>
  <c r="CA101" i="1"/>
  <c r="CB101" i="1"/>
  <c r="CC101" i="1"/>
  <c r="BX12" i="1"/>
  <c r="BY12" i="1"/>
  <c r="BZ12" i="1"/>
  <c r="CA12" i="1"/>
  <c r="CB12" i="1"/>
  <c r="CC12" i="1"/>
  <c r="BX110" i="1"/>
  <c r="BY110" i="1"/>
  <c r="BZ110" i="1"/>
  <c r="CA110" i="1"/>
  <c r="CB110" i="1"/>
  <c r="CC110" i="1"/>
  <c r="BX113" i="1"/>
  <c r="BY113" i="1"/>
  <c r="BZ113" i="1"/>
  <c r="CA113" i="1"/>
  <c r="CB113" i="1"/>
  <c r="CC113" i="1"/>
  <c r="BX117" i="1"/>
  <c r="BY117" i="1"/>
  <c r="BZ117" i="1"/>
  <c r="CA117" i="1"/>
  <c r="CB117" i="1"/>
  <c r="CC117" i="1"/>
  <c r="BX16" i="1"/>
  <c r="BY16" i="1"/>
  <c r="BZ16" i="1"/>
  <c r="CA16" i="1"/>
  <c r="CB16" i="1"/>
  <c r="CC16" i="1"/>
  <c r="BX119" i="1"/>
  <c r="BY119" i="1"/>
  <c r="BZ119" i="1"/>
  <c r="CA119" i="1"/>
  <c r="CB119" i="1"/>
  <c r="CC119" i="1"/>
  <c r="BX120" i="1"/>
  <c r="BY120" i="1"/>
  <c r="BZ120" i="1"/>
  <c r="CA120" i="1"/>
  <c r="CB120" i="1"/>
  <c r="CC120" i="1"/>
  <c r="BX20" i="1"/>
  <c r="BY20" i="1"/>
  <c r="BZ20" i="1"/>
  <c r="CA20" i="1"/>
  <c r="CB20" i="1"/>
  <c r="CC20" i="1"/>
  <c r="BX32" i="1"/>
  <c r="BY32" i="1"/>
  <c r="BZ32" i="1"/>
  <c r="CA32" i="1"/>
  <c r="CB32" i="1"/>
  <c r="CC32" i="1"/>
  <c r="BX33" i="1"/>
  <c r="BY33" i="1"/>
  <c r="BZ33" i="1"/>
  <c r="CA33" i="1"/>
  <c r="CB33" i="1"/>
  <c r="CC33" i="1"/>
  <c r="BX34" i="1"/>
  <c r="BY34" i="1"/>
  <c r="BZ34" i="1"/>
  <c r="CA34" i="1"/>
  <c r="CB34" i="1"/>
  <c r="CC34" i="1"/>
  <c r="BX35" i="1"/>
  <c r="BY35" i="1"/>
  <c r="BZ35" i="1"/>
  <c r="CA35" i="1"/>
  <c r="CB35" i="1"/>
  <c r="CC35" i="1"/>
  <c r="BX74" i="1"/>
  <c r="BY74" i="1"/>
  <c r="BZ74" i="1"/>
  <c r="CA74" i="1"/>
  <c r="CB74" i="1"/>
  <c r="CC74" i="1"/>
  <c r="BX75" i="1"/>
  <c r="BY75" i="1"/>
  <c r="BZ75" i="1"/>
  <c r="CA75" i="1"/>
  <c r="CB75" i="1"/>
  <c r="CC75" i="1"/>
  <c r="BX95" i="1"/>
  <c r="BY95" i="1"/>
  <c r="BZ95" i="1"/>
  <c r="CA95" i="1"/>
  <c r="CB95" i="1"/>
  <c r="CC95" i="1"/>
  <c r="BX97" i="1"/>
  <c r="BY97" i="1"/>
  <c r="BZ97" i="1"/>
  <c r="CA97" i="1"/>
  <c r="CB97" i="1"/>
  <c r="CC97" i="1"/>
  <c r="BX102" i="1"/>
  <c r="BY102" i="1"/>
  <c r="BZ102" i="1"/>
  <c r="CA102" i="1"/>
  <c r="CB102" i="1"/>
  <c r="CC102" i="1"/>
  <c r="BX105" i="1"/>
  <c r="BY105" i="1"/>
  <c r="BZ105" i="1"/>
  <c r="CA105" i="1"/>
  <c r="CB105" i="1"/>
  <c r="CC105" i="1"/>
  <c r="BX109" i="1"/>
  <c r="BY109" i="1"/>
  <c r="BZ109" i="1"/>
  <c r="CA109" i="1"/>
  <c r="CB109" i="1"/>
  <c r="CC109" i="1"/>
  <c r="BX111" i="1"/>
  <c r="BY111" i="1"/>
  <c r="BZ111" i="1"/>
  <c r="CA111" i="1"/>
  <c r="CB111" i="1"/>
  <c r="CC111" i="1"/>
  <c r="BX121" i="1"/>
  <c r="BY121" i="1"/>
  <c r="BZ121" i="1"/>
  <c r="CA121" i="1"/>
  <c r="CB121" i="1"/>
  <c r="CC121" i="1"/>
  <c r="BX9" i="1"/>
  <c r="BY9" i="1"/>
  <c r="BZ9" i="1"/>
  <c r="CA9" i="1"/>
  <c r="CB9" i="1"/>
  <c r="CC9" i="1"/>
  <c r="BX37" i="1"/>
  <c r="BY37" i="1"/>
  <c r="BZ37" i="1"/>
  <c r="CA37" i="1"/>
  <c r="CB37" i="1"/>
  <c r="CC37" i="1"/>
  <c r="BX38" i="1"/>
  <c r="BY38" i="1"/>
  <c r="BZ38" i="1"/>
  <c r="CA38" i="1"/>
  <c r="CB38" i="1"/>
  <c r="CC38" i="1"/>
  <c r="BX19" i="1"/>
  <c r="BY19" i="1"/>
  <c r="BZ19" i="1"/>
  <c r="CA19" i="1"/>
  <c r="CB19" i="1"/>
  <c r="CC19" i="1"/>
  <c r="BX60" i="1"/>
  <c r="BY60" i="1"/>
  <c r="BZ60" i="1"/>
  <c r="CA60" i="1"/>
  <c r="CB60" i="1"/>
  <c r="CC60" i="1"/>
  <c r="BX81" i="1"/>
  <c r="BY81" i="1"/>
  <c r="BZ81" i="1"/>
  <c r="CA81" i="1"/>
  <c r="CB81" i="1"/>
  <c r="CC81" i="1"/>
  <c r="BX94" i="1"/>
  <c r="BY94" i="1"/>
  <c r="BZ94" i="1"/>
  <c r="CA94" i="1"/>
  <c r="CB94" i="1"/>
  <c r="CC94" i="1"/>
  <c r="BX36" i="1"/>
  <c r="BY36" i="1"/>
  <c r="BZ36" i="1"/>
  <c r="CA36" i="1"/>
  <c r="CB36" i="1"/>
  <c r="CC36" i="1"/>
  <c r="BX45" i="1"/>
  <c r="BY45" i="1"/>
  <c r="BZ45" i="1"/>
  <c r="CA45" i="1"/>
  <c r="CB45" i="1"/>
  <c r="CC45" i="1"/>
  <c r="BX46" i="1"/>
  <c r="BY46" i="1"/>
  <c r="BZ46" i="1"/>
  <c r="CA46" i="1"/>
  <c r="CB46" i="1"/>
  <c r="CC46" i="1"/>
  <c r="BX49" i="1"/>
  <c r="BY49" i="1"/>
  <c r="BZ49" i="1"/>
  <c r="CA49" i="1"/>
  <c r="CB49" i="1"/>
  <c r="CC49" i="1"/>
  <c r="BX50" i="1"/>
  <c r="BY50" i="1"/>
  <c r="BZ50" i="1"/>
  <c r="CA50" i="1"/>
  <c r="CB50" i="1"/>
  <c r="CC50" i="1"/>
  <c r="BX53" i="1"/>
  <c r="BY53" i="1"/>
  <c r="BZ53" i="1"/>
  <c r="CA53" i="1"/>
  <c r="CB53" i="1"/>
  <c r="CC53" i="1"/>
  <c r="BX118" i="1"/>
  <c r="BY118" i="1"/>
  <c r="BZ118" i="1"/>
  <c r="CA118" i="1"/>
  <c r="CB118" i="1"/>
  <c r="CC118" i="1"/>
  <c r="BX14" i="1"/>
  <c r="BY14" i="1"/>
  <c r="BZ14" i="1"/>
  <c r="CA14" i="1"/>
  <c r="CB14" i="1"/>
  <c r="CC14" i="1"/>
  <c r="BX55" i="1"/>
  <c r="BY55" i="1"/>
  <c r="BZ55" i="1"/>
  <c r="CA55" i="1"/>
  <c r="CB55" i="1"/>
  <c r="CC55" i="1"/>
  <c r="BX56" i="1"/>
  <c r="BY56" i="1"/>
  <c r="BZ56" i="1"/>
  <c r="CA56" i="1"/>
  <c r="CB56" i="1"/>
  <c r="CC56" i="1"/>
  <c r="BX57" i="1"/>
  <c r="BY57" i="1"/>
  <c r="BZ57" i="1"/>
  <c r="CA57" i="1"/>
  <c r="CB57" i="1"/>
  <c r="CC57" i="1"/>
  <c r="BX58" i="1"/>
  <c r="BY58" i="1"/>
  <c r="BZ58" i="1"/>
  <c r="CA58" i="1"/>
  <c r="CB58" i="1"/>
  <c r="CC58" i="1"/>
  <c r="BX59" i="1"/>
  <c r="BY59" i="1"/>
  <c r="BZ59" i="1"/>
  <c r="CA59" i="1"/>
  <c r="CB59" i="1"/>
  <c r="CC59" i="1"/>
  <c r="BX26" i="1"/>
  <c r="BY26" i="1"/>
  <c r="BZ26" i="1"/>
  <c r="CA26" i="1"/>
  <c r="CB26" i="1"/>
  <c r="CC26" i="1"/>
  <c r="BX30" i="1"/>
  <c r="BY30" i="1"/>
  <c r="BZ30" i="1"/>
  <c r="CA30" i="1"/>
  <c r="CB30" i="1"/>
  <c r="CC30" i="1"/>
  <c r="BX43" i="1"/>
  <c r="BY43" i="1"/>
  <c r="BZ43" i="1"/>
  <c r="CA43" i="1"/>
  <c r="CB43" i="1"/>
  <c r="CC43" i="1"/>
  <c r="BX44" i="1"/>
  <c r="BY44" i="1"/>
  <c r="BZ44" i="1"/>
  <c r="CA44" i="1"/>
  <c r="CB44" i="1"/>
  <c r="CC44" i="1"/>
  <c r="BX47" i="1"/>
  <c r="BY47" i="1"/>
  <c r="BZ47" i="1"/>
  <c r="CA47" i="1"/>
  <c r="CB47" i="1"/>
  <c r="CC47" i="1"/>
  <c r="BX52" i="1"/>
  <c r="BY52" i="1"/>
  <c r="BZ52" i="1"/>
  <c r="CA52" i="1"/>
  <c r="CB52" i="1"/>
  <c r="CC52" i="1"/>
  <c r="BX64" i="1"/>
  <c r="BY64" i="1"/>
  <c r="BZ64" i="1"/>
  <c r="CA64" i="1"/>
  <c r="CB64" i="1"/>
  <c r="CC64" i="1"/>
  <c r="BX67" i="1"/>
  <c r="BY67" i="1"/>
  <c r="BZ67" i="1"/>
  <c r="CA67" i="1"/>
  <c r="CB67" i="1"/>
  <c r="CC67" i="1"/>
  <c r="BX65" i="1"/>
  <c r="BY65" i="1"/>
  <c r="BZ65" i="1"/>
  <c r="CA65" i="1"/>
  <c r="CB65" i="1"/>
  <c r="CC65" i="1"/>
  <c r="BX66" i="1"/>
  <c r="BY66" i="1"/>
  <c r="BZ66" i="1"/>
  <c r="CA66" i="1"/>
  <c r="CB66" i="1"/>
  <c r="CC66" i="1"/>
  <c r="BX68" i="1"/>
  <c r="BY68" i="1"/>
  <c r="BZ68" i="1"/>
  <c r="CA68" i="1"/>
  <c r="CB68" i="1"/>
  <c r="CC68" i="1"/>
  <c r="BX69" i="1"/>
  <c r="BY69" i="1"/>
  <c r="BZ69" i="1"/>
  <c r="CA69" i="1"/>
  <c r="CB69" i="1"/>
  <c r="CC69" i="1"/>
  <c r="BX73" i="1"/>
  <c r="BY73" i="1"/>
  <c r="BZ73" i="1"/>
  <c r="CA73" i="1"/>
  <c r="CB73" i="1"/>
  <c r="CC73" i="1"/>
  <c r="BX80" i="1"/>
  <c r="BY80" i="1"/>
  <c r="BZ80" i="1"/>
  <c r="CA80" i="1"/>
  <c r="CB80" i="1"/>
  <c r="CC80" i="1"/>
  <c r="BX84" i="1"/>
  <c r="BY84" i="1"/>
  <c r="BZ84" i="1"/>
  <c r="CA84" i="1"/>
  <c r="CB84" i="1"/>
  <c r="CC84" i="1"/>
  <c r="BX93" i="1"/>
  <c r="BY93" i="1"/>
  <c r="BZ93" i="1"/>
  <c r="CA93" i="1"/>
  <c r="CB93" i="1"/>
  <c r="CC93" i="1"/>
  <c r="BX77" i="1"/>
  <c r="BY77" i="1"/>
  <c r="BZ77" i="1"/>
  <c r="CA77" i="1"/>
  <c r="CB77" i="1"/>
  <c r="CC77" i="1"/>
  <c r="BX78" i="1"/>
  <c r="BY78" i="1"/>
  <c r="BZ78" i="1"/>
  <c r="CA78" i="1"/>
  <c r="CB78" i="1"/>
  <c r="CC78" i="1"/>
  <c r="BX4" i="1"/>
  <c r="BY4" i="1"/>
  <c r="BZ4" i="1"/>
  <c r="CA4" i="1"/>
  <c r="CB4" i="1"/>
  <c r="CC4" i="1"/>
  <c r="BX6" i="1"/>
  <c r="BY6" i="1"/>
  <c r="BZ6" i="1"/>
  <c r="CA6" i="1"/>
  <c r="CB6" i="1"/>
  <c r="CC6" i="1"/>
  <c r="BX13" i="1"/>
  <c r="BY13" i="1"/>
  <c r="BZ13" i="1"/>
  <c r="CA13" i="1"/>
  <c r="CB13" i="1"/>
  <c r="CC13" i="1"/>
  <c r="BX82" i="1"/>
  <c r="BY82" i="1"/>
  <c r="BZ82" i="1"/>
  <c r="CA82" i="1"/>
  <c r="CB82" i="1"/>
  <c r="CC82" i="1"/>
  <c r="BX76" i="1"/>
  <c r="BY76" i="1"/>
  <c r="BZ76" i="1"/>
  <c r="CA76" i="1"/>
  <c r="CB76" i="1"/>
  <c r="CC76" i="1"/>
  <c r="BX90" i="1"/>
  <c r="BY90" i="1"/>
  <c r="BZ90" i="1"/>
  <c r="CA90" i="1"/>
  <c r="CB90" i="1"/>
  <c r="CC90" i="1"/>
  <c r="BX85" i="1"/>
  <c r="BY85" i="1"/>
  <c r="BZ85" i="1"/>
  <c r="CA85" i="1"/>
  <c r="CB85" i="1"/>
  <c r="CC85" i="1"/>
  <c r="BX86" i="1"/>
  <c r="BY86" i="1"/>
  <c r="BZ86" i="1"/>
  <c r="CA86" i="1"/>
  <c r="CB86" i="1"/>
  <c r="CC86" i="1"/>
  <c r="BX87" i="1"/>
  <c r="BY87" i="1"/>
  <c r="BZ87" i="1"/>
  <c r="CA87" i="1"/>
  <c r="CB87" i="1"/>
  <c r="CC87" i="1"/>
  <c r="BX21" i="1"/>
  <c r="BY21" i="1"/>
  <c r="BZ21" i="1"/>
  <c r="CA21" i="1"/>
  <c r="CB21" i="1"/>
  <c r="CC21" i="1"/>
  <c r="BX89" i="1"/>
  <c r="BY89" i="1"/>
  <c r="BZ89" i="1"/>
  <c r="CA89" i="1"/>
  <c r="CB89" i="1"/>
  <c r="CC89" i="1"/>
  <c r="BX29" i="1"/>
  <c r="BY29" i="1"/>
  <c r="BZ29" i="1"/>
  <c r="CA29" i="1"/>
  <c r="CB29" i="1"/>
  <c r="CC29" i="1"/>
  <c r="BX61" i="1"/>
  <c r="BY61" i="1"/>
  <c r="BZ61" i="1"/>
  <c r="CA61" i="1"/>
  <c r="CB61" i="1"/>
  <c r="CC61" i="1"/>
  <c r="BX92" i="1"/>
  <c r="BY92" i="1"/>
  <c r="BZ92" i="1"/>
  <c r="CA92" i="1"/>
  <c r="CB92" i="1"/>
  <c r="CC92" i="1"/>
  <c r="BX79" i="1"/>
  <c r="BY79" i="1"/>
  <c r="BZ79" i="1"/>
  <c r="CA79" i="1"/>
  <c r="CB79" i="1"/>
  <c r="CC79" i="1"/>
  <c r="BX91" i="1"/>
  <c r="BY91" i="1"/>
  <c r="BZ91" i="1"/>
  <c r="CA91" i="1"/>
  <c r="CB91" i="1"/>
  <c r="CC91" i="1"/>
  <c r="BX107" i="1"/>
  <c r="BY107" i="1"/>
  <c r="BZ107" i="1"/>
  <c r="CA107" i="1"/>
  <c r="CB107" i="1"/>
  <c r="CC107" i="1"/>
  <c r="BX96" i="1"/>
  <c r="BY96" i="1"/>
  <c r="BZ96" i="1"/>
  <c r="CA96" i="1"/>
  <c r="CB96" i="1"/>
  <c r="CC96" i="1"/>
  <c r="BX15" i="1"/>
  <c r="BY15" i="1"/>
  <c r="BZ15" i="1"/>
  <c r="CA15" i="1"/>
  <c r="CB15" i="1"/>
  <c r="CC15" i="1"/>
  <c r="BX99" i="1"/>
  <c r="BY99" i="1"/>
  <c r="BZ99" i="1"/>
  <c r="CA99" i="1"/>
  <c r="CB99" i="1"/>
  <c r="CC99" i="1"/>
  <c r="BX100" i="1"/>
  <c r="BY100" i="1"/>
  <c r="BZ100" i="1"/>
  <c r="CA100" i="1"/>
  <c r="CB100" i="1"/>
  <c r="CC100" i="1"/>
  <c r="BX23" i="1"/>
  <c r="BY23" i="1"/>
  <c r="BZ23" i="1"/>
  <c r="CA23" i="1"/>
  <c r="CB23" i="1"/>
  <c r="CC23" i="1"/>
  <c r="BX28" i="1"/>
  <c r="BY28" i="1"/>
  <c r="BZ28" i="1"/>
  <c r="CA28" i="1"/>
  <c r="CB28" i="1"/>
  <c r="CC28" i="1"/>
  <c r="BX103" i="1"/>
  <c r="BY103" i="1"/>
  <c r="BZ103" i="1"/>
  <c r="CA103" i="1"/>
  <c r="CB103" i="1"/>
  <c r="CC103" i="1"/>
  <c r="BX104" i="1"/>
  <c r="BY104" i="1"/>
  <c r="BZ104" i="1"/>
  <c r="CA104" i="1"/>
  <c r="CB104" i="1"/>
  <c r="CC104" i="1"/>
  <c r="BX98" i="1"/>
  <c r="BY98" i="1"/>
  <c r="BZ98" i="1"/>
  <c r="CA98" i="1"/>
  <c r="CB98" i="1"/>
  <c r="CC98" i="1"/>
  <c r="BX24" i="1"/>
  <c r="BY24" i="1"/>
  <c r="BZ24" i="1"/>
  <c r="CA24" i="1"/>
  <c r="CB24" i="1"/>
  <c r="CC24" i="1"/>
  <c r="BX108" i="1"/>
  <c r="BY108" i="1"/>
  <c r="BZ108" i="1"/>
  <c r="CA108" i="1"/>
  <c r="CB108" i="1"/>
  <c r="CC108" i="1"/>
  <c r="BX39" i="1"/>
  <c r="BY39" i="1"/>
  <c r="BZ39" i="1"/>
  <c r="CA39" i="1"/>
  <c r="CB39" i="1"/>
  <c r="CC39" i="1"/>
  <c r="BX40" i="1"/>
  <c r="BY40" i="1"/>
  <c r="BZ40" i="1"/>
  <c r="CA40" i="1"/>
  <c r="CB40" i="1"/>
  <c r="CC40" i="1"/>
  <c r="BX41" i="1"/>
  <c r="BY41" i="1"/>
  <c r="BZ41" i="1"/>
  <c r="CA41" i="1"/>
  <c r="CB41" i="1"/>
  <c r="CC41" i="1"/>
  <c r="BX112" i="1"/>
  <c r="BY112" i="1"/>
  <c r="BZ112" i="1"/>
  <c r="CA112" i="1"/>
  <c r="CB112" i="1"/>
  <c r="CC112" i="1"/>
  <c r="BX114" i="1"/>
  <c r="BY114" i="1"/>
  <c r="BZ114" i="1"/>
  <c r="CA114" i="1"/>
  <c r="CB114" i="1"/>
  <c r="CC114" i="1"/>
  <c r="BX3" i="1"/>
  <c r="BY3" i="1"/>
  <c r="BZ3" i="1"/>
  <c r="CA3" i="1"/>
  <c r="CB3" i="1"/>
  <c r="CC3" i="1"/>
  <c r="BX115" i="1"/>
  <c r="BY115" i="1"/>
  <c r="BZ115" i="1"/>
  <c r="CA115" i="1"/>
  <c r="CB115" i="1"/>
  <c r="CC115" i="1"/>
  <c r="BX116" i="1"/>
  <c r="BY116" i="1"/>
  <c r="BZ116" i="1"/>
  <c r="CA116" i="1"/>
  <c r="CB116" i="1"/>
  <c r="CC116" i="1"/>
  <c r="BX17" i="1"/>
  <c r="BY17" i="1"/>
  <c r="BZ17" i="1"/>
  <c r="CA17" i="1"/>
  <c r="CB17" i="1"/>
  <c r="CC17" i="1"/>
  <c r="BX18" i="1"/>
  <c r="BY18" i="1"/>
  <c r="BZ18" i="1"/>
  <c r="CA18" i="1"/>
  <c r="CB18" i="1"/>
  <c r="CC18" i="1"/>
  <c r="BX27" i="1"/>
  <c r="BY27" i="1"/>
  <c r="BZ27" i="1"/>
  <c r="CA27" i="1"/>
  <c r="CB27" i="1"/>
  <c r="CC27" i="1"/>
  <c r="BX42" i="1"/>
  <c r="BY42" i="1"/>
  <c r="BZ42" i="1"/>
  <c r="CA42" i="1"/>
  <c r="CB42" i="1"/>
  <c r="CC42" i="1"/>
  <c r="BX48" i="1"/>
  <c r="BY48" i="1"/>
  <c r="BZ48" i="1"/>
  <c r="CA48" i="1"/>
  <c r="CB48" i="1"/>
  <c r="CC48" i="1"/>
  <c r="BX122" i="1"/>
  <c r="BY122" i="1"/>
  <c r="BZ122" i="1"/>
  <c r="CA122" i="1"/>
  <c r="CB122" i="1"/>
  <c r="CC122" i="1"/>
  <c r="BX83" i="1"/>
  <c r="BY83" i="1"/>
  <c r="BZ83" i="1"/>
  <c r="CA83" i="1"/>
  <c r="CB83" i="1"/>
  <c r="CC83" i="1"/>
  <c r="BX88" i="1"/>
  <c r="BY88" i="1"/>
  <c r="BZ88" i="1"/>
  <c r="CA88" i="1"/>
  <c r="CB88" i="1"/>
  <c r="CC88" i="1"/>
  <c r="BX125" i="1"/>
  <c r="BY125" i="1"/>
  <c r="BZ125" i="1"/>
  <c r="CA125" i="1"/>
  <c r="CB125" i="1"/>
  <c r="CC125" i="1"/>
  <c r="BX7" i="1"/>
  <c r="BY7" i="1"/>
  <c r="BZ7" i="1"/>
  <c r="CA7" i="1"/>
  <c r="CB7" i="1"/>
  <c r="CC7" i="1"/>
  <c r="BX8" i="1"/>
  <c r="BY8" i="1"/>
  <c r="BZ8" i="1"/>
  <c r="CA8" i="1"/>
  <c r="CB8" i="1"/>
  <c r="CC8" i="1"/>
  <c r="BX11" i="1"/>
  <c r="BY11" i="1"/>
  <c r="BZ11" i="1"/>
  <c r="CA11" i="1"/>
  <c r="CB11" i="1"/>
  <c r="CC11" i="1"/>
  <c r="BX129" i="1"/>
  <c r="BY129" i="1"/>
  <c r="BZ129" i="1"/>
  <c r="CA129" i="1"/>
  <c r="CB129" i="1"/>
  <c r="CC129" i="1"/>
  <c r="BX130" i="1"/>
  <c r="BY130" i="1"/>
  <c r="BZ130" i="1"/>
  <c r="CA130" i="1"/>
  <c r="CB130" i="1"/>
  <c r="CC130" i="1"/>
  <c r="BX25" i="1"/>
  <c r="BY25" i="1"/>
  <c r="BZ25" i="1"/>
  <c r="CA25" i="1"/>
  <c r="CB25" i="1"/>
  <c r="CC25" i="1"/>
  <c r="BX51" i="1"/>
  <c r="BY51" i="1"/>
  <c r="BZ51" i="1"/>
  <c r="CA51" i="1"/>
  <c r="CB51" i="1"/>
  <c r="CC51" i="1"/>
  <c r="BX133" i="1"/>
  <c r="BY133" i="1"/>
  <c r="BZ133" i="1"/>
  <c r="CA133" i="1"/>
  <c r="CB133" i="1"/>
  <c r="CC133" i="1"/>
  <c r="BX71" i="1"/>
  <c r="BY71" i="1"/>
  <c r="BZ71" i="1"/>
  <c r="CA71" i="1"/>
  <c r="CB71" i="1"/>
  <c r="CC71" i="1"/>
  <c r="BX72" i="1"/>
  <c r="BY72" i="1"/>
  <c r="BZ72" i="1"/>
  <c r="CA72" i="1"/>
  <c r="CB72" i="1"/>
  <c r="CC72" i="1"/>
  <c r="BX106" i="1"/>
  <c r="BY106" i="1"/>
  <c r="BZ106" i="1"/>
  <c r="CA106" i="1"/>
  <c r="CB106" i="1"/>
  <c r="CC106" i="1"/>
  <c r="BX123" i="1"/>
  <c r="BY123" i="1"/>
  <c r="BZ123" i="1"/>
  <c r="CA123" i="1"/>
  <c r="CB123" i="1"/>
  <c r="CC123" i="1"/>
  <c r="CC2" i="1"/>
  <c r="CB2" i="1"/>
  <c r="CA2" i="1"/>
  <c r="BZ2" i="1"/>
  <c r="BX2" i="1"/>
  <c r="BY2" i="1"/>
  <c r="AK14" i="3"/>
  <c r="AL14" i="3"/>
  <c r="AM14" i="3"/>
  <c r="AN14" i="3"/>
  <c r="AO14" i="3"/>
  <c r="AQ14" i="3"/>
  <c r="AR14" i="3"/>
  <c r="AS14" i="3"/>
  <c r="AT14" i="3"/>
  <c r="W3" i="3"/>
  <c r="X4" i="3"/>
  <c r="X5" i="3"/>
  <c r="X6" i="3"/>
  <c r="X7" i="3"/>
  <c r="X8" i="3"/>
  <c r="X9" i="3"/>
  <c r="X10" i="3"/>
  <c r="X11" i="3"/>
  <c r="X12" i="3"/>
  <c r="X13" i="3"/>
  <c r="V14" i="3"/>
  <c r="M11" i="3"/>
  <c r="AG8" i="3"/>
  <c r="AG11" i="3"/>
  <c r="AG4" i="3"/>
  <c r="AG5" i="3"/>
  <c r="AG6" i="3"/>
  <c r="AG7" i="3"/>
  <c r="AG9" i="3"/>
  <c r="AG10" i="3"/>
  <c r="AG12" i="3"/>
  <c r="AG13" i="3"/>
  <c r="AG3" i="3"/>
  <c r="C13" i="3"/>
  <c r="C12" i="3"/>
  <c r="C11" i="3"/>
  <c r="C10" i="3"/>
  <c r="C9" i="3"/>
  <c r="C8" i="3"/>
  <c r="C7" i="3"/>
  <c r="C6" i="3"/>
  <c r="C5" i="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2" i="13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C7" i="11" s="1"/>
  <c r="N8" i="4"/>
  <c r="B7" i="11" s="1"/>
  <c r="J9" i="4"/>
  <c r="K9" i="4"/>
  <c r="L9" i="4"/>
  <c r="M9" i="4"/>
  <c r="C8" i="11" s="1"/>
  <c r="N9" i="4"/>
  <c r="B8" i="11" s="1"/>
  <c r="J10" i="4"/>
  <c r="K10" i="4"/>
  <c r="L10" i="4"/>
  <c r="M10" i="4"/>
  <c r="C9" i="11" s="1"/>
  <c r="N10" i="4"/>
  <c r="B9" i="11" s="1"/>
  <c r="J11" i="4"/>
  <c r="K11" i="4"/>
  <c r="E10" i="11" s="1"/>
  <c r="L11" i="4"/>
  <c r="M11" i="4"/>
  <c r="C10" i="11" s="1"/>
  <c r="N11" i="4"/>
  <c r="B10" i="11" s="1"/>
  <c r="J12" i="4"/>
  <c r="K12" i="4"/>
  <c r="L12" i="4"/>
  <c r="M12" i="4"/>
  <c r="C11" i="11" s="1"/>
  <c r="N12" i="4"/>
  <c r="B11" i="11" s="1"/>
  <c r="J13" i="4"/>
  <c r="K13" i="4"/>
  <c r="L13" i="4"/>
  <c r="M13" i="4"/>
  <c r="C12" i="11" s="1"/>
  <c r="N13" i="4"/>
  <c r="B12" i="11" s="1"/>
  <c r="L3" i="4"/>
  <c r="M3" i="4"/>
  <c r="C2" i="11" s="1"/>
  <c r="N3" i="4"/>
  <c r="B2" i="11" s="1"/>
  <c r="C4" i="4"/>
  <c r="J3" i="4"/>
  <c r="AW88" i="1"/>
  <c r="L14" i="3"/>
  <c r="L15" i="3"/>
  <c r="AW34" i="1"/>
  <c r="F51" i="5" s="1"/>
  <c r="D10" i="6"/>
  <c r="BS25" i="1"/>
  <c r="BS80" i="1"/>
  <c r="AR22" i="2"/>
  <c r="BG20" i="2"/>
  <c r="BW121" i="1"/>
  <c r="BW120" i="1"/>
  <c r="BW119" i="1"/>
  <c r="BW118" i="1"/>
  <c r="BW16" i="1"/>
  <c r="BW117" i="1"/>
  <c r="BW115" i="1"/>
  <c r="BW86" i="1"/>
  <c r="BW111" i="1"/>
  <c r="BW110" i="1"/>
  <c r="BW12" i="1"/>
  <c r="BW109" i="1"/>
  <c r="BW96" i="1"/>
  <c r="BW112" i="1"/>
  <c r="BW85" i="1"/>
  <c r="BW107" i="1"/>
  <c r="BW106" i="1"/>
  <c r="BW105" i="1"/>
  <c r="BW102" i="1"/>
  <c r="BW101" i="1"/>
  <c r="BW98" i="1"/>
  <c r="BW97" i="1"/>
  <c r="BW95" i="1"/>
  <c r="BW94" i="1"/>
  <c r="BW10" i="1"/>
  <c r="BW93" i="1"/>
  <c r="BW91" i="1"/>
  <c r="BW90" i="1"/>
  <c r="BW56" i="1"/>
  <c r="BW84" i="1"/>
  <c r="BW83" i="1"/>
  <c r="BW99" i="1"/>
  <c r="BW80" i="1"/>
  <c r="BW79" i="1"/>
  <c r="BW76" i="1"/>
  <c r="BW75" i="1"/>
  <c r="BW74" i="1"/>
  <c r="BW73" i="1"/>
  <c r="BW72" i="1"/>
  <c r="BW71" i="1"/>
  <c r="BW70" i="1"/>
  <c r="BW69" i="1"/>
  <c r="BW68" i="1"/>
  <c r="BW66" i="1"/>
  <c r="BW65" i="1"/>
  <c r="BW67" i="1"/>
  <c r="BW64" i="1"/>
  <c r="BW63" i="1"/>
  <c r="BW104" i="1"/>
  <c r="BW92" i="1"/>
  <c r="BW22" i="1"/>
  <c r="BW61" i="1"/>
  <c r="BW60" i="1"/>
  <c r="BW54" i="1"/>
  <c r="BW133" i="1"/>
  <c r="BW53" i="1"/>
  <c r="BW52" i="1"/>
  <c r="BW51" i="1"/>
  <c r="BW122" i="1"/>
  <c r="BW50" i="1"/>
  <c r="BW49" i="1"/>
  <c r="BW48" i="1"/>
  <c r="BW47" i="1"/>
  <c r="BW44" i="1"/>
  <c r="BW43" i="1"/>
  <c r="BW103" i="1"/>
  <c r="BW42" i="1"/>
  <c r="BW41" i="1"/>
  <c r="BW40" i="1"/>
  <c r="BW39" i="1"/>
  <c r="BW108" i="1"/>
  <c r="BW46" i="1"/>
  <c r="BW45" i="1"/>
  <c r="BW36" i="1"/>
  <c r="BW35" i="1"/>
  <c r="BW34" i="1"/>
  <c r="BW33" i="1"/>
  <c r="BW32" i="1"/>
  <c r="BW5" i="1"/>
  <c r="BW31" i="1"/>
  <c r="BW30" i="1"/>
  <c r="BW28" i="1"/>
  <c r="BW21" i="1"/>
  <c r="BW27" i="1"/>
  <c r="BW26" i="1"/>
  <c r="BW59" i="1"/>
  <c r="BW87" i="1"/>
  <c r="BW130" i="1"/>
  <c r="BW55" i="1"/>
  <c r="BW17" i="1"/>
  <c r="BW23" i="1"/>
  <c r="BW88" i="1"/>
  <c r="BW78" i="1"/>
  <c r="BW82" i="1"/>
  <c r="BW125" i="1"/>
  <c r="BW6" i="1"/>
  <c r="BW8" i="1"/>
  <c r="BW57" i="1"/>
  <c r="BW58" i="1"/>
  <c r="BW116" i="1"/>
  <c r="BW7" i="1"/>
  <c r="BW114" i="1"/>
  <c r="BW77" i="1"/>
  <c r="BW2" i="1"/>
  <c r="BW4" i="1"/>
  <c r="BW129" i="1"/>
  <c r="BW18" i="1"/>
  <c r="BW19" i="1"/>
  <c r="BW15" i="1"/>
  <c r="BW62" i="1"/>
  <c r="BW14" i="1"/>
  <c r="BW37" i="1"/>
  <c r="BW13" i="1"/>
  <c r="BW11" i="1"/>
  <c r="BW9" i="1"/>
  <c r="BW81" i="1"/>
  <c r="BW38" i="1"/>
  <c r="BW25" i="1"/>
  <c r="BW89" i="1"/>
  <c r="BW113" i="1"/>
  <c r="BW29" i="1"/>
  <c r="BW100" i="1"/>
  <c r="BW20" i="1"/>
  <c r="BW24" i="1"/>
  <c r="BG54" i="2"/>
  <c r="BG53" i="2"/>
  <c r="BG52" i="2"/>
  <c r="BG51" i="2"/>
  <c r="BG50" i="2"/>
  <c r="BG48" i="2"/>
  <c r="BG29" i="2"/>
  <c r="BG16" i="2"/>
  <c r="BG23" i="2"/>
  <c r="BG44" i="2"/>
  <c r="BG43" i="2"/>
  <c r="BG42" i="2"/>
  <c r="BG41" i="2"/>
  <c r="BG40" i="2"/>
  <c r="BG39" i="2"/>
  <c r="BG4" i="2"/>
  <c r="BG22" i="2"/>
  <c r="BG8" i="2"/>
  <c r="BG7" i="2"/>
  <c r="BG30" i="2"/>
  <c r="BG3" i="2"/>
  <c r="BG21" i="2"/>
  <c r="BG32" i="2"/>
  <c r="BG12" i="2"/>
  <c r="BG38" i="2"/>
  <c r="BG27" i="2"/>
  <c r="BG37" i="2"/>
  <c r="BG36" i="2"/>
  <c r="BG35" i="2"/>
  <c r="BG2" i="2"/>
  <c r="BG15" i="2"/>
  <c r="BG28" i="2"/>
  <c r="BG19" i="2"/>
  <c r="BG11" i="2"/>
  <c r="BG26" i="2"/>
  <c r="BG25" i="2"/>
  <c r="BG10" i="2"/>
  <c r="BG31" i="2"/>
  <c r="BG47" i="2"/>
  <c r="BG46" i="2"/>
  <c r="BG34" i="2"/>
  <c r="BG6" i="2"/>
  <c r="BG18" i="2"/>
  <c r="BG17" i="2"/>
  <c r="BG5" i="2"/>
  <c r="BG45" i="2"/>
  <c r="BG33" i="2"/>
  <c r="BG14" i="2"/>
  <c r="BG13" i="2"/>
  <c r="BG9" i="2"/>
  <c r="BG24" i="2"/>
  <c r="BW3" i="1"/>
  <c r="AB3" i="4"/>
  <c r="AB4" i="4"/>
  <c r="AB5" i="4"/>
  <c r="AB6" i="4"/>
  <c r="AB7" i="4"/>
  <c r="AB8" i="4"/>
  <c r="AB9" i="4"/>
  <c r="AB10" i="4"/>
  <c r="AB11" i="4"/>
  <c r="AB12" i="4"/>
  <c r="AB13" i="4"/>
  <c r="AB14" i="4"/>
  <c r="AB2" i="4"/>
  <c r="AB15" i="4"/>
  <c r="A3" i="13"/>
  <c r="A4" i="13"/>
  <c r="A5" i="13"/>
  <c r="A6" i="13"/>
  <c r="A7" i="13"/>
  <c r="A8" i="13"/>
  <c r="A9" i="13"/>
  <c r="A10" i="13" s="1"/>
  <c r="A11" i="13" s="1"/>
  <c r="A12" i="13"/>
  <c r="A13" i="13"/>
  <c r="A14" i="13" s="1"/>
  <c r="A15" i="13"/>
  <c r="A16" i="13"/>
  <c r="A17" i="13"/>
  <c r="A18" i="13"/>
  <c r="A19" i="13"/>
  <c r="A20" i="13"/>
  <c r="A21" i="13"/>
  <c r="A22" i="13"/>
  <c r="A23" i="13"/>
  <c r="A24" i="13" s="1"/>
  <c r="A25" i="13"/>
  <c r="A26" i="13" s="1"/>
  <c r="A27" i="13" s="1"/>
  <c r="A28" i="13" s="1"/>
  <c r="A29" i="13" s="1"/>
  <c r="A30" i="13" s="1"/>
  <c r="A31" i="13" s="1"/>
  <c r="A32" i="13" s="1"/>
  <c r="A33" i="13" s="1"/>
  <c r="A34" i="13" s="1"/>
  <c r="BR60" i="1"/>
  <c r="E180" i="5"/>
  <c r="BV24" i="1"/>
  <c r="BV20" i="1"/>
  <c r="BV100" i="1"/>
  <c r="BV29" i="1"/>
  <c r="BV113" i="1"/>
  <c r="BV89" i="1"/>
  <c r="BV25" i="1"/>
  <c r="BV38" i="1"/>
  <c r="BV81" i="1"/>
  <c r="BV9" i="1"/>
  <c r="BV11" i="1"/>
  <c r="BV13" i="1"/>
  <c r="BV37" i="1"/>
  <c r="BV14" i="1"/>
  <c r="BV62" i="1"/>
  <c r="BV15" i="1"/>
  <c r="BV19" i="1"/>
  <c r="BV18" i="1"/>
  <c r="BV129" i="1"/>
  <c r="BV4" i="1"/>
  <c r="BV2" i="1"/>
  <c r="BV77" i="1"/>
  <c r="BV114" i="1"/>
  <c r="BV7" i="1"/>
  <c r="BV116" i="1"/>
  <c r="BV58" i="1"/>
  <c r="BV57" i="1"/>
  <c r="BV8" i="1"/>
  <c r="BV6" i="1"/>
  <c r="BV125" i="1"/>
  <c r="BV82" i="1"/>
  <c r="BV78" i="1"/>
  <c r="BV88" i="1"/>
  <c r="BV23" i="1"/>
  <c r="BV17" i="1"/>
  <c r="BV55" i="1"/>
  <c r="BV130" i="1"/>
  <c r="BV87" i="1"/>
  <c r="BV59" i="1"/>
  <c r="BV26" i="1"/>
  <c r="BV27" i="1"/>
  <c r="BV21" i="1"/>
  <c r="BV28" i="1"/>
  <c r="BV30" i="1"/>
  <c r="BV31" i="1"/>
  <c r="BV5" i="1"/>
  <c r="BV32" i="1"/>
  <c r="BV33" i="1"/>
  <c r="BV34" i="1"/>
  <c r="BV35" i="1"/>
  <c r="BV36" i="1"/>
  <c r="BV45" i="1"/>
  <c r="BV46" i="1"/>
  <c r="BV108" i="1"/>
  <c r="BV39" i="1"/>
  <c r="BV40" i="1"/>
  <c r="BV41" i="1"/>
  <c r="BV42" i="1"/>
  <c r="BV103" i="1"/>
  <c r="BV43" i="1"/>
  <c r="BV44" i="1"/>
  <c r="BV47" i="1"/>
  <c r="BV48" i="1"/>
  <c r="BV49" i="1"/>
  <c r="BV50" i="1"/>
  <c r="BV122" i="1"/>
  <c r="BV51" i="1"/>
  <c r="BV52" i="1"/>
  <c r="BV53" i="1"/>
  <c r="BV133" i="1"/>
  <c r="BV54" i="1"/>
  <c r="BV60" i="1"/>
  <c r="BV61" i="1"/>
  <c r="BV22" i="1"/>
  <c r="BV92" i="1"/>
  <c r="BV104" i="1"/>
  <c r="BV63" i="1"/>
  <c r="BV64" i="1"/>
  <c r="BV67" i="1"/>
  <c r="BV65" i="1"/>
  <c r="BV66" i="1"/>
  <c r="BV68" i="1"/>
  <c r="BV69" i="1"/>
  <c r="BV70" i="1"/>
  <c r="BV71" i="1"/>
  <c r="BV72" i="1"/>
  <c r="BV73" i="1"/>
  <c r="BV74" i="1"/>
  <c r="BV75" i="1"/>
  <c r="BV76" i="1"/>
  <c r="BV79" i="1"/>
  <c r="BV80" i="1"/>
  <c r="BV99" i="1"/>
  <c r="BV83" i="1"/>
  <c r="BV84" i="1"/>
  <c r="BV56" i="1"/>
  <c r="BV90" i="1"/>
  <c r="BV91" i="1"/>
  <c r="BV93" i="1"/>
  <c r="BV10" i="1"/>
  <c r="BV94" i="1"/>
  <c r="BV95" i="1"/>
  <c r="BV97" i="1"/>
  <c r="BV98" i="1"/>
  <c r="BV101" i="1"/>
  <c r="BV102" i="1"/>
  <c r="BV105" i="1"/>
  <c r="BV106" i="1"/>
  <c r="BV107" i="1"/>
  <c r="BV85" i="1"/>
  <c r="BV112" i="1"/>
  <c r="BV96" i="1"/>
  <c r="BV109" i="1"/>
  <c r="BV12" i="1"/>
  <c r="BV110" i="1"/>
  <c r="BV111" i="1"/>
  <c r="BV86" i="1"/>
  <c r="BV115" i="1"/>
  <c r="BV117" i="1"/>
  <c r="BV16" i="1"/>
  <c r="BV118" i="1"/>
  <c r="BV119" i="1"/>
  <c r="BV120" i="1"/>
  <c r="BV121" i="1"/>
  <c r="BV3" i="1"/>
  <c r="E179" i="5"/>
  <c r="E178" i="5"/>
  <c r="BR114" i="1"/>
  <c r="BA121" i="1"/>
  <c r="A211" i="7"/>
  <c r="A210" i="7"/>
  <c r="F210" i="7"/>
  <c r="G210" i="7"/>
  <c r="F218" i="7"/>
  <c r="G218" i="7"/>
  <c r="F237" i="7"/>
  <c r="G237" i="7"/>
  <c r="F236" i="7"/>
  <c r="G236" i="7"/>
  <c r="F235" i="7"/>
  <c r="G235" i="7"/>
  <c r="F234" i="7"/>
  <c r="G234" i="7"/>
  <c r="AR64" i="2"/>
  <c r="AR8" i="2"/>
  <c r="AR4" i="2"/>
  <c r="AR12" i="2"/>
  <c r="AR20" i="2"/>
  <c r="AR32" i="2"/>
  <c r="AR21" i="2"/>
  <c r="AR3" i="2"/>
  <c r="AR30" i="2"/>
  <c r="AR7" i="2"/>
  <c r="AR26" i="2"/>
  <c r="AR11" i="2"/>
  <c r="AR19" i="2"/>
  <c r="AR28" i="2"/>
  <c r="AR15" i="2"/>
  <c r="AR2" i="2"/>
  <c r="AR35" i="2"/>
  <c r="AR36" i="2"/>
  <c r="AR37" i="2"/>
  <c r="AR27" i="2"/>
  <c r="AR38" i="2"/>
  <c r="AR5" i="2"/>
  <c r="AR17" i="2"/>
  <c r="AR18" i="2"/>
  <c r="AR6" i="2"/>
  <c r="AR34" i="2"/>
  <c r="AR31" i="2"/>
  <c r="AR10" i="2"/>
  <c r="AR25" i="2"/>
  <c r="AR9" i="2"/>
  <c r="AR13" i="2"/>
  <c r="AR14" i="2"/>
  <c r="AR33" i="2"/>
  <c r="AR24" i="2"/>
  <c r="L9" i="2"/>
  <c r="L13" i="2"/>
  <c r="L14" i="2"/>
  <c r="L33" i="2"/>
  <c r="L45" i="2"/>
  <c r="L5" i="2"/>
  <c r="L17" i="2"/>
  <c r="L18" i="2"/>
  <c r="L6" i="2"/>
  <c r="L34" i="2"/>
  <c r="L46" i="2"/>
  <c r="L47" i="2"/>
  <c r="L31" i="2"/>
  <c r="L10" i="2"/>
  <c r="L25" i="2"/>
  <c r="L26" i="2"/>
  <c r="L11" i="2"/>
  <c r="L19" i="2"/>
  <c r="L28" i="2"/>
  <c r="L15" i="2"/>
  <c r="L2" i="2"/>
  <c r="L35" i="2"/>
  <c r="L36" i="2"/>
  <c r="L37" i="2"/>
  <c r="L27" i="2"/>
  <c r="L38" i="2"/>
  <c r="L12" i="2"/>
  <c r="L20" i="2"/>
  <c r="L32" i="2"/>
  <c r="L21" i="2"/>
  <c r="L3" i="2"/>
  <c r="L30" i="2"/>
  <c r="L7" i="2"/>
  <c r="L64" i="2"/>
  <c r="L8" i="2"/>
  <c r="L22" i="2"/>
  <c r="L4" i="2"/>
  <c r="L39" i="2"/>
  <c r="L40" i="2"/>
  <c r="L41" i="2"/>
  <c r="L42" i="2"/>
  <c r="L43" i="2"/>
  <c r="L44" i="2"/>
  <c r="L23" i="2"/>
  <c r="L16" i="2"/>
  <c r="L48" i="2"/>
  <c r="L49" i="2"/>
  <c r="L50" i="2"/>
  <c r="L51" i="2"/>
  <c r="L29" i="2"/>
  <c r="L52" i="2"/>
  <c r="L53" i="2"/>
  <c r="L54" i="2"/>
  <c r="L24" i="2"/>
  <c r="AW77" i="1"/>
  <c r="F3" i="5" s="1"/>
  <c r="AW78" i="1"/>
  <c r="AW125" i="1"/>
  <c r="AW4" i="1"/>
  <c r="F6" i="5" s="1"/>
  <c r="AW6" i="1"/>
  <c r="F7" i="5" s="1"/>
  <c r="AW115" i="1"/>
  <c r="F8" i="5" s="1"/>
  <c r="AW7" i="1"/>
  <c r="F9" i="5" s="1"/>
  <c r="AW8" i="1"/>
  <c r="F10" i="5" s="1"/>
  <c r="AW86" i="1"/>
  <c r="F11" i="5" s="1"/>
  <c r="AW9" i="1"/>
  <c r="F12" i="5" s="1"/>
  <c r="AW11" i="1"/>
  <c r="AW13" i="1"/>
  <c r="F14" i="5" s="1"/>
  <c r="AW37" i="1"/>
  <c r="F15" i="5" s="1"/>
  <c r="AW14" i="1"/>
  <c r="F16" i="5" s="1"/>
  <c r="AW116" i="1"/>
  <c r="F17" i="5" s="1"/>
  <c r="AW15" i="1"/>
  <c r="F18" i="5" s="1"/>
  <c r="AW17" i="1"/>
  <c r="AW18" i="1"/>
  <c r="F20" i="5" s="1"/>
  <c r="AW129" i="1"/>
  <c r="F21" i="5" s="1"/>
  <c r="AW55" i="1"/>
  <c r="F22" i="5" s="1"/>
  <c r="AW82" i="1"/>
  <c r="F23" i="5" s="1"/>
  <c r="AW56" i="1"/>
  <c r="F24" i="5" s="1"/>
  <c r="AW130" i="1"/>
  <c r="AW2" i="1"/>
  <c r="F27" i="5" s="1"/>
  <c r="AW38" i="1"/>
  <c r="F28" i="5" s="1"/>
  <c r="AW57" i="1"/>
  <c r="F29" i="5" s="1"/>
  <c r="AW19" i="1"/>
  <c r="F30" i="5" s="1"/>
  <c r="AW100" i="1"/>
  <c r="F31" i="5" s="1"/>
  <c r="AW20" i="1"/>
  <c r="F32" i="5" s="1"/>
  <c r="AW87" i="1"/>
  <c r="F33" i="5" s="1"/>
  <c r="AW21" i="1"/>
  <c r="F34" i="5" s="1"/>
  <c r="AW22" i="1"/>
  <c r="AW23" i="1"/>
  <c r="F36" i="5" s="1"/>
  <c r="AW24" i="1"/>
  <c r="F37" i="5" s="1"/>
  <c r="AW58" i="1"/>
  <c r="F38" i="5" s="1"/>
  <c r="AW89" i="1"/>
  <c r="F39" i="5" s="1"/>
  <c r="AW25" i="1"/>
  <c r="F40" i="5" s="1"/>
  <c r="AW59" i="1"/>
  <c r="AW26" i="1"/>
  <c r="F42" i="5" s="1"/>
  <c r="AW27" i="1"/>
  <c r="F43" i="5" s="1"/>
  <c r="AW28" i="1"/>
  <c r="F44" i="5" s="1"/>
  <c r="AW29" i="1"/>
  <c r="F45" i="5" s="1"/>
  <c r="AW30" i="1"/>
  <c r="F46" i="5" s="1"/>
  <c r="AW31" i="1"/>
  <c r="F47" i="5" s="1"/>
  <c r="AW5" i="1"/>
  <c r="F48" i="5" s="1"/>
  <c r="AW32" i="1"/>
  <c r="AW33" i="1"/>
  <c r="AW35" i="1"/>
  <c r="F52" i="5" s="1"/>
  <c r="AW36" i="1"/>
  <c r="F53" i="5" s="1"/>
  <c r="AW45" i="1"/>
  <c r="F54" i="5" s="1"/>
  <c r="AW46" i="1"/>
  <c r="F55" i="5" s="1"/>
  <c r="AW108" i="1"/>
  <c r="F56" i="5" s="1"/>
  <c r="AW39" i="1"/>
  <c r="AW40" i="1"/>
  <c r="F58" i="5" s="1"/>
  <c r="AW41" i="1"/>
  <c r="F59" i="5" s="1"/>
  <c r="AW42" i="1"/>
  <c r="F60" i="5" s="1"/>
  <c r="AW103" i="1"/>
  <c r="F61" i="5" s="1"/>
  <c r="AW43" i="1"/>
  <c r="F62" i="5" s="1"/>
  <c r="AW44" i="1"/>
  <c r="F63" i="5" s="1"/>
  <c r="AW47" i="1"/>
  <c r="F64" i="5" s="1"/>
  <c r="AW48" i="1"/>
  <c r="F65" i="5" s="1"/>
  <c r="AW49" i="1"/>
  <c r="F66" i="5" s="1"/>
  <c r="AW50" i="1"/>
  <c r="F67" i="5" s="1"/>
  <c r="AW122" i="1"/>
  <c r="F68" i="5" s="1"/>
  <c r="AW51" i="1"/>
  <c r="F69" i="5" s="1"/>
  <c r="AW52" i="1"/>
  <c r="F70" i="5" s="1"/>
  <c r="AW53" i="1"/>
  <c r="F71" i="5" s="1"/>
  <c r="AW133" i="1"/>
  <c r="AW54" i="1"/>
  <c r="F73" i="5" s="1"/>
  <c r="AW60" i="1"/>
  <c r="F74" i="5" s="1"/>
  <c r="AW61" i="1"/>
  <c r="AW62" i="1"/>
  <c r="F76" i="5" s="1"/>
  <c r="AW92" i="1"/>
  <c r="F77" i="5" s="1"/>
  <c r="AW104" i="1"/>
  <c r="F78" i="5" s="1"/>
  <c r="AW63" i="1"/>
  <c r="F79" i="5" s="1"/>
  <c r="AW64" i="1"/>
  <c r="F80" i="5" s="1"/>
  <c r="AW67" i="1"/>
  <c r="F81" i="5" s="1"/>
  <c r="AW65" i="1"/>
  <c r="F82" i="5" s="1"/>
  <c r="AW66" i="1"/>
  <c r="F83" i="5" s="1"/>
  <c r="AW68" i="1"/>
  <c r="F85" i="5"/>
  <c r="AW70" i="1"/>
  <c r="F86" i="5" s="1"/>
  <c r="AW71" i="1"/>
  <c r="F87" i="5" s="1"/>
  <c r="AW72" i="1"/>
  <c r="F88" i="5" s="1"/>
  <c r="AW73" i="1"/>
  <c r="F89" i="5" s="1"/>
  <c r="AW74" i="1"/>
  <c r="AW75" i="1"/>
  <c r="F91" i="5" s="1"/>
  <c r="AW76" i="1"/>
  <c r="F92" i="5" s="1"/>
  <c r="AW79" i="1"/>
  <c r="F93" i="5" s="1"/>
  <c r="AW80" i="1"/>
  <c r="F94" i="5" s="1"/>
  <c r="AW81" i="1"/>
  <c r="F95" i="5" s="1"/>
  <c r="AW83" i="1"/>
  <c r="F96" i="5" s="1"/>
  <c r="AW84" i="1"/>
  <c r="F97" i="5" s="1"/>
  <c r="AW90" i="1"/>
  <c r="F99" i="5" s="1"/>
  <c r="AW91" i="1"/>
  <c r="F100" i="5" s="1"/>
  <c r="AW93" i="1"/>
  <c r="F101" i="5" s="1"/>
  <c r="AW10" i="1"/>
  <c r="F102" i="5" s="1"/>
  <c r="AW94" i="1"/>
  <c r="AW95" i="1"/>
  <c r="F104" i="5" s="1"/>
  <c r="AW97" i="1"/>
  <c r="F105" i="5" s="1"/>
  <c r="AW98" i="1"/>
  <c r="F106" i="5" s="1"/>
  <c r="AW101" i="1"/>
  <c r="F107" i="5" s="1"/>
  <c r="AW102" i="1"/>
  <c r="F108" i="5" s="1"/>
  <c r="AW105" i="1"/>
  <c r="F109" i="5" s="1"/>
  <c r="AW106" i="1"/>
  <c r="F110" i="5" s="1"/>
  <c r="AW107" i="1"/>
  <c r="AW85" i="1"/>
  <c r="AW112" i="1"/>
  <c r="F113" i="5" s="1"/>
  <c r="AW96" i="1"/>
  <c r="F114" i="5" s="1"/>
  <c r="AW109" i="1"/>
  <c r="F115" i="5" s="1"/>
  <c r="AW12" i="1"/>
  <c r="F116" i="5" s="1"/>
  <c r="AW110" i="1"/>
  <c r="AW111" i="1"/>
  <c r="AW113" i="1"/>
  <c r="F118" i="5" s="1"/>
  <c r="BU77" i="1"/>
  <c r="BU78" i="1"/>
  <c r="BU125" i="1"/>
  <c r="BU4" i="1"/>
  <c r="BU6" i="1"/>
  <c r="BU115" i="1"/>
  <c r="BU7" i="1"/>
  <c r="BU8" i="1"/>
  <c r="BU86" i="1"/>
  <c r="BU9" i="1"/>
  <c r="BU11" i="1"/>
  <c r="BU13" i="1"/>
  <c r="BU37" i="1"/>
  <c r="BU14" i="1"/>
  <c r="BU116" i="1"/>
  <c r="BU15" i="1"/>
  <c r="BU17" i="1"/>
  <c r="BU18" i="1"/>
  <c r="BU55" i="1"/>
  <c r="BU82" i="1"/>
  <c r="BU56" i="1"/>
  <c r="BU99" i="1"/>
  <c r="BU130" i="1"/>
  <c r="BU2" i="1"/>
  <c r="BU38" i="1"/>
  <c r="BU57" i="1"/>
  <c r="BU19" i="1"/>
  <c r="BU100" i="1"/>
  <c r="BU20" i="1"/>
  <c r="BU87" i="1"/>
  <c r="BU21" i="1"/>
  <c r="BU22" i="1"/>
  <c r="BU23" i="1"/>
  <c r="BU58" i="1"/>
  <c r="BU89" i="1"/>
  <c r="BU25" i="1"/>
  <c r="BU59" i="1"/>
  <c r="BU26" i="1"/>
  <c r="BU27" i="1"/>
  <c r="BU28" i="1"/>
  <c r="BU29" i="1"/>
  <c r="BU30" i="1"/>
  <c r="BU31" i="1"/>
  <c r="BU5" i="1"/>
  <c r="BU32" i="1"/>
  <c r="BU33" i="1"/>
  <c r="BU34" i="1"/>
  <c r="BU35" i="1"/>
  <c r="BU36" i="1"/>
  <c r="BU45" i="1"/>
  <c r="BU46" i="1"/>
  <c r="BU39" i="1"/>
  <c r="BU40" i="1"/>
  <c r="BU41" i="1"/>
  <c r="BU42" i="1"/>
  <c r="BU103" i="1"/>
  <c r="BU43" i="1"/>
  <c r="BU44" i="1"/>
  <c r="BU47" i="1"/>
  <c r="BU48" i="1"/>
  <c r="BU49" i="1"/>
  <c r="BU50" i="1"/>
  <c r="BU51" i="1"/>
  <c r="BU52" i="1"/>
  <c r="BU53" i="1"/>
  <c r="BU54" i="1"/>
  <c r="BU60" i="1"/>
  <c r="BU61" i="1"/>
  <c r="BU62" i="1"/>
  <c r="BU92" i="1"/>
  <c r="BU63" i="1"/>
  <c r="BU64" i="1"/>
  <c r="BU67" i="1"/>
  <c r="BU65" i="1"/>
  <c r="BU66" i="1"/>
  <c r="BU68" i="1"/>
  <c r="BU69" i="1"/>
  <c r="BU70" i="1"/>
  <c r="BU71" i="1"/>
  <c r="BU72" i="1"/>
  <c r="BU73" i="1"/>
  <c r="BU74" i="1"/>
  <c r="BU75" i="1"/>
  <c r="BU76" i="1"/>
  <c r="BU79" i="1"/>
  <c r="BU80" i="1"/>
  <c r="BU81" i="1"/>
  <c r="BU83" i="1"/>
  <c r="BU84" i="1"/>
  <c r="BU88" i="1"/>
  <c r="BU90" i="1"/>
  <c r="BU91" i="1"/>
  <c r="BU93" i="1"/>
  <c r="BU10" i="1"/>
  <c r="BU94" i="1"/>
  <c r="BU95" i="1"/>
  <c r="BU97" i="1"/>
  <c r="BU98" i="1"/>
  <c r="BU101" i="1"/>
  <c r="BU102" i="1"/>
  <c r="BU105" i="1"/>
  <c r="BU106" i="1"/>
  <c r="BU107" i="1"/>
  <c r="BU85" i="1"/>
  <c r="BU112" i="1"/>
  <c r="BU96" i="1"/>
  <c r="BU109" i="1"/>
  <c r="BU12" i="1"/>
  <c r="BU110" i="1"/>
  <c r="BU111" i="1"/>
  <c r="BU113" i="1"/>
  <c r="BU3" i="1"/>
  <c r="BT77" i="1"/>
  <c r="BT78" i="1"/>
  <c r="BT125" i="1"/>
  <c r="BT4" i="1"/>
  <c r="BT6" i="1"/>
  <c r="BT115" i="1"/>
  <c r="BT7" i="1"/>
  <c r="BT8" i="1"/>
  <c r="BT86" i="1"/>
  <c r="BT9" i="1"/>
  <c r="BT11" i="1"/>
  <c r="BT13" i="1"/>
  <c r="BT37" i="1"/>
  <c r="BT14" i="1"/>
  <c r="BT116" i="1"/>
  <c r="BT15" i="1"/>
  <c r="BT17" i="1"/>
  <c r="BT18" i="1"/>
  <c r="BT129" i="1"/>
  <c r="BT55" i="1"/>
  <c r="BT82" i="1"/>
  <c r="BT56" i="1"/>
  <c r="BT99" i="1"/>
  <c r="BT130" i="1"/>
  <c r="BT2" i="1"/>
  <c r="BT38" i="1"/>
  <c r="BT57" i="1"/>
  <c r="BT19" i="1"/>
  <c r="BT100" i="1"/>
  <c r="BT20" i="1"/>
  <c r="BT87" i="1"/>
  <c r="BT21" i="1"/>
  <c r="BT22" i="1"/>
  <c r="BT23" i="1"/>
  <c r="BT24" i="1"/>
  <c r="BT58" i="1"/>
  <c r="BT89" i="1"/>
  <c r="BT25" i="1"/>
  <c r="BT59" i="1"/>
  <c r="BT26" i="1"/>
  <c r="BT27" i="1"/>
  <c r="BT28" i="1"/>
  <c r="BT29" i="1"/>
  <c r="BT30" i="1"/>
  <c r="BT31" i="1"/>
  <c r="BT5" i="1"/>
  <c r="BT32" i="1"/>
  <c r="BT33" i="1"/>
  <c r="BT34" i="1"/>
  <c r="BT35" i="1"/>
  <c r="BT36" i="1"/>
  <c r="BT45" i="1"/>
  <c r="BT46" i="1"/>
  <c r="BT108" i="1"/>
  <c r="BT39" i="1"/>
  <c r="BT40" i="1"/>
  <c r="BT41" i="1"/>
  <c r="BT42" i="1"/>
  <c r="BT103" i="1"/>
  <c r="BT43" i="1"/>
  <c r="BT44" i="1"/>
  <c r="BT47" i="1"/>
  <c r="BT48" i="1"/>
  <c r="BT49" i="1"/>
  <c r="BT50" i="1"/>
  <c r="BT122" i="1"/>
  <c r="BT51" i="1"/>
  <c r="BT52" i="1"/>
  <c r="BT133" i="1"/>
  <c r="BT54" i="1"/>
  <c r="BT60" i="1"/>
  <c r="BT61" i="1"/>
  <c r="BT62" i="1"/>
  <c r="BT92" i="1"/>
  <c r="BT104" i="1"/>
  <c r="BT63" i="1"/>
  <c r="BT64" i="1"/>
  <c r="BT67" i="1"/>
  <c r="BT65" i="1"/>
  <c r="BT66" i="1"/>
  <c r="BT68" i="1"/>
  <c r="BT69" i="1"/>
  <c r="BT70" i="1"/>
  <c r="BT71" i="1"/>
  <c r="BT72" i="1"/>
  <c r="BT73" i="1"/>
  <c r="BT74" i="1"/>
  <c r="BT75" i="1"/>
  <c r="BT76" i="1"/>
  <c r="BT79" i="1"/>
  <c r="BT80" i="1"/>
  <c r="BT81" i="1"/>
  <c r="BT83" i="1"/>
  <c r="BT84" i="1"/>
  <c r="BT88" i="1"/>
  <c r="BT90" i="1"/>
  <c r="BT91" i="1"/>
  <c r="BT93" i="1"/>
  <c r="BT10" i="1"/>
  <c r="BT94" i="1"/>
  <c r="BT95" i="1"/>
  <c r="BT97" i="1"/>
  <c r="BT98" i="1"/>
  <c r="BT101" i="1"/>
  <c r="BT102" i="1"/>
  <c r="BT105" i="1"/>
  <c r="BT106" i="1"/>
  <c r="BT107" i="1"/>
  <c r="BT85" i="1"/>
  <c r="BT96" i="1"/>
  <c r="BT109" i="1"/>
  <c r="BT12" i="1"/>
  <c r="BT110" i="1"/>
  <c r="BT111" i="1"/>
  <c r="BT113" i="1"/>
  <c r="BT3" i="1"/>
  <c r="BS77" i="1"/>
  <c r="BS78" i="1"/>
  <c r="BS125" i="1"/>
  <c r="BS4" i="1"/>
  <c r="BS6" i="1"/>
  <c r="BS115" i="1"/>
  <c r="BS7" i="1"/>
  <c r="BS8" i="1"/>
  <c r="BS86" i="1"/>
  <c r="BS9" i="1"/>
  <c r="BS11" i="1"/>
  <c r="BS13" i="1"/>
  <c r="BS37" i="1"/>
  <c r="BS14" i="1"/>
  <c r="BS116" i="1"/>
  <c r="BS15" i="1"/>
  <c r="BS17" i="1"/>
  <c r="BS18" i="1"/>
  <c r="BS129" i="1"/>
  <c r="BS55" i="1"/>
  <c r="BS82" i="1"/>
  <c r="BS56" i="1"/>
  <c r="BS99" i="1"/>
  <c r="BS130" i="1"/>
  <c r="BS2" i="1"/>
  <c r="BS38" i="1"/>
  <c r="BS57" i="1"/>
  <c r="BS19" i="1"/>
  <c r="BS100" i="1"/>
  <c r="BS20" i="1"/>
  <c r="BS87" i="1"/>
  <c r="BS21" i="1"/>
  <c r="BS22" i="1"/>
  <c r="BS24" i="1"/>
  <c r="BS58" i="1"/>
  <c r="BS89" i="1"/>
  <c r="BS59" i="1"/>
  <c r="BS26" i="1"/>
  <c r="BS27" i="1"/>
  <c r="BS28" i="1"/>
  <c r="BS29" i="1"/>
  <c r="BS30" i="1"/>
  <c r="BS31" i="1"/>
  <c r="BS5" i="1"/>
  <c r="BS32" i="1"/>
  <c r="BS33" i="1"/>
  <c r="BS34" i="1"/>
  <c r="BS35" i="1"/>
  <c r="BS36" i="1"/>
  <c r="BS45" i="1"/>
  <c r="BS46" i="1"/>
  <c r="BS108" i="1"/>
  <c r="BS39" i="1"/>
  <c r="BS40" i="1"/>
  <c r="BS41" i="1"/>
  <c r="BS42" i="1"/>
  <c r="BS103" i="1"/>
  <c r="BS43" i="1"/>
  <c r="BS44" i="1"/>
  <c r="BS47" i="1"/>
  <c r="BS48" i="1"/>
  <c r="BS49" i="1"/>
  <c r="BS50" i="1"/>
  <c r="BS122" i="1"/>
  <c r="BS51" i="1"/>
  <c r="BS52" i="1"/>
  <c r="BS53" i="1"/>
  <c r="BS133" i="1"/>
  <c r="BS54" i="1"/>
  <c r="BS60" i="1"/>
  <c r="BS61" i="1"/>
  <c r="BS62" i="1"/>
  <c r="BS92" i="1"/>
  <c r="BS104" i="1"/>
  <c r="BS63" i="1"/>
  <c r="BS64" i="1"/>
  <c r="BS67" i="1"/>
  <c r="BS65" i="1"/>
  <c r="BS66" i="1"/>
  <c r="BS68" i="1"/>
  <c r="BS69" i="1"/>
  <c r="BS70" i="1"/>
  <c r="BS71" i="1"/>
  <c r="BS72" i="1"/>
  <c r="BS73" i="1"/>
  <c r="BS74" i="1"/>
  <c r="BS75" i="1"/>
  <c r="BS76" i="1"/>
  <c r="BS79" i="1"/>
  <c r="BS81" i="1"/>
  <c r="BS83" i="1"/>
  <c r="BS84" i="1"/>
  <c r="BS88" i="1"/>
  <c r="BS90" i="1"/>
  <c r="BS93" i="1"/>
  <c r="BS10" i="1"/>
  <c r="BS94" i="1"/>
  <c r="BS95" i="1"/>
  <c r="BS97" i="1"/>
  <c r="BS98" i="1"/>
  <c r="BS101" i="1"/>
  <c r="BS102" i="1"/>
  <c r="BS105" i="1"/>
  <c r="BS106" i="1"/>
  <c r="BS107" i="1"/>
  <c r="BS85" i="1"/>
  <c r="BS112" i="1"/>
  <c r="BS96" i="1"/>
  <c r="BS109" i="1"/>
  <c r="BS12" i="1"/>
  <c r="BS110" i="1"/>
  <c r="BS111" i="1"/>
  <c r="BS113" i="1"/>
  <c r="BS3" i="1"/>
  <c r="BR77" i="1"/>
  <c r="BR78" i="1"/>
  <c r="BR125" i="1"/>
  <c r="BR4" i="1"/>
  <c r="BR6" i="1"/>
  <c r="BR115" i="1"/>
  <c r="BR7" i="1"/>
  <c r="BR8" i="1"/>
  <c r="BR86" i="1"/>
  <c r="BR9" i="1"/>
  <c r="BR11" i="1"/>
  <c r="BR13" i="1"/>
  <c r="BR37" i="1"/>
  <c r="BR14" i="1"/>
  <c r="BR116" i="1"/>
  <c r="BR15" i="1"/>
  <c r="BR17" i="1"/>
  <c r="BR18" i="1"/>
  <c r="BR129" i="1"/>
  <c r="BR55" i="1"/>
  <c r="BR82" i="1"/>
  <c r="BR56" i="1"/>
  <c r="BR99" i="1"/>
  <c r="BR130" i="1"/>
  <c r="BR2" i="1"/>
  <c r="BR38" i="1"/>
  <c r="BR57" i="1"/>
  <c r="BR19" i="1"/>
  <c r="BR100" i="1"/>
  <c r="BR20" i="1"/>
  <c r="BR87" i="1"/>
  <c r="BR21" i="1"/>
  <c r="BR22" i="1"/>
  <c r="BR23" i="1"/>
  <c r="BR24" i="1"/>
  <c r="BR58" i="1"/>
  <c r="BR89" i="1"/>
  <c r="BR25" i="1"/>
  <c r="BR59" i="1"/>
  <c r="BR26" i="1"/>
  <c r="BR27" i="1"/>
  <c r="BR28" i="1"/>
  <c r="BR29" i="1"/>
  <c r="BR30" i="1"/>
  <c r="BR31" i="1"/>
  <c r="BR5" i="1"/>
  <c r="BR32" i="1"/>
  <c r="BR33" i="1"/>
  <c r="BR34" i="1"/>
  <c r="BR35" i="1"/>
  <c r="BR36" i="1"/>
  <c r="BR45" i="1"/>
  <c r="BR46" i="1"/>
  <c r="BR108" i="1"/>
  <c r="BR39" i="1"/>
  <c r="BR40" i="1"/>
  <c r="BR41" i="1"/>
  <c r="BR42" i="1"/>
  <c r="BR103" i="1"/>
  <c r="BR43" i="1"/>
  <c r="BR44" i="1"/>
  <c r="BR47" i="1"/>
  <c r="BR48" i="1"/>
  <c r="BR49" i="1"/>
  <c r="BR50" i="1"/>
  <c r="BR51" i="1"/>
  <c r="BR52" i="1"/>
  <c r="BR53" i="1"/>
  <c r="BR133" i="1"/>
  <c r="BR54" i="1"/>
  <c r="BR61" i="1"/>
  <c r="BR62" i="1"/>
  <c r="BR92" i="1"/>
  <c r="BR104" i="1"/>
  <c r="BR63" i="1"/>
  <c r="BR64" i="1"/>
  <c r="BR67" i="1"/>
  <c r="BR65" i="1"/>
  <c r="BR66" i="1"/>
  <c r="BR68" i="1"/>
  <c r="BR69" i="1"/>
  <c r="BR70" i="1"/>
  <c r="BR71" i="1"/>
  <c r="BR72" i="1"/>
  <c r="BR73" i="1"/>
  <c r="BR74" i="1"/>
  <c r="BR75" i="1"/>
  <c r="BR76" i="1"/>
  <c r="BR79" i="1"/>
  <c r="BR80" i="1"/>
  <c r="BR81" i="1"/>
  <c r="BR83" i="1"/>
  <c r="BR84" i="1"/>
  <c r="BR88" i="1"/>
  <c r="BR90" i="1"/>
  <c r="BR91" i="1"/>
  <c r="BR93" i="1"/>
  <c r="BR10" i="1"/>
  <c r="BR94" i="1"/>
  <c r="BR95" i="1"/>
  <c r="BR97" i="1"/>
  <c r="BR98" i="1"/>
  <c r="BR101" i="1"/>
  <c r="BR102" i="1"/>
  <c r="BR105" i="1"/>
  <c r="BR106" i="1"/>
  <c r="BR107" i="1"/>
  <c r="BR85" i="1"/>
  <c r="BR112" i="1"/>
  <c r="BR96" i="1"/>
  <c r="BR109" i="1"/>
  <c r="BR117" i="1"/>
  <c r="BR16" i="1"/>
  <c r="BR118" i="1"/>
  <c r="BR119" i="1"/>
  <c r="BR120" i="1"/>
  <c r="BR3" i="1"/>
  <c r="BL77" i="1"/>
  <c r="BL78" i="1"/>
  <c r="BL125" i="1"/>
  <c r="BL4" i="1"/>
  <c r="BL6" i="1"/>
  <c r="BL115" i="1"/>
  <c r="BL7" i="1"/>
  <c r="BL8" i="1"/>
  <c r="BL86" i="1"/>
  <c r="BL37" i="1"/>
  <c r="BL14" i="1"/>
  <c r="BL116" i="1"/>
  <c r="BL15" i="1"/>
  <c r="BL17" i="1"/>
  <c r="BL18" i="1"/>
  <c r="BL129" i="1"/>
  <c r="BL55" i="1"/>
  <c r="BL82" i="1"/>
  <c r="BL99" i="1"/>
  <c r="BL130" i="1"/>
  <c r="BL2" i="1"/>
  <c r="BL38" i="1"/>
  <c r="BL57" i="1"/>
  <c r="BL19" i="1"/>
  <c r="BL100" i="1"/>
  <c r="BL20" i="1"/>
  <c r="BL21" i="1"/>
  <c r="BL22" i="1"/>
  <c r="BL23" i="1"/>
  <c r="BL58" i="1"/>
  <c r="BL89" i="1"/>
  <c r="BL59" i="1"/>
  <c r="BL26" i="1"/>
  <c r="BL27" i="1"/>
  <c r="BL29" i="1"/>
  <c r="BL31" i="1"/>
  <c r="BL5" i="1"/>
  <c r="BL33" i="1"/>
  <c r="BL34" i="1"/>
  <c r="BL35" i="1"/>
  <c r="BL36" i="1"/>
  <c r="BL45" i="1"/>
  <c r="BL46" i="1"/>
  <c r="BL108" i="1"/>
  <c r="BL39" i="1"/>
  <c r="BL40" i="1"/>
  <c r="BL41" i="1"/>
  <c r="BL42" i="1"/>
  <c r="BL103" i="1"/>
  <c r="BL43" i="1"/>
  <c r="BL47" i="1"/>
  <c r="BL48" i="1"/>
  <c r="BL49" i="1"/>
  <c r="BL50" i="1"/>
  <c r="BL122" i="1"/>
  <c r="BL52" i="1"/>
  <c r="BL53" i="1"/>
  <c r="BL133" i="1"/>
  <c r="BL54" i="1"/>
  <c r="BL60" i="1"/>
  <c r="BL61" i="1"/>
  <c r="BL62" i="1"/>
  <c r="BL92" i="1"/>
  <c r="BL104" i="1"/>
  <c r="BL64" i="1"/>
  <c r="BL67" i="1"/>
  <c r="BL65" i="1"/>
  <c r="BL66" i="1"/>
  <c r="BL68" i="1"/>
  <c r="BL70" i="1"/>
  <c r="BL71" i="1"/>
  <c r="BL72" i="1"/>
  <c r="BL73" i="1"/>
  <c r="BL74" i="1"/>
  <c r="BL75" i="1"/>
  <c r="BL76" i="1"/>
  <c r="BL79" i="1"/>
  <c r="BL80" i="1"/>
  <c r="BL81" i="1"/>
  <c r="BL83" i="1"/>
  <c r="BL84" i="1"/>
  <c r="BL90" i="1"/>
  <c r="BL91" i="1"/>
  <c r="BL93" i="1"/>
  <c r="BL10" i="1"/>
  <c r="BL94" i="1"/>
  <c r="BL95" i="1"/>
  <c r="BL97" i="1"/>
  <c r="BL101" i="1"/>
  <c r="BL102" i="1"/>
  <c r="BL105" i="1"/>
  <c r="BL106" i="1"/>
  <c r="BL107" i="1"/>
  <c r="BL109" i="1"/>
  <c r="BL12" i="1"/>
  <c r="BL110" i="1"/>
  <c r="BL111" i="1"/>
  <c r="BL113" i="1"/>
  <c r="BL3" i="1"/>
  <c r="AZ15" i="1"/>
  <c r="BA15" i="1" s="1"/>
  <c r="AZ17" i="1"/>
  <c r="BA17" i="1" s="1"/>
  <c r="AZ18" i="1"/>
  <c r="BA18" i="1" s="1"/>
  <c r="AZ129" i="1"/>
  <c r="BA129" i="1" s="1"/>
  <c r="AZ55" i="1"/>
  <c r="BA55" i="1" s="1"/>
  <c r="AZ82" i="1"/>
  <c r="BA82" i="1" s="1"/>
  <c r="AZ56" i="1"/>
  <c r="BA56" i="1" s="1"/>
  <c r="AZ99" i="1"/>
  <c r="BA99" i="1" s="1"/>
  <c r="AZ130" i="1"/>
  <c r="BA130" i="1" s="1"/>
  <c r="AZ2" i="1"/>
  <c r="BA2" i="1" s="1"/>
  <c r="AZ38" i="1"/>
  <c r="BA38" i="1" s="1"/>
  <c r="AZ57" i="1"/>
  <c r="BA57" i="1" s="1"/>
  <c r="AZ19" i="1"/>
  <c r="BA19" i="1" s="1"/>
  <c r="AZ100" i="1"/>
  <c r="BA100" i="1" s="1"/>
  <c r="AZ20" i="1"/>
  <c r="BA20" i="1" s="1"/>
  <c r="AZ87" i="1"/>
  <c r="BA87" i="1" s="1"/>
  <c r="AZ21" i="1"/>
  <c r="BA21" i="1" s="1"/>
  <c r="AZ22" i="1"/>
  <c r="BA22" i="1" s="1"/>
  <c r="AZ23" i="1"/>
  <c r="BA23" i="1" s="1"/>
  <c r="AZ24" i="1"/>
  <c r="BA24" i="1" s="1"/>
  <c r="AZ58" i="1"/>
  <c r="BA58" i="1" s="1"/>
  <c r="AZ89" i="1"/>
  <c r="BA89" i="1" s="1"/>
  <c r="AZ25" i="1"/>
  <c r="BA25" i="1" s="1"/>
  <c r="AZ59" i="1"/>
  <c r="BA59" i="1" s="1"/>
  <c r="AZ26" i="1"/>
  <c r="BA26" i="1" s="1"/>
  <c r="AZ27" i="1"/>
  <c r="BA27" i="1" s="1"/>
  <c r="AZ28" i="1"/>
  <c r="BA28" i="1" s="1"/>
  <c r="AZ29" i="1"/>
  <c r="BA29" i="1" s="1"/>
  <c r="AZ30" i="1"/>
  <c r="BA30" i="1" s="1"/>
  <c r="AZ31" i="1"/>
  <c r="BA31" i="1" s="1"/>
  <c r="AZ5" i="1"/>
  <c r="BA5" i="1" s="1"/>
  <c r="AZ32" i="1"/>
  <c r="BA32" i="1" s="1"/>
  <c r="AZ33" i="1"/>
  <c r="BA33" i="1" s="1"/>
  <c r="AZ34" i="1"/>
  <c r="BA34" i="1" s="1"/>
  <c r="AZ35" i="1"/>
  <c r="BA35" i="1" s="1"/>
  <c r="AZ36" i="1"/>
  <c r="BA36" i="1" s="1"/>
  <c r="AZ45" i="1"/>
  <c r="BA45" i="1" s="1"/>
  <c r="AZ46" i="1"/>
  <c r="BA46" i="1" s="1"/>
  <c r="AZ108" i="1"/>
  <c r="BA108" i="1" s="1"/>
  <c r="AZ39" i="1"/>
  <c r="BA39" i="1" s="1"/>
  <c r="AZ40" i="1"/>
  <c r="BA40" i="1" s="1"/>
  <c r="AZ41" i="1"/>
  <c r="BA41" i="1" s="1"/>
  <c r="AZ42" i="1"/>
  <c r="BA42" i="1" s="1"/>
  <c r="AZ103" i="1"/>
  <c r="BA103" i="1" s="1"/>
  <c r="AZ43" i="1"/>
  <c r="BA43" i="1" s="1"/>
  <c r="AZ44" i="1"/>
  <c r="BA44" i="1" s="1"/>
  <c r="AZ47" i="1"/>
  <c r="BA47" i="1" s="1"/>
  <c r="AZ48" i="1"/>
  <c r="BA48" i="1" s="1"/>
  <c r="AZ49" i="1"/>
  <c r="BA49" i="1" s="1"/>
  <c r="AZ50" i="1"/>
  <c r="BA50" i="1" s="1"/>
  <c r="AZ122" i="1"/>
  <c r="BA122" i="1" s="1"/>
  <c r="AZ51" i="1"/>
  <c r="BA51" i="1" s="1"/>
  <c r="AZ52" i="1"/>
  <c r="BA52" i="1" s="1"/>
  <c r="AZ53" i="1"/>
  <c r="BA53" i="1" s="1"/>
  <c r="AZ133" i="1"/>
  <c r="BA133" i="1" s="1"/>
  <c r="AZ54" i="1"/>
  <c r="BA54" i="1" s="1"/>
  <c r="AZ60" i="1"/>
  <c r="BA60" i="1" s="1"/>
  <c r="AZ61" i="1"/>
  <c r="BA61" i="1" s="1"/>
  <c r="AZ62" i="1"/>
  <c r="BA62" i="1" s="1"/>
  <c r="AZ92" i="1"/>
  <c r="BA92" i="1" s="1"/>
  <c r="AZ104" i="1"/>
  <c r="BA104" i="1" s="1"/>
  <c r="AZ63" i="1"/>
  <c r="BA63" i="1" s="1"/>
  <c r="AZ64" i="1"/>
  <c r="BA64" i="1" s="1"/>
  <c r="AZ67" i="1"/>
  <c r="BA67" i="1" s="1"/>
  <c r="AZ65" i="1"/>
  <c r="BA65" i="1" s="1"/>
  <c r="AZ66" i="1"/>
  <c r="BA66" i="1" s="1"/>
  <c r="AZ68" i="1"/>
  <c r="BA68" i="1" s="1"/>
  <c r="AZ69" i="1"/>
  <c r="BA69" i="1" s="1"/>
  <c r="AZ70" i="1"/>
  <c r="BA70" i="1" s="1"/>
  <c r="AZ71" i="1"/>
  <c r="BA71" i="1" s="1"/>
  <c r="AZ72" i="1"/>
  <c r="BA72" i="1" s="1"/>
  <c r="AZ73" i="1"/>
  <c r="BA73" i="1" s="1"/>
  <c r="AZ74" i="1"/>
  <c r="BA74" i="1" s="1"/>
  <c r="AZ75" i="1"/>
  <c r="BA75" i="1" s="1"/>
  <c r="AZ76" i="1"/>
  <c r="BA76" i="1" s="1"/>
  <c r="AZ79" i="1"/>
  <c r="BA79" i="1" s="1"/>
  <c r="AZ80" i="1"/>
  <c r="BA80" i="1" s="1"/>
  <c r="AZ81" i="1"/>
  <c r="BA81" i="1" s="1"/>
  <c r="AZ83" i="1"/>
  <c r="BA83" i="1" s="1"/>
  <c r="AZ84" i="1"/>
  <c r="BA84" i="1" s="1"/>
  <c r="AZ88" i="1"/>
  <c r="BA88" i="1" s="1"/>
  <c r="AZ90" i="1"/>
  <c r="BA90" i="1" s="1"/>
  <c r="AZ91" i="1"/>
  <c r="BA91" i="1" s="1"/>
  <c r="AZ93" i="1"/>
  <c r="BA93" i="1" s="1"/>
  <c r="AZ10" i="1"/>
  <c r="BA10" i="1" s="1"/>
  <c r="AZ94" i="1"/>
  <c r="BA94" i="1" s="1"/>
  <c r="AZ95" i="1"/>
  <c r="BA95" i="1" s="1"/>
  <c r="AZ97" i="1"/>
  <c r="BA97" i="1" s="1"/>
  <c r="AZ98" i="1"/>
  <c r="BA98" i="1" s="1"/>
  <c r="AZ101" i="1"/>
  <c r="BA101" i="1" s="1"/>
  <c r="AZ102" i="1"/>
  <c r="BA102" i="1" s="1"/>
  <c r="AZ105" i="1"/>
  <c r="BA105" i="1" s="1"/>
  <c r="AZ106" i="1"/>
  <c r="BA106" i="1" s="1"/>
  <c r="AZ107" i="1"/>
  <c r="BA107" i="1" s="1"/>
  <c r="AZ85" i="1"/>
  <c r="BA85" i="1" s="1"/>
  <c r="AZ112" i="1"/>
  <c r="BA112" i="1" s="1"/>
  <c r="AZ96" i="1"/>
  <c r="BA96" i="1" s="1"/>
  <c r="AZ109" i="1"/>
  <c r="BA109" i="1" s="1"/>
  <c r="AZ12" i="1"/>
  <c r="BA12" i="1" s="1"/>
  <c r="AZ110" i="1"/>
  <c r="BA110" i="1" s="1"/>
  <c r="AZ111" i="1"/>
  <c r="BA111" i="1" s="1"/>
  <c r="AZ113" i="1"/>
  <c r="BA113" i="1" s="1"/>
  <c r="BA114" i="1"/>
  <c r="BA117" i="1"/>
  <c r="BA16" i="1"/>
  <c r="BA118" i="1"/>
  <c r="BA119" i="1"/>
  <c r="BA120" i="1"/>
  <c r="AZ77" i="1"/>
  <c r="BA77" i="1" s="1"/>
  <c r="AZ78" i="1"/>
  <c r="BA78" i="1" s="1"/>
  <c r="AZ125" i="1"/>
  <c r="BA125" i="1" s="1"/>
  <c r="AZ4" i="1"/>
  <c r="BA4" i="1" s="1"/>
  <c r="AZ6" i="1"/>
  <c r="BA6" i="1" s="1"/>
  <c r="AZ115" i="1"/>
  <c r="BA115" i="1" s="1"/>
  <c r="AZ7" i="1"/>
  <c r="BA7" i="1" s="1"/>
  <c r="AZ8" i="1"/>
  <c r="BA8" i="1" s="1"/>
  <c r="AZ86" i="1"/>
  <c r="BA86" i="1" s="1"/>
  <c r="AZ9" i="1"/>
  <c r="BA9" i="1" s="1"/>
  <c r="AZ11" i="1"/>
  <c r="BA11" i="1" s="1"/>
  <c r="AZ13" i="1"/>
  <c r="BA13" i="1" s="1"/>
  <c r="AZ37" i="1"/>
  <c r="BA37" i="1" s="1"/>
  <c r="AZ14" i="1"/>
  <c r="BA14" i="1" s="1"/>
  <c r="AZ116" i="1"/>
  <c r="BA116" i="1" s="1"/>
  <c r="AZ3" i="1"/>
  <c r="BA3" i="1" s="1"/>
  <c r="AY77" i="1"/>
  <c r="AY78" i="1"/>
  <c r="AY125" i="1"/>
  <c r="AY4" i="1"/>
  <c r="AY6" i="1"/>
  <c r="AY115" i="1"/>
  <c r="AY7" i="1"/>
  <c r="AY8" i="1"/>
  <c r="AY86" i="1"/>
  <c r="AY9" i="1"/>
  <c r="AY11" i="1"/>
  <c r="AY13" i="1"/>
  <c r="AY37" i="1"/>
  <c r="AY14" i="1"/>
  <c r="AY116" i="1"/>
  <c r="AY15" i="1"/>
  <c r="AY17" i="1"/>
  <c r="AY18" i="1"/>
  <c r="AY129" i="1"/>
  <c r="AY55" i="1"/>
  <c r="AY82" i="1"/>
  <c r="AY56" i="1"/>
  <c r="AY99" i="1"/>
  <c r="AY130" i="1"/>
  <c r="AY2" i="1"/>
  <c r="AY38" i="1"/>
  <c r="AY57" i="1"/>
  <c r="AY19" i="1"/>
  <c r="AY100" i="1"/>
  <c r="AY20" i="1"/>
  <c r="AY87" i="1"/>
  <c r="AY21" i="1"/>
  <c r="AY22" i="1"/>
  <c r="AY23" i="1"/>
  <c r="AY24" i="1"/>
  <c r="AY58" i="1"/>
  <c r="AY89" i="1"/>
  <c r="AY25" i="1"/>
  <c r="AY59" i="1"/>
  <c r="AY26" i="1"/>
  <c r="AY27" i="1"/>
  <c r="AY28" i="1"/>
  <c r="AY29" i="1"/>
  <c r="AY30" i="1"/>
  <c r="AY31" i="1"/>
  <c r="AY5" i="1"/>
  <c r="AY32" i="1"/>
  <c r="AY33" i="1"/>
  <c r="AY34" i="1"/>
  <c r="AY35" i="1"/>
  <c r="AY36" i="1"/>
  <c r="AY45" i="1"/>
  <c r="AY46" i="1"/>
  <c r="AY108" i="1"/>
  <c r="AY39" i="1"/>
  <c r="AY40" i="1"/>
  <c r="AY41" i="1"/>
  <c r="AY42" i="1"/>
  <c r="AY103" i="1"/>
  <c r="AY43" i="1"/>
  <c r="AY44" i="1"/>
  <c r="AY47" i="1"/>
  <c r="AY48" i="1"/>
  <c r="AY49" i="1"/>
  <c r="AY50" i="1"/>
  <c r="AY122" i="1"/>
  <c r="AY51" i="1"/>
  <c r="AY52" i="1"/>
  <c r="AY53" i="1"/>
  <c r="AY133" i="1"/>
  <c r="AY54" i="1"/>
  <c r="AY60" i="1"/>
  <c r="AY61" i="1"/>
  <c r="AY62" i="1"/>
  <c r="AY92" i="1"/>
  <c r="AY104" i="1"/>
  <c r="AY63" i="1"/>
  <c r="AY64" i="1"/>
  <c r="AY67" i="1"/>
  <c r="AY65" i="1"/>
  <c r="AY66" i="1"/>
  <c r="AY68" i="1"/>
  <c r="AY69" i="1"/>
  <c r="AY70" i="1"/>
  <c r="AY71" i="1"/>
  <c r="AY72" i="1"/>
  <c r="AY73" i="1"/>
  <c r="AY74" i="1"/>
  <c r="AY75" i="1"/>
  <c r="AY76" i="1"/>
  <c r="AY79" i="1"/>
  <c r="AY80" i="1"/>
  <c r="AY81" i="1"/>
  <c r="AY83" i="1"/>
  <c r="AY84" i="1"/>
  <c r="AY88" i="1"/>
  <c r="AY90" i="1"/>
  <c r="AY91" i="1"/>
  <c r="AY93" i="1"/>
  <c r="AY10" i="1"/>
  <c r="AY94" i="1"/>
  <c r="AY95" i="1"/>
  <c r="AY97" i="1"/>
  <c r="AY98" i="1"/>
  <c r="AY101" i="1"/>
  <c r="AY102" i="1"/>
  <c r="AY105" i="1"/>
  <c r="AY106" i="1"/>
  <c r="AY107" i="1"/>
  <c r="AY85" i="1"/>
  <c r="AY112" i="1"/>
  <c r="AY96" i="1"/>
  <c r="AY109" i="1"/>
  <c r="AY12" i="1"/>
  <c r="AY110" i="1"/>
  <c r="AY111" i="1"/>
  <c r="AY113" i="1"/>
  <c r="AY3" i="1"/>
  <c r="M4" i="3"/>
  <c r="E177" i="5"/>
  <c r="E176" i="5"/>
  <c r="E175" i="5"/>
  <c r="E174" i="5"/>
  <c r="Q3" i="3"/>
  <c r="Q4" i="3"/>
  <c r="Q5" i="3"/>
  <c r="Q6" i="3"/>
  <c r="Q7" i="3"/>
  <c r="Q8" i="3"/>
  <c r="Q9" i="3"/>
  <c r="Q10" i="3"/>
  <c r="Q11" i="3"/>
  <c r="Q12" i="3"/>
  <c r="Q13" i="3"/>
  <c r="E173" i="5"/>
  <c r="F173" i="5"/>
  <c r="G173" i="5"/>
  <c r="E172" i="5"/>
  <c r="G172" i="5"/>
  <c r="M5" i="3"/>
  <c r="M3" i="3"/>
  <c r="AD3" i="3" s="1"/>
  <c r="M12" i="3"/>
  <c r="G111" i="12"/>
  <c r="B3" i="9"/>
  <c r="B4" i="9"/>
  <c r="B5" i="9"/>
  <c r="B6" i="9"/>
  <c r="B7" i="9"/>
  <c r="B8" i="9"/>
  <c r="B9" i="9"/>
  <c r="B10" i="9"/>
  <c r="B11" i="9"/>
  <c r="B12" i="9"/>
  <c r="B2" i="9"/>
  <c r="C36" i="8"/>
  <c r="C35" i="8"/>
  <c r="C34" i="8"/>
  <c r="C33" i="8"/>
  <c r="C32" i="8"/>
  <c r="C31" i="8"/>
  <c r="C30" i="8"/>
  <c r="C29" i="8"/>
  <c r="C28" i="8"/>
  <c r="C27" i="8"/>
  <c r="C26" i="8"/>
  <c r="C25" i="8"/>
  <c r="CU21" i="8"/>
  <c r="CT20" i="8"/>
  <c r="CS20" i="8"/>
  <c r="CR20" i="8"/>
  <c r="CQ20" i="8"/>
  <c r="CP20" i="8"/>
  <c r="CO20" i="8"/>
  <c r="CV20" i="8"/>
  <c r="CT19" i="8"/>
  <c r="CS19" i="8"/>
  <c r="CR19" i="8"/>
  <c r="CQ19" i="8"/>
  <c r="CP19" i="8"/>
  <c r="CO19" i="8"/>
  <c r="CV19" i="8"/>
  <c r="CT18" i="8"/>
  <c r="CS18" i="8"/>
  <c r="CR18" i="8"/>
  <c r="CQ18" i="8"/>
  <c r="CP18" i="8"/>
  <c r="CO18" i="8"/>
  <c r="CV18" i="8"/>
  <c r="CT17" i="8"/>
  <c r="CS17" i="8"/>
  <c r="CR17" i="8"/>
  <c r="CQ17" i="8"/>
  <c r="CP17" i="8"/>
  <c r="CO17" i="8"/>
  <c r="CV17" i="8"/>
  <c r="CT16" i="8"/>
  <c r="CS16" i="8"/>
  <c r="CR16" i="8"/>
  <c r="CQ16" i="8"/>
  <c r="CP16" i="8"/>
  <c r="CO16" i="8"/>
  <c r="CV16" i="8"/>
  <c r="CT15" i="8"/>
  <c r="CS15" i="8"/>
  <c r="CR15" i="8"/>
  <c r="CQ15" i="8"/>
  <c r="CP15" i="8"/>
  <c r="CO15" i="8"/>
  <c r="CV15" i="8"/>
  <c r="CT14" i="8"/>
  <c r="CS14" i="8"/>
  <c r="CR14" i="8"/>
  <c r="CQ14" i="8"/>
  <c r="CP14" i="8"/>
  <c r="CO14" i="8"/>
  <c r="CV14" i="8"/>
  <c r="CT13" i="8"/>
  <c r="CS13" i="8"/>
  <c r="CR13" i="8"/>
  <c r="CQ13" i="8"/>
  <c r="CP13" i="8"/>
  <c r="CO13" i="8"/>
  <c r="CV13" i="8"/>
  <c r="CT12" i="8"/>
  <c r="CS12" i="8"/>
  <c r="CR12" i="8"/>
  <c r="CQ12" i="8"/>
  <c r="CP12" i="8"/>
  <c r="CO12" i="8"/>
  <c r="CV12" i="8"/>
  <c r="CT11" i="8"/>
  <c r="CS11" i="8"/>
  <c r="CR11" i="8"/>
  <c r="CQ11" i="8"/>
  <c r="CP11" i="8"/>
  <c r="CO11" i="8"/>
  <c r="CV11" i="8"/>
  <c r="CT10" i="8"/>
  <c r="CS10" i="8"/>
  <c r="CR10" i="8"/>
  <c r="CQ10" i="8"/>
  <c r="CP10" i="8"/>
  <c r="CO10" i="8"/>
  <c r="CV10" i="8"/>
  <c r="CT9" i="8"/>
  <c r="CS9" i="8"/>
  <c r="CR9" i="8"/>
  <c r="CQ9" i="8"/>
  <c r="CP9" i="8"/>
  <c r="CO9" i="8"/>
  <c r="CV9" i="8"/>
  <c r="CT8" i="8"/>
  <c r="CS8" i="8"/>
  <c r="CR8" i="8"/>
  <c r="CQ8" i="8"/>
  <c r="CP8" i="8"/>
  <c r="CO8" i="8"/>
  <c r="CV8" i="8"/>
  <c r="CT7" i="8"/>
  <c r="CS7" i="8"/>
  <c r="CR7" i="8"/>
  <c r="CQ7" i="8"/>
  <c r="CP7" i="8"/>
  <c r="CO7" i="8"/>
  <c r="CV7" i="8"/>
  <c r="CT6" i="8"/>
  <c r="CS6" i="8"/>
  <c r="CR6" i="8"/>
  <c r="CQ6" i="8"/>
  <c r="CP6" i="8"/>
  <c r="CO6" i="8"/>
  <c r="CV6" i="8"/>
  <c r="CT5" i="8"/>
  <c r="CS5" i="8"/>
  <c r="CR5" i="8"/>
  <c r="CQ5" i="8"/>
  <c r="CP5" i="8"/>
  <c r="CO5" i="8"/>
  <c r="CV5" i="8"/>
  <c r="CT4" i="8"/>
  <c r="CS4" i="8"/>
  <c r="CR4" i="8"/>
  <c r="CQ4" i="8"/>
  <c r="CP4" i="8"/>
  <c r="CO4" i="8"/>
  <c r="CV4" i="8"/>
  <c r="CT3" i="8"/>
  <c r="CT21" i="8"/>
  <c r="CS3" i="8"/>
  <c r="CS21" i="8"/>
  <c r="CR3" i="8"/>
  <c r="CR21" i="8"/>
  <c r="CQ3" i="8"/>
  <c r="CQ21" i="8"/>
  <c r="CP3" i="8"/>
  <c r="CP21" i="8"/>
  <c r="CO3" i="8"/>
  <c r="CM21" i="8"/>
  <c r="CL20" i="8"/>
  <c r="CK20" i="8"/>
  <c r="CJ20" i="8"/>
  <c r="CI20" i="8"/>
  <c r="CH20" i="8"/>
  <c r="CG20" i="8"/>
  <c r="CN20" i="8"/>
  <c r="CL19" i="8"/>
  <c r="CK19" i="8"/>
  <c r="CJ19" i="8"/>
  <c r="CI19" i="8"/>
  <c r="CH19" i="8"/>
  <c r="CG19" i="8"/>
  <c r="CN19" i="8"/>
  <c r="CL18" i="8"/>
  <c r="CK18" i="8"/>
  <c r="CJ18" i="8"/>
  <c r="CI18" i="8"/>
  <c r="CH18" i="8"/>
  <c r="CG18" i="8"/>
  <c r="CN18" i="8"/>
  <c r="CL17" i="8"/>
  <c r="CK17" i="8"/>
  <c r="CJ17" i="8"/>
  <c r="CI17" i="8"/>
  <c r="CH17" i="8"/>
  <c r="CG17" i="8"/>
  <c r="CN17" i="8"/>
  <c r="CL16" i="8"/>
  <c r="CK16" i="8"/>
  <c r="CJ16" i="8"/>
  <c r="CI16" i="8"/>
  <c r="CH16" i="8"/>
  <c r="CG16" i="8"/>
  <c r="CN16" i="8"/>
  <c r="CL15" i="8"/>
  <c r="CK15" i="8"/>
  <c r="CJ15" i="8"/>
  <c r="CI15" i="8"/>
  <c r="CH15" i="8"/>
  <c r="CG15" i="8"/>
  <c r="CN15" i="8"/>
  <c r="CL14" i="8"/>
  <c r="CK14" i="8"/>
  <c r="CJ14" i="8"/>
  <c r="CI14" i="8"/>
  <c r="CH14" i="8"/>
  <c r="CG14" i="8"/>
  <c r="CN14" i="8"/>
  <c r="CL13" i="8"/>
  <c r="CK13" i="8"/>
  <c r="CJ13" i="8"/>
  <c r="CI13" i="8"/>
  <c r="CH13" i="8"/>
  <c r="CG13" i="8"/>
  <c r="CN13" i="8"/>
  <c r="CL12" i="8"/>
  <c r="CK12" i="8"/>
  <c r="CJ12" i="8"/>
  <c r="CI12" i="8"/>
  <c r="CH12" i="8"/>
  <c r="CG12" i="8"/>
  <c r="CN12" i="8"/>
  <c r="CL11" i="8"/>
  <c r="CK11" i="8"/>
  <c r="CJ11" i="8"/>
  <c r="CI11" i="8"/>
  <c r="CH11" i="8"/>
  <c r="CG11" i="8"/>
  <c r="CN11" i="8"/>
  <c r="CL10" i="8"/>
  <c r="CK10" i="8"/>
  <c r="CJ10" i="8"/>
  <c r="CI10" i="8"/>
  <c r="CH10" i="8"/>
  <c r="CG10" i="8"/>
  <c r="CN10" i="8"/>
  <c r="CL9" i="8"/>
  <c r="CK9" i="8"/>
  <c r="CJ9" i="8"/>
  <c r="CI9" i="8"/>
  <c r="CH9" i="8"/>
  <c r="CG9" i="8"/>
  <c r="CN9" i="8"/>
  <c r="CL8" i="8"/>
  <c r="CK8" i="8"/>
  <c r="CJ8" i="8"/>
  <c r="CI8" i="8"/>
  <c r="CH8" i="8"/>
  <c r="CG8" i="8"/>
  <c r="CN8" i="8"/>
  <c r="CL7" i="8"/>
  <c r="CK7" i="8"/>
  <c r="CJ7" i="8"/>
  <c r="CI7" i="8"/>
  <c r="CH7" i="8"/>
  <c r="CG7" i="8"/>
  <c r="CN7" i="8"/>
  <c r="CL6" i="8"/>
  <c r="CK6" i="8"/>
  <c r="CJ6" i="8"/>
  <c r="CI6" i="8"/>
  <c r="CH6" i="8"/>
  <c r="CG6" i="8"/>
  <c r="CN6" i="8"/>
  <c r="CL5" i="8"/>
  <c r="CK5" i="8"/>
  <c r="CJ5" i="8"/>
  <c r="CI5" i="8"/>
  <c r="CH5" i="8"/>
  <c r="CG5" i="8"/>
  <c r="CN5" i="8"/>
  <c r="CL4" i="8"/>
  <c r="CK4" i="8"/>
  <c r="CJ4" i="8"/>
  <c r="CI4" i="8"/>
  <c r="CH4" i="8"/>
  <c r="CG4" i="8"/>
  <c r="CN4" i="8"/>
  <c r="CL3" i="8"/>
  <c r="CL21" i="8"/>
  <c r="CK3" i="8"/>
  <c r="CK21" i="8"/>
  <c r="CJ3" i="8"/>
  <c r="CJ21" i="8"/>
  <c r="CI3" i="8"/>
  <c r="CI21" i="8"/>
  <c r="CH3" i="8"/>
  <c r="CH21" i="8"/>
  <c r="CG3" i="8"/>
  <c r="CE21" i="8"/>
  <c r="CD20" i="8"/>
  <c r="CC20" i="8"/>
  <c r="CB20" i="8"/>
  <c r="CA20" i="8"/>
  <c r="BZ20" i="8"/>
  <c r="BY20" i="8"/>
  <c r="CF20" i="8"/>
  <c r="CD19" i="8"/>
  <c r="CC19" i="8"/>
  <c r="CB19" i="8"/>
  <c r="CA19" i="8"/>
  <c r="BZ19" i="8"/>
  <c r="BY19" i="8"/>
  <c r="CF19" i="8"/>
  <c r="CD18" i="8"/>
  <c r="CC18" i="8"/>
  <c r="CB18" i="8"/>
  <c r="CA18" i="8"/>
  <c r="BZ18" i="8"/>
  <c r="BY18" i="8"/>
  <c r="CF18" i="8"/>
  <c r="CD17" i="8"/>
  <c r="CC17" i="8"/>
  <c r="CB17" i="8"/>
  <c r="CA17" i="8"/>
  <c r="BZ17" i="8"/>
  <c r="BY17" i="8"/>
  <c r="CF17" i="8"/>
  <c r="CD16" i="8"/>
  <c r="CC16" i="8"/>
  <c r="CB16" i="8"/>
  <c r="CA16" i="8"/>
  <c r="BZ16" i="8"/>
  <c r="BY16" i="8"/>
  <c r="CF16" i="8"/>
  <c r="CD15" i="8"/>
  <c r="CC15" i="8"/>
  <c r="CB15" i="8"/>
  <c r="CA15" i="8"/>
  <c r="BZ15" i="8"/>
  <c r="BY15" i="8"/>
  <c r="CF15" i="8"/>
  <c r="CD14" i="8"/>
  <c r="CC14" i="8"/>
  <c r="CB14" i="8"/>
  <c r="CA14" i="8"/>
  <c r="BZ14" i="8"/>
  <c r="BY14" i="8"/>
  <c r="CF14" i="8"/>
  <c r="CD13" i="8"/>
  <c r="CC13" i="8"/>
  <c r="CB13" i="8"/>
  <c r="CA13" i="8"/>
  <c r="BZ13" i="8"/>
  <c r="BY13" i="8"/>
  <c r="CF13" i="8"/>
  <c r="CD12" i="8"/>
  <c r="CC12" i="8"/>
  <c r="CB12" i="8"/>
  <c r="CA12" i="8"/>
  <c r="BZ12" i="8"/>
  <c r="BY12" i="8"/>
  <c r="CF12" i="8"/>
  <c r="CD11" i="8"/>
  <c r="CC11" i="8"/>
  <c r="CB11" i="8"/>
  <c r="CA11" i="8"/>
  <c r="BZ11" i="8"/>
  <c r="BY11" i="8"/>
  <c r="CF11" i="8"/>
  <c r="CD10" i="8"/>
  <c r="CC10" i="8"/>
  <c r="CB10" i="8"/>
  <c r="CA10" i="8"/>
  <c r="BZ10" i="8"/>
  <c r="BY10" i="8"/>
  <c r="CF10" i="8"/>
  <c r="CD9" i="8"/>
  <c r="CC9" i="8"/>
  <c r="CB9" i="8"/>
  <c r="CA9" i="8"/>
  <c r="BZ9" i="8"/>
  <c r="BY9" i="8"/>
  <c r="CF9" i="8"/>
  <c r="CD8" i="8"/>
  <c r="CC8" i="8"/>
  <c r="CB8" i="8"/>
  <c r="CA8" i="8"/>
  <c r="BZ8" i="8"/>
  <c r="BY8" i="8"/>
  <c r="CF8" i="8"/>
  <c r="CD7" i="8"/>
  <c r="CC7" i="8"/>
  <c r="CB7" i="8"/>
  <c r="CA7" i="8"/>
  <c r="BZ7" i="8"/>
  <c r="BY7" i="8"/>
  <c r="CF7" i="8"/>
  <c r="CD6" i="8"/>
  <c r="CC6" i="8"/>
  <c r="CB6" i="8"/>
  <c r="CA6" i="8"/>
  <c r="BZ6" i="8"/>
  <c r="BY6" i="8"/>
  <c r="CF6" i="8"/>
  <c r="CD5" i="8"/>
  <c r="CC5" i="8"/>
  <c r="CB5" i="8"/>
  <c r="CA5" i="8"/>
  <c r="BZ5" i="8"/>
  <c r="BY5" i="8"/>
  <c r="CF5" i="8"/>
  <c r="CD4" i="8"/>
  <c r="CC4" i="8"/>
  <c r="CB4" i="8"/>
  <c r="CA4" i="8"/>
  <c r="BZ4" i="8"/>
  <c r="BY4" i="8"/>
  <c r="CF4" i="8"/>
  <c r="CD3" i="8"/>
  <c r="CD21" i="8"/>
  <c r="CC3" i="8"/>
  <c r="CC21" i="8"/>
  <c r="CB3" i="8"/>
  <c r="CB21" i="8"/>
  <c r="CA3" i="8"/>
  <c r="CA21" i="8"/>
  <c r="BZ3" i="8"/>
  <c r="BZ21" i="8"/>
  <c r="BY3" i="8"/>
  <c r="BW21" i="8"/>
  <c r="BV20" i="8"/>
  <c r="BU20" i="8"/>
  <c r="BT20" i="8"/>
  <c r="BS20" i="8"/>
  <c r="BR20" i="8"/>
  <c r="BQ20" i="8"/>
  <c r="BX20" i="8"/>
  <c r="BV19" i="8"/>
  <c r="BU19" i="8"/>
  <c r="BT19" i="8"/>
  <c r="BS19" i="8"/>
  <c r="BR19" i="8"/>
  <c r="BQ19" i="8"/>
  <c r="BX19" i="8"/>
  <c r="BV18" i="8"/>
  <c r="BU18" i="8"/>
  <c r="BT18" i="8"/>
  <c r="BS18" i="8"/>
  <c r="BR18" i="8"/>
  <c r="BQ18" i="8"/>
  <c r="BX18" i="8"/>
  <c r="BV17" i="8"/>
  <c r="BU17" i="8"/>
  <c r="BT17" i="8"/>
  <c r="BS17" i="8"/>
  <c r="BR17" i="8"/>
  <c r="BQ17" i="8"/>
  <c r="BX17" i="8"/>
  <c r="BV16" i="8"/>
  <c r="BU16" i="8"/>
  <c r="BT16" i="8"/>
  <c r="BS16" i="8"/>
  <c r="BR16" i="8"/>
  <c r="BQ16" i="8"/>
  <c r="BX16" i="8"/>
  <c r="BV15" i="8"/>
  <c r="BU15" i="8"/>
  <c r="BT15" i="8"/>
  <c r="BS15" i="8"/>
  <c r="BR15" i="8"/>
  <c r="BQ15" i="8"/>
  <c r="BX15" i="8"/>
  <c r="BV14" i="8"/>
  <c r="BU14" i="8"/>
  <c r="BT14" i="8"/>
  <c r="BS14" i="8"/>
  <c r="BR14" i="8"/>
  <c r="BQ14" i="8"/>
  <c r="BX14" i="8"/>
  <c r="BV13" i="8"/>
  <c r="BU13" i="8"/>
  <c r="BT13" i="8"/>
  <c r="BS13" i="8"/>
  <c r="BR13" i="8"/>
  <c r="BQ13" i="8"/>
  <c r="BX13" i="8"/>
  <c r="BV12" i="8"/>
  <c r="BU12" i="8"/>
  <c r="BT12" i="8"/>
  <c r="BS12" i="8"/>
  <c r="BR12" i="8"/>
  <c r="BQ12" i="8"/>
  <c r="BX12" i="8"/>
  <c r="BV11" i="8"/>
  <c r="BU11" i="8"/>
  <c r="BT11" i="8"/>
  <c r="BS11" i="8"/>
  <c r="BR11" i="8"/>
  <c r="BQ11" i="8"/>
  <c r="BX11" i="8"/>
  <c r="BV10" i="8"/>
  <c r="BU10" i="8"/>
  <c r="BT10" i="8"/>
  <c r="BS10" i="8"/>
  <c r="BR10" i="8"/>
  <c r="BQ10" i="8"/>
  <c r="BX10" i="8"/>
  <c r="BV9" i="8"/>
  <c r="BU9" i="8"/>
  <c r="BT9" i="8"/>
  <c r="BS9" i="8"/>
  <c r="BR9" i="8"/>
  <c r="BQ9" i="8"/>
  <c r="BX9" i="8"/>
  <c r="BV8" i="8"/>
  <c r="BU8" i="8"/>
  <c r="BT8" i="8"/>
  <c r="BS8" i="8"/>
  <c r="BR8" i="8"/>
  <c r="BQ8" i="8"/>
  <c r="BX8" i="8"/>
  <c r="BV7" i="8"/>
  <c r="BU7" i="8"/>
  <c r="BT7" i="8"/>
  <c r="BS7" i="8"/>
  <c r="BR7" i="8"/>
  <c r="BQ7" i="8"/>
  <c r="BX7" i="8"/>
  <c r="BV6" i="8"/>
  <c r="BU6" i="8"/>
  <c r="BT6" i="8"/>
  <c r="BS6" i="8"/>
  <c r="BR6" i="8"/>
  <c r="BQ6" i="8"/>
  <c r="BX6" i="8"/>
  <c r="BV5" i="8"/>
  <c r="BU5" i="8"/>
  <c r="BT5" i="8"/>
  <c r="BS5" i="8"/>
  <c r="BR5" i="8"/>
  <c r="BQ5" i="8"/>
  <c r="BX5" i="8"/>
  <c r="BV4" i="8"/>
  <c r="BU4" i="8"/>
  <c r="BT4" i="8"/>
  <c r="BS4" i="8"/>
  <c r="BR4" i="8"/>
  <c r="BQ4" i="8"/>
  <c r="BX4" i="8"/>
  <c r="BV3" i="8"/>
  <c r="BV21" i="8"/>
  <c r="BU3" i="8"/>
  <c r="BU21" i="8"/>
  <c r="BT3" i="8"/>
  <c r="BT21" i="8"/>
  <c r="BS3" i="8"/>
  <c r="BS21" i="8"/>
  <c r="BR3" i="8"/>
  <c r="BR21" i="8"/>
  <c r="BQ3" i="8"/>
  <c r="BO21" i="8"/>
  <c r="BN20" i="8"/>
  <c r="BM20" i="8"/>
  <c r="BL20" i="8"/>
  <c r="BK20" i="8"/>
  <c r="BJ20" i="8"/>
  <c r="BI20" i="8"/>
  <c r="BP20" i="8"/>
  <c r="BN19" i="8"/>
  <c r="BM19" i="8"/>
  <c r="BL19" i="8"/>
  <c r="BK19" i="8"/>
  <c r="BJ19" i="8"/>
  <c r="BI19" i="8"/>
  <c r="BP19" i="8"/>
  <c r="BN18" i="8"/>
  <c r="BM18" i="8"/>
  <c r="BL18" i="8"/>
  <c r="BK18" i="8"/>
  <c r="BJ18" i="8"/>
  <c r="BI18" i="8"/>
  <c r="BP18" i="8"/>
  <c r="BN17" i="8"/>
  <c r="BM17" i="8"/>
  <c r="BL17" i="8"/>
  <c r="BK17" i="8"/>
  <c r="BJ17" i="8"/>
  <c r="BI17" i="8"/>
  <c r="BP17" i="8"/>
  <c r="BN16" i="8"/>
  <c r="BM16" i="8"/>
  <c r="BL16" i="8"/>
  <c r="BK16" i="8"/>
  <c r="BJ16" i="8"/>
  <c r="BI16" i="8"/>
  <c r="BP16" i="8"/>
  <c r="BN15" i="8"/>
  <c r="BM15" i="8"/>
  <c r="BL15" i="8"/>
  <c r="BK15" i="8"/>
  <c r="BJ15" i="8"/>
  <c r="BI15" i="8"/>
  <c r="BP15" i="8"/>
  <c r="BN14" i="8"/>
  <c r="BM14" i="8"/>
  <c r="BL14" i="8"/>
  <c r="BK14" i="8"/>
  <c r="BJ14" i="8"/>
  <c r="BI14" i="8"/>
  <c r="BP14" i="8"/>
  <c r="BN13" i="8"/>
  <c r="BM13" i="8"/>
  <c r="BL13" i="8"/>
  <c r="BK13" i="8"/>
  <c r="BJ13" i="8"/>
  <c r="BI13" i="8"/>
  <c r="BP13" i="8"/>
  <c r="BN12" i="8"/>
  <c r="BM12" i="8"/>
  <c r="BL12" i="8"/>
  <c r="BK12" i="8"/>
  <c r="BJ12" i="8"/>
  <c r="BI12" i="8"/>
  <c r="BP12" i="8"/>
  <c r="BN11" i="8"/>
  <c r="BM11" i="8"/>
  <c r="BL11" i="8"/>
  <c r="BK11" i="8"/>
  <c r="BJ11" i="8"/>
  <c r="BI11" i="8"/>
  <c r="BP11" i="8"/>
  <c r="BN10" i="8"/>
  <c r="BM10" i="8"/>
  <c r="BL10" i="8"/>
  <c r="BK10" i="8"/>
  <c r="BJ10" i="8"/>
  <c r="BI10" i="8"/>
  <c r="BP10" i="8"/>
  <c r="BN9" i="8"/>
  <c r="BM9" i="8"/>
  <c r="BL9" i="8"/>
  <c r="BK9" i="8"/>
  <c r="BJ9" i="8"/>
  <c r="BI9" i="8"/>
  <c r="BP9" i="8"/>
  <c r="BN8" i="8"/>
  <c r="BM8" i="8"/>
  <c r="BL8" i="8"/>
  <c r="BK8" i="8"/>
  <c r="BJ8" i="8"/>
  <c r="BI8" i="8"/>
  <c r="BP8" i="8"/>
  <c r="BN7" i="8"/>
  <c r="BM7" i="8"/>
  <c r="BL7" i="8"/>
  <c r="BK7" i="8"/>
  <c r="BJ7" i="8"/>
  <c r="BI7" i="8"/>
  <c r="BP7" i="8"/>
  <c r="BN6" i="8"/>
  <c r="BM6" i="8"/>
  <c r="BL6" i="8"/>
  <c r="BK6" i="8"/>
  <c r="BJ6" i="8"/>
  <c r="BI6" i="8"/>
  <c r="BP6" i="8"/>
  <c r="BN5" i="8"/>
  <c r="BM5" i="8"/>
  <c r="BL5" i="8"/>
  <c r="BK5" i="8"/>
  <c r="BJ5" i="8"/>
  <c r="BI5" i="8"/>
  <c r="BP5" i="8"/>
  <c r="BN4" i="8"/>
  <c r="BM4" i="8"/>
  <c r="BL4" i="8"/>
  <c r="BK4" i="8"/>
  <c r="BJ4" i="8"/>
  <c r="BI4" i="8"/>
  <c r="BP4" i="8"/>
  <c r="BN3" i="8"/>
  <c r="BN21" i="8"/>
  <c r="BM3" i="8"/>
  <c r="BM21" i="8"/>
  <c r="BL3" i="8"/>
  <c r="BL21" i="8"/>
  <c r="BK3" i="8"/>
  <c r="BK21" i="8"/>
  <c r="BJ3" i="8"/>
  <c r="BJ21" i="8"/>
  <c r="BI3" i="8"/>
  <c r="U14" i="8"/>
  <c r="V14" i="8"/>
  <c r="W14" i="8"/>
  <c r="X14" i="8"/>
  <c r="Y14" i="8"/>
  <c r="Z14" i="8"/>
  <c r="AB14" i="8"/>
  <c r="AC14" i="8"/>
  <c r="AD14" i="8"/>
  <c r="AE14" i="8"/>
  <c r="AF14" i="8"/>
  <c r="AG14" i="8"/>
  <c r="AH14" i="8"/>
  <c r="AJ14" i="8"/>
  <c r="AK14" i="8"/>
  <c r="AL14" i="8"/>
  <c r="AM14" i="8"/>
  <c r="AN14" i="8"/>
  <c r="AO14" i="8"/>
  <c r="AP14" i="8"/>
  <c r="AR14" i="8"/>
  <c r="AS14" i="8"/>
  <c r="AT14" i="8"/>
  <c r="AU14" i="8"/>
  <c r="AV14" i="8"/>
  <c r="AW14" i="8"/>
  <c r="AX14" i="8"/>
  <c r="AZ14" i="8"/>
  <c r="BA14" i="8"/>
  <c r="BB14" i="8"/>
  <c r="BC14" i="8"/>
  <c r="BD14" i="8"/>
  <c r="BE14" i="8"/>
  <c r="BF14" i="8"/>
  <c r="BH14" i="8"/>
  <c r="U15" i="8"/>
  <c r="V15" i="8"/>
  <c r="W15" i="8"/>
  <c r="X15" i="8"/>
  <c r="Y15" i="8"/>
  <c r="Z15" i="8"/>
  <c r="AB15" i="8"/>
  <c r="AC15" i="8"/>
  <c r="AD15" i="8"/>
  <c r="AE15" i="8"/>
  <c r="AF15" i="8"/>
  <c r="AG15" i="8"/>
  <c r="AH15" i="8"/>
  <c r="AJ15" i="8"/>
  <c r="AK15" i="8"/>
  <c r="AL15" i="8"/>
  <c r="AM15" i="8"/>
  <c r="AN15" i="8"/>
  <c r="AO15" i="8"/>
  <c r="AP15" i="8"/>
  <c r="AR15" i="8"/>
  <c r="AS15" i="8"/>
  <c r="AT15" i="8"/>
  <c r="AU15" i="8"/>
  <c r="AV15" i="8"/>
  <c r="AW15" i="8"/>
  <c r="AX15" i="8"/>
  <c r="AZ15" i="8"/>
  <c r="BA15" i="8"/>
  <c r="BB15" i="8"/>
  <c r="BC15" i="8"/>
  <c r="BD15" i="8"/>
  <c r="BE15" i="8"/>
  <c r="BF15" i="8"/>
  <c r="BH15" i="8"/>
  <c r="U16" i="8"/>
  <c r="V16" i="8"/>
  <c r="W16" i="8"/>
  <c r="X16" i="8"/>
  <c r="Y16" i="8"/>
  <c r="Z16" i="8"/>
  <c r="AB16" i="8"/>
  <c r="AC16" i="8"/>
  <c r="AD16" i="8"/>
  <c r="AE16" i="8"/>
  <c r="AF16" i="8"/>
  <c r="AG16" i="8"/>
  <c r="AH16" i="8"/>
  <c r="AJ16" i="8"/>
  <c r="AK16" i="8"/>
  <c r="AL16" i="8"/>
  <c r="AM16" i="8"/>
  <c r="AN16" i="8"/>
  <c r="AO16" i="8"/>
  <c r="AP16" i="8"/>
  <c r="AR16" i="8"/>
  <c r="AS16" i="8"/>
  <c r="AT16" i="8"/>
  <c r="AU16" i="8"/>
  <c r="AV16" i="8"/>
  <c r="AW16" i="8"/>
  <c r="AX16" i="8"/>
  <c r="AZ16" i="8"/>
  <c r="BA16" i="8"/>
  <c r="BB16" i="8"/>
  <c r="BC16" i="8"/>
  <c r="BD16" i="8"/>
  <c r="BE16" i="8"/>
  <c r="BF16" i="8"/>
  <c r="BH16" i="8"/>
  <c r="AS17" i="8"/>
  <c r="AT17" i="8"/>
  <c r="AU17" i="8"/>
  <c r="AV17" i="8"/>
  <c r="AW17" i="8"/>
  <c r="AX17" i="8"/>
  <c r="AZ17" i="8"/>
  <c r="BA17" i="8"/>
  <c r="BB17" i="8"/>
  <c r="BC17" i="8"/>
  <c r="BD17" i="8"/>
  <c r="BE17" i="8"/>
  <c r="BF17" i="8"/>
  <c r="BH17" i="8"/>
  <c r="AS18" i="8"/>
  <c r="AT18" i="8"/>
  <c r="AU18" i="8"/>
  <c r="AV18" i="8"/>
  <c r="AW18" i="8"/>
  <c r="AX18" i="8"/>
  <c r="AZ18" i="8"/>
  <c r="BA18" i="8"/>
  <c r="BB18" i="8"/>
  <c r="BC18" i="8"/>
  <c r="BD18" i="8"/>
  <c r="BE18" i="8"/>
  <c r="BF18" i="8"/>
  <c r="BH18" i="8"/>
  <c r="AS19" i="8"/>
  <c r="AT19" i="8"/>
  <c r="AU19" i="8"/>
  <c r="AV19" i="8"/>
  <c r="AW19" i="8"/>
  <c r="AX19" i="8"/>
  <c r="AZ19" i="8"/>
  <c r="BA19" i="8"/>
  <c r="BB19" i="8"/>
  <c r="BC19" i="8"/>
  <c r="BD19" i="8"/>
  <c r="BE19" i="8"/>
  <c r="BF19" i="8"/>
  <c r="BH19" i="8"/>
  <c r="AS20" i="8"/>
  <c r="AT20" i="8"/>
  <c r="AU20" i="8"/>
  <c r="AV20" i="8"/>
  <c r="AW20" i="8"/>
  <c r="AX20" i="8"/>
  <c r="AZ20" i="8"/>
  <c r="BA20" i="8"/>
  <c r="BB20" i="8"/>
  <c r="BC20" i="8"/>
  <c r="BD20" i="8"/>
  <c r="BE20" i="8"/>
  <c r="BF20" i="8"/>
  <c r="BH20" i="8"/>
  <c r="BG21" i="8"/>
  <c r="BF13" i="8"/>
  <c r="BF12" i="8"/>
  <c r="BB12" i="8"/>
  <c r="BA12" i="8"/>
  <c r="BF11" i="8"/>
  <c r="BB11" i="8"/>
  <c r="BA11" i="8"/>
  <c r="BF10" i="8"/>
  <c r="BC10" i="8"/>
  <c r="BB10" i="8"/>
  <c r="BA10" i="8"/>
  <c r="BF9" i="8"/>
  <c r="BC9" i="8"/>
  <c r="BB9" i="8"/>
  <c r="BA9" i="8"/>
  <c r="BF8" i="8"/>
  <c r="BC8" i="8"/>
  <c r="BB8" i="8"/>
  <c r="BA8" i="8"/>
  <c r="BF7" i="8"/>
  <c r="BB7" i="8"/>
  <c r="BA7" i="8"/>
  <c r="BF6" i="8"/>
  <c r="BB6" i="8"/>
  <c r="BA6" i="8"/>
  <c r="BF5" i="8"/>
  <c r="BB5" i="8"/>
  <c r="BA5" i="8"/>
  <c r="BF4" i="8"/>
  <c r="BB4" i="8"/>
  <c r="BA4" i="8"/>
  <c r="BF3" i="8"/>
  <c r="BF21" i="8"/>
  <c r="BB3" i="8"/>
  <c r="BA3" i="8"/>
  <c r="AY21" i="8"/>
  <c r="AX13" i="8"/>
  <c r="BE13" i="8"/>
  <c r="AU13" i="8"/>
  <c r="BB13" i="8"/>
  <c r="AX12" i="8"/>
  <c r="BE12" i="8"/>
  <c r="AU12" i="8"/>
  <c r="AT12" i="8"/>
  <c r="AS12" i="8"/>
  <c r="AX11" i="8"/>
  <c r="BE11" i="8"/>
  <c r="AU11" i="8"/>
  <c r="AT11" i="8"/>
  <c r="AS11" i="8"/>
  <c r="AX10" i="8"/>
  <c r="BE10" i="8"/>
  <c r="AV10" i="8"/>
  <c r="AU10" i="8"/>
  <c r="AT10" i="8"/>
  <c r="AS10" i="8"/>
  <c r="AX9" i="8"/>
  <c r="BE9" i="8"/>
  <c r="AV9" i="8"/>
  <c r="AU9" i="8"/>
  <c r="AT9" i="8"/>
  <c r="AS9" i="8"/>
  <c r="AX8" i="8"/>
  <c r="BE8" i="8"/>
  <c r="AV8" i="8"/>
  <c r="AU8" i="8"/>
  <c r="AT8" i="8"/>
  <c r="AS8" i="8"/>
  <c r="AX7" i="8"/>
  <c r="BE7" i="8"/>
  <c r="AU7" i="8"/>
  <c r="AT7" i="8"/>
  <c r="AS7" i="8"/>
  <c r="AX6" i="8"/>
  <c r="BE6" i="8"/>
  <c r="AU6" i="8"/>
  <c r="AT6" i="8"/>
  <c r="AS6" i="8"/>
  <c r="AX5" i="8"/>
  <c r="BE5" i="8"/>
  <c r="AU5" i="8"/>
  <c r="AT5" i="8"/>
  <c r="AS5" i="8"/>
  <c r="AX4" i="8"/>
  <c r="BE4" i="8"/>
  <c r="AU4" i="8"/>
  <c r="AT4" i="8"/>
  <c r="AS4" i="8"/>
  <c r="AX3" i="8"/>
  <c r="AU3" i="8"/>
  <c r="AU21" i="8"/>
  <c r="AT3" i="8"/>
  <c r="AS3" i="8"/>
  <c r="AQ21" i="8"/>
  <c r="AP13" i="8"/>
  <c r="AW13" i="8"/>
  <c r="BD13" i="8"/>
  <c r="AN13" i="8"/>
  <c r="AM13" i="8"/>
  <c r="AT13" i="8"/>
  <c r="BA13" i="8"/>
  <c r="AP12" i="8"/>
  <c r="AW12" i="8"/>
  <c r="BD12" i="8"/>
  <c r="AN12" i="8"/>
  <c r="AM12" i="8"/>
  <c r="AL12" i="8"/>
  <c r="AK12" i="8"/>
  <c r="AP11" i="8"/>
  <c r="AW11" i="8"/>
  <c r="BD11" i="8"/>
  <c r="AN11" i="8"/>
  <c r="AM11" i="8"/>
  <c r="AL11" i="8"/>
  <c r="AK11" i="8"/>
  <c r="AP10" i="8"/>
  <c r="AW10" i="8"/>
  <c r="BD10" i="8"/>
  <c r="AO10" i="8"/>
  <c r="AN10" i="8"/>
  <c r="AM10" i="8"/>
  <c r="AL10" i="8"/>
  <c r="AK10" i="8"/>
  <c r="AR10" i="8"/>
  <c r="AP9" i="8"/>
  <c r="AW9" i="8"/>
  <c r="BD9" i="8"/>
  <c r="AO9" i="8"/>
  <c r="AN9" i="8"/>
  <c r="AM9" i="8"/>
  <c r="AL9" i="8"/>
  <c r="AK9" i="8"/>
  <c r="AR9" i="8"/>
  <c r="AP8" i="8"/>
  <c r="AW8" i="8"/>
  <c r="BD8" i="8"/>
  <c r="AO8" i="8"/>
  <c r="AN8" i="8"/>
  <c r="AM8" i="8"/>
  <c r="AL8" i="8"/>
  <c r="AK8" i="8"/>
  <c r="AR8" i="8"/>
  <c r="AP7" i="8"/>
  <c r="AW7" i="8"/>
  <c r="BD7" i="8"/>
  <c r="AN7" i="8"/>
  <c r="AM7" i="8"/>
  <c r="AL7" i="8"/>
  <c r="AK7" i="8"/>
  <c r="AP6" i="8"/>
  <c r="AW6" i="8"/>
  <c r="BD6" i="8"/>
  <c r="AN6" i="8"/>
  <c r="AM6" i="8"/>
  <c r="AL6" i="8"/>
  <c r="AK6" i="8"/>
  <c r="AP5" i="8"/>
  <c r="AW5" i="8"/>
  <c r="BD5" i="8"/>
  <c r="AN5" i="8"/>
  <c r="AM5" i="8"/>
  <c r="AL5" i="8"/>
  <c r="AK5" i="8"/>
  <c r="AP4" i="8"/>
  <c r="AW4" i="8"/>
  <c r="BD4" i="8"/>
  <c r="AN4" i="8"/>
  <c r="AM4" i="8"/>
  <c r="AL4" i="8"/>
  <c r="AK4" i="8"/>
  <c r="AP3" i="8"/>
  <c r="AN3" i="8"/>
  <c r="AN21" i="8"/>
  <c r="AM3" i="8"/>
  <c r="AM21" i="8"/>
  <c r="AL3" i="8"/>
  <c r="AK3" i="8"/>
  <c r="AI21" i="8"/>
  <c r="AH13" i="8"/>
  <c r="AO13" i="8"/>
  <c r="AV13" i="8"/>
  <c r="BC13" i="8"/>
  <c r="AG13" i="8"/>
  <c r="AF13" i="8"/>
  <c r="AE13" i="8"/>
  <c r="AL13" i="8"/>
  <c r="AS13" i="8"/>
  <c r="AZ13" i="8"/>
  <c r="AH12" i="8"/>
  <c r="AO12" i="8"/>
  <c r="AV12" i="8"/>
  <c r="BC12" i="8"/>
  <c r="AG12" i="8"/>
  <c r="AF12" i="8"/>
  <c r="AE12" i="8"/>
  <c r="AD12" i="8"/>
  <c r="AC12" i="8"/>
  <c r="AJ12" i="8"/>
  <c r="AH11" i="8"/>
  <c r="AO11" i="8"/>
  <c r="AV11" i="8"/>
  <c r="BC11" i="8"/>
  <c r="AG11" i="8"/>
  <c r="AF11" i="8"/>
  <c r="AE11" i="8"/>
  <c r="AD11" i="8"/>
  <c r="AC11" i="8"/>
  <c r="AJ11" i="8"/>
  <c r="AH10" i="8"/>
  <c r="AG10" i="8"/>
  <c r="AF10" i="8"/>
  <c r="AE10" i="8"/>
  <c r="AD10" i="8"/>
  <c r="AC10" i="8"/>
  <c r="AJ10" i="8"/>
  <c r="AH9" i="8"/>
  <c r="AG9" i="8"/>
  <c r="AF9" i="8"/>
  <c r="AE9" i="8"/>
  <c r="AD9" i="8"/>
  <c r="AC9" i="8"/>
  <c r="AJ9" i="8"/>
  <c r="AH8" i="8"/>
  <c r="AG8" i="8"/>
  <c r="AF8" i="8"/>
  <c r="AE8" i="8"/>
  <c r="AD8" i="8"/>
  <c r="AC8" i="8"/>
  <c r="AJ8" i="8"/>
  <c r="AH7" i="8"/>
  <c r="AO7" i="8"/>
  <c r="AV7" i="8"/>
  <c r="BC7" i="8"/>
  <c r="AG7" i="8"/>
  <c r="AF7" i="8"/>
  <c r="AE7" i="8"/>
  <c r="AD7" i="8"/>
  <c r="AC7" i="8"/>
  <c r="AJ7" i="8"/>
  <c r="AH6" i="8"/>
  <c r="AO6" i="8"/>
  <c r="AV6" i="8"/>
  <c r="BC6" i="8"/>
  <c r="AG6" i="8"/>
  <c r="AF6" i="8"/>
  <c r="AE6" i="8"/>
  <c r="AD6" i="8"/>
  <c r="AC6" i="8"/>
  <c r="AJ6" i="8"/>
  <c r="AH5" i="8"/>
  <c r="AO5" i="8"/>
  <c r="AV5" i="8"/>
  <c r="BC5" i="8"/>
  <c r="AG5" i="8"/>
  <c r="AF5" i="8"/>
  <c r="AE5" i="8"/>
  <c r="AD5" i="8"/>
  <c r="AC5" i="8"/>
  <c r="AJ5" i="8"/>
  <c r="AH4" i="8"/>
  <c r="AO4" i="8"/>
  <c r="AV4" i="8"/>
  <c r="BC4" i="8"/>
  <c r="AG4" i="8"/>
  <c r="AF4" i="8"/>
  <c r="AE4" i="8"/>
  <c r="AD4" i="8"/>
  <c r="AC4" i="8"/>
  <c r="AJ4" i="8"/>
  <c r="AH3" i="8"/>
  <c r="AG3" i="8"/>
  <c r="AG21" i="8"/>
  <c r="AF3" i="8"/>
  <c r="AF21" i="8"/>
  <c r="AE3" i="8"/>
  <c r="AE21" i="8"/>
  <c r="AD3" i="8"/>
  <c r="AC3" i="8"/>
  <c r="V3" i="8"/>
  <c r="W3" i="8"/>
  <c r="V4" i="8"/>
  <c r="W4" i="8"/>
  <c r="V5" i="8"/>
  <c r="W5" i="8"/>
  <c r="V6" i="8"/>
  <c r="W6" i="8"/>
  <c r="V7" i="8"/>
  <c r="W7" i="8"/>
  <c r="V8" i="8"/>
  <c r="W8" i="8"/>
  <c r="V9" i="8"/>
  <c r="W9" i="8"/>
  <c r="V10" i="8"/>
  <c r="W10" i="8"/>
  <c r="V11" i="8"/>
  <c r="W11" i="8"/>
  <c r="V12" i="8"/>
  <c r="W12" i="8"/>
  <c r="W13" i="8"/>
  <c r="AD13" i="8"/>
  <c r="AK13" i="8"/>
  <c r="AR13" i="8"/>
  <c r="X3" i="8"/>
  <c r="Y3" i="8"/>
  <c r="Z3" i="8"/>
  <c r="X4" i="8"/>
  <c r="Y4" i="8"/>
  <c r="Z4" i="8"/>
  <c r="X5" i="8"/>
  <c r="Y5" i="8"/>
  <c r="Z5" i="8"/>
  <c r="X6" i="8"/>
  <c r="Y6" i="8"/>
  <c r="Z6" i="8"/>
  <c r="X7" i="8"/>
  <c r="Y7" i="8"/>
  <c r="Z7" i="8"/>
  <c r="X8" i="8"/>
  <c r="Y8" i="8"/>
  <c r="Z8" i="8"/>
  <c r="X9" i="8"/>
  <c r="Y9" i="8"/>
  <c r="Z9" i="8"/>
  <c r="X10" i="8"/>
  <c r="Y10" i="8"/>
  <c r="Z10" i="8"/>
  <c r="X11" i="8"/>
  <c r="Y11" i="8"/>
  <c r="Z11" i="8"/>
  <c r="X12" i="8"/>
  <c r="Y12" i="8"/>
  <c r="Z12" i="8"/>
  <c r="X13" i="8"/>
  <c r="Y13" i="8"/>
  <c r="Z13" i="8"/>
  <c r="U4" i="8"/>
  <c r="U5" i="8"/>
  <c r="U6" i="8"/>
  <c r="U7" i="8"/>
  <c r="U8" i="8"/>
  <c r="U9" i="8"/>
  <c r="U10" i="8"/>
  <c r="U11" i="8"/>
  <c r="U12" i="8"/>
  <c r="U3" i="8"/>
  <c r="Q3" i="8"/>
  <c r="R3" i="8"/>
  <c r="Q4" i="8"/>
  <c r="R4" i="8"/>
  <c r="Q5" i="8"/>
  <c r="R5" i="8"/>
  <c r="Q6" i="8"/>
  <c r="R6" i="8"/>
  <c r="Q7" i="8"/>
  <c r="R7" i="8"/>
  <c r="Q8" i="8"/>
  <c r="R8" i="8"/>
  <c r="Q9" i="8"/>
  <c r="R9" i="8"/>
  <c r="Q10" i="8"/>
  <c r="R10" i="8"/>
  <c r="Q11" i="8"/>
  <c r="R11" i="8"/>
  <c r="Q12" i="8"/>
  <c r="R12" i="8"/>
  <c r="Q13" i="8"/>
  <c r="R13" i="8"/>
  <c r="P4" i="8"/>
  <c r="P5" i="8"/>
  <c r="P6" i="8"/>
  <c r="P7" i="8"/>
  <c r="P8" i="8"/>
  <c r="P9" i="8"/>
  <c r="P10" i="8"/>
  <c r="P11" i="8"/>
  <c r="P12" i="8"/>
  <c r="P13" i="8"/>
  <c r="P3" i="8"/>
  <c r="N3" i="8"/>
  <c r="O3" i="8"/>
  <c r="N4" i="8"/>
  <c r="O4" i="8"/>
  <c r="N5" i="8"/>
  <c r="O5" i="8"/>
  <c r="N6" i="8"/>
  <c r="O6" i="8"/>
  <c r="N7" i="8"/>
  <c r="O7" i="8"/>
  <c r="N8" i="8"/>
  <c r="O8" i="8"/>
  <c r="N9" i="8"/>
  <c r="O9" i="8"/>
  <c r="N10" i="8"/>
  <c r="O10" i="8"/>
  <c r="N11" i="8"/>
  <c r="O11" i="8"/>
  <c r="N12" i="8"/>
  <c r="O12" i="8"/>
  <c r="N13" i="8"/>
  <c r="U13" i="8"/>
  <c r="O13" i="8"/>
  <c r="V13" i="8"/>
  <c r="AC13" i="8"/>
  <c r="AJ13" i="8"/>
  <c r="M4" i="8"/>
  <c r="M5" i="8"/>
  <c r="M6" i="8"/>
  <c r="M7" i="8"/>
  <c r="M8" i="8"/>
  <c r="M9" i="8"/>
  <c r="M10" i="8"/>
  <c r="M11" i="8"/>
  <c r="M12" i="8"/>
  <c r="M13" i="8"/>
  <c r="M3" i="8"/>
  <c r="AA21" i="8"/>
  <c r="Z21" i="8"/>
  <c r="Y21" i="8"/>
  <c r="X21" i="8"/>
  <c r="T4" i="8"/>
  <c r="T5" i="8"/>
  <c r="T6" i="8"/>
  <c r="T7" i="8"/>
  <c r="T8" i="8"/>
  <c r="T9" i="8"/>
  <c r="T10" i="8"/>
  <c r="T11" i="8"/>
  <c r="T12" i="8"/>
  <c r="T13" i="8"/>
  <c r="T3" i="8"/>
  <c r="S21" i="8"/>
  <c r="R21" i="8"/>
  <c r="Q21" i="8"/>
  <c r="P21" i="8"/>
  <c r="O21" i="8"/>
  <c r="N21" i="8"/>
  <c r="M21" i="8"/>
  <c r="T21" i="8"/>
  <c r="E21" i="8"/>
  <c r="F21" i="8"/>
  <c r="G21" i="8"/>
  <c r="H21" i="8"/>
  <c r="I21" i="8"/>
  <c r="J21" i="8"/>
  <c r="K21" i="8"/>
  <c r="D21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L3" i="8"/>
  <c r="L4" i="8"/>
  <c r="L5" i="8"/>
  <c r="L6" i="8"/>
  <c r="L7" i="8"/>
  <c r="L8" i="8"/>
  <c r="L9" i="8"/>
  <c r="L10" i="8"/>
  <c r="L11" i="8"/>
  <c r="L12" i="8"/>
  <c r="L13" i="8"/>
  <c r="F233" i="7"/>
  <c r="G233" i="7"/>
  <c r="F232" i="7"/>
  <c r="G232" i="7"/>
  <c r="F231" i="7"/>
  <c r="G231" i="7"/>
  <c r="F230" i="7"/>
  <c r="G230" i="7"/>
  <c r="F229" i="7"/>
  <c r="G229" i="7"/>
  <c r="F228" i="7"/>
  <c r="G228" i="7"/>
  <c r="F227" i="7"/>
  <c r="G227" i="7"/>
  <c r="F226" i="7"/>
  <c r="G226" i="7"/>
  <c r="F225" i="7"/>
  <c r="G225" i="7"/>
  <c r="F224" i="7"/>
  <c r="G224" i="7"/>
  <c r="F223" i="7"/>
  <c r="G223" i="7"/>
  <c r="F222" i="7"/>
  <c r="G222" i="7"/>
  <c r="F221" i="7"/>
  <c r="G221" i="7"/>
  <c r="F220" i="7"/>
  <c r="G220" i="7"/>
  <c r="F219" i="7"/>
  <c r="G219" i="7"/>
  <c r="F217" i="7"/>
  <c r="G217" i="7"/>
  <c r="F216" i="7"/>
  <c r="G216" i="7"/>
  <c r="F215" i="7"/>
  <c r="G215" i="7"/>
  <c r="F214" i="7"/>
  <c r="G214" i="7"/>
  <c r="F213" i="7"/>
  <c r="G213" i="7"/>
  <c r="F212" i="7"/>
  <c r="G212" i="7"/>
  <c r="F211" i="7"/>
  <c r="G211" i="7"/>
  <c r="F209" i="7"/>
  <c r="G209" i="7"/>
  <c r="F208" i="7"/>
  <c r="G208" i="7"/>
  <c r="F207" i="7"/>
  <c r="G207" i="7"/>
  <c r="F206" i="7"/>
  <c r="G206" i="7"/>
  <c r="F205" i="7"/>
  <c r="G205" i="7"/>
  <c r="F204" i="7"/>
  <c r="G204" i="7"/>
  <c r="F203" i="7"/>
  <c r="G203" i="7"/>
  <c r="F202" i="7"/>
  <c r="G202" i="7"/>
  <c r="F201" i="7"/>
  <c r="G201" i="7"/>
  <c r="F200" i="7"/>
  <c r="G200" i="7"/>
  <c r="F199" i="7"/>
  <c r="G199" i="7"/>
  <c r="F198" i="7"/>
  <c r="G198" i="7"/>
  <c r="F197" i="7"/>
  <c r="G197" i="7"/>
  <c r="F196" i="7"/>
  <c r="G196" i="7"/>
  <c r="F195" i="7"/>
  <c r="G195" i="7"/>
  <c r="F194" i="7"/>
  <c r="G194" i="7"/>
  <c r="F193" i="7"/>
  <c r="G193" i="7"/>
  <c r="F192" i="7"/>
  <c r="G192" i="7"/>
  <c r="F191" i="7"/>
  <c r="G191" i="7"/>
  <c r="F190" i="7"/>
  <c r="G190" i="7"/>
  <c r="F189" i="7"/>
  <c r="G189" i="7"/>
  <c r="F188" i="7"/>
  <c r="G188" i="7"/>
  <c r="F187" i="7"/>
  <c r="G187" i="7"/>
  <c r="F186" i="7"/>
  <c r="G186" i="7"/>
  <c r="F185" i="7"/>
  <c r="G185" i="7"/>
  <c r="F184" i="7"/>
  <c r="G184" i="7"/>
  <c r="F183" i="7"/>
  <c r="G183" i="7"/>
  <c r="F182" i="7"/>
  <c r="G182" i="7"/>
  <c r="F181" i="7"/>
  <c r="G181" i="7"/>
  <c r="F180" i="7"/>
  <c r="G180" i="7"/>
  <c r="F179" i="7"/>
  <c r="G179" i="7"/>
  <c r="F178" i="7"/>
  <c r="G178" i="7"/>
  <c r="F177" i="7"/>
  <c r="G177" i="7"/>
  <c r="F176" i="7"/>
  <c r="G176" i="7"/>
  <c r="F175" i="7"/>
  <c r="G175" i="7"/>
  <c r="F174" i="7"/>
  <c r="G174" i="7"/>
  <c r="F173" i="7"/>
  <c r="G173" i="7"/>
  <c r="F172" i="7"/>
  <c r="G172" i="7"/>
  <c r="F171" i="7"/>
  <c r="G171" i="7"/>
  <c r="F170" i="7"/>
  <c r="G170" i="7"/>
  <c r="F169" i="7"/>
  <c r="G169" i="7"/>
  <c r="F168" i="7"/>
  <c r="G168" i="7"/>
  <c r="F167" i="7"/>
  <c r="G167" i="7"/>
  <c r="F166" i="7"/>
  <c r="G166" i="7"/>
  <c r="F165" i="7"/>
  <c r="G165" i="7"/>
  <c r="F164" i="7"/>
  <c r="G164" i="7"/>
  <c r="F163" i="7"/>
  <c r="G163" i="7"/>
  <c r="F162" i="7"/>
  <c r="G162" i="7"/>
  <c r="F161" i="7"/>
  <c r="G161" i="7"/>
  <c r="F160" i="7"/>
  <c r="G160" i="7"/>
  <c r="F159" i="7"/>
  <c r="G159" i="7"/>
  <c r="F158" i="7"/>
  <c r="G158" i="7"/>
  <c r="F157" i="7"/>
  <c r="G157" i="7"/>
  <c r="F156" i="7"/>
  <c r="G156" i="7"/>
  <c r="F155" i="7"/>
  <c r="G155" i="7"/>
  <c r="F154" i="7"/>
  <c r="G154" i="7"/>
  <c r="F153" i="7"/>
  <c r="G153" i="7"/>
  <c r="F152" i="7"/>
  <c r="G152" i="7"/>
  <c r="F151" i="7"/>
  <c r="G151" i="7"/>
  <c r="F150" i="7"/>
  <c r="G150" i="7"/>
  <c r="F149" i="7"/>
  <c r="G149" i="7"/>
  <c r="F148" i="7"/>
  <c r="G148" i="7"/>
  <c r="F147" i="7"/>
  <c r="G147" i="7"/>
  <c r="F146" i="7"/>
  <c r="G146" i="7"/>
  <c r="F145" i="7"/>
  <c r="G145" i="7"/>
  <c r="F144" i="7"/>
  <c r="G144" i="7"/>
  <c r="F143" i="7"/>
  <c r="G143" i="7"/>
  <c r="F142" i="7"/>
  <c r="G142" i="7"/>
  <c r="F141" i="7"/>
  <c r="G141" i="7"/>
  <c r="F140" i="7"/>
  <c r="G140" i="7"/>
  <c r="F139" i="7"/>
  <c r="G139" i="7"/>
  <c r="F138" i="7"/>
  <c r="G138" i="7"/>
  <c r="F137" i="7"/>
  <c r="G137" i="7"/>
  <c r="F136" i="7"/>
  <c r="G136" i="7"/>
  <c r="F135" i="7"/>
  <c r="G135" i="7"/>
  <c r="F134" i="7"/>
  <c r="G134" i="7"/>
  <c r="F133" i="7"/>
  <c r="G133" i="7"/>
  <c r="F132" i="7"/>
  <c r="G132" i="7"/>
  <c r="F131" i="7"/>
  <c r="G131" i="7"/>
  <c r="F130" i="7"/>
  <c r="G130" i="7"/>
  <c r="F129" i="7"/>
  <c r="G129" i="7"/>
  <c r="F128" i="7"/>
  <c r="G128" i="7"/>
  <c r="F127" i="7"/>
  <c r="G127" i="7"/>
  <c r="F126" i="7"/>
  <c r="G126" i="7"/>
  <c r="F125" i="7"/>
  <c r="G125" i="7"/>
  <c r="F124" i="7"/>
  <c r="G124" i="7"/>
  <c r="F123" i="7"/>
  <c r="G123" i="7"/>
  <c r="F122" i="7"/>
  <c r="G122" i="7"/>
  <c r="F121" i="7"/>
  <c r="G121" i="7"/>
  <c r="F120" i="7"/>
  <c r="G120" i="7"/>
  <c r="F119" i="7"/>
  <c r="G119" i="7"/>
  <c r="F118" i="7"/>
  <c r="G118" i="7"/>
  <c r="F117" i="7"/>
  <c r="G117" i="7"/>
  <c r="F116" i="7"/>
  <c r="G116" i="7"/>
  <c r="F115" i="7"/>
  <c r="G115" i="7"/>
  <c r="F114" i="7"/>
  <c r="G114" i="7"/>
  <c r="F113" i="7"/>
  <c r="G113" i="7"/>
  <c r="F112" i="7"/>
  <c r="G112" i="7"/>
  <c r="F111" i="7"/>
  <c r="G111" i="7"/>
  <c r="F110" i="7"/>
  <c r="G110" i="7"/>
  <c r="F109" i="7"/>
  <c r="G109" i="7"/>
  <c r="F108" i="7"/>
  <c r="G108" i="7"/>
  <c r="F107" i="7"/>
  <c r="G107" i="7"/>
  <c r="F106" i="7"/>
  <c r="G106" i="7"/>
  <c r="F105" i="7"/>
  <c r="G105" i="7"/>
  <c r="F104" i="7"/>
  <c r="G104" i="7"/>
  <c r="F103" i="7"/>
  <c r="G103" i="7"/>
  <c r="F102" i="7"/>
  <c r="G102" i="7"/>
  <c r="F101" i="7"/>
  <c r="G101" i="7"/>
  <c r="F100" i="7"/>
  <c r="G100" i="7"/>
  <c r="F99" i="7"/>
  <c r="G99" i="7"/>
  <c r="F98" i="7"/>
  <c r="G98" i="7"/>
  <c r="F97" i="7"/>
  <c r="G97" i="7"/>
  <c r="F96" i="7"/>
  <c r="G96" i="7"/>
  <c r="G95" i="7"/>
  <c r="F94" i="7"/>
  <c r="G94" i="7"/>
  <c r="F93" i="7"/>
  <c r="G93" i="7"/>
  <c r="F92" i="7"/>
  <c r="G92" i="7"/>
  <c r="F91" i="7"/>
  <c r="G91" i="7"/>
  <c r="F90" i="7"/>
  <c r="G90" i="7"/>
  <c r="F89" i="7"/>
  <c r="G89" i="7"/>
  <c r="F88" i="7"/>
  <c r="G88" i="7"/>
  <c r="F87" i="7"/>
  <c r="G87" i="7"/>
  <c r="F86" i="7"/>
  <c r="G86" i="7"/>
  <c r="F85" i="7"/>
  <c r="G85" i="7"/>
  <c r="F84" i="7"/>
  <c r="G84" i="7"/>
  <c r="F83" i="7"/>
  <c r="G83" i="7"/>
  <c r="F82" i="7"/>
  <c r="G82" i="7"/>
  <c r="F81" i="7"/>
  <c r="G81" i="7"/>
  <c r="F80" i="7"/>
  <c r="G80" i="7"/>
  <c r="F79" i="7"/>
  <c r="G79" i="7"/>
  <c r="F78" i="7"/>
  <c r="G78" i="7"/>
  <c r="F77" i="7"/>
  <c r="G77" i="7"/>
  <c r="F76" i="7"/>
  <c r="G76" i="7"/>
  <c r="F75" i="7"/>
  <c r="G75" i="7"/>
  <c r="F74" i="7"/>
  <c r="G74" i="7"/>
  <c r="F73" i="7"/>
  <c r="G73" i="7"/>
  <c r="F72" i="7"/>
  <c r="G72" i="7"/>
  <c r="F71" i="7"/>
  <c r="G71" i="7"/>
  <c r="F70" i="7"/>
  <c r="G70" i="7"/>
  <c r="F69" i="7"/>
  <c r="G69" i="7"/>
  <c r="F68" i="7"/>
  <c r="G68" i="7"/>
  <c r="F67" i="7"/>
  <c r="G67" i="7"/>
  <c r="F66" i="7"/>
  <c r="G66" i="7"/>
  <c r="F65" i="7"/>
  <c r="G65" i="7"/>
  <c r="F64" i="7"/>
  <c r="G64" i="7"/>
  <c r="F63" i="7"/>
  <c r="G63" i="7"/>
  <c r="F62" i="7"/>
  <c r="G62" i="7"/>
  <c r="F61" i="7"/>
  <c r="G61" i="7"/>
  <c r="F60" i="7"/>
  <c r="G60" i="7"/>
  <c r="F59" i="7"/>
  <c r="G59" i="7"/>
  <c r="F58" i="7"/>
  <c r="G58" i="7"/>
  <c r="F57" i="7"/>
  <c r="G57" i="7"/>
  <c r="F56" i="7"/>
  <c r="G56" i="7"/>
  <c r="F55" i="7"/>
  <c r="G55" i="7"/>
  <c r="F54" i="7"/>
  <c r="G54" i="7"/>
  <c r="F53" i="7"/>
  <c r="G53" i="7"/>
  <c r="F52" i="7"/>
  <c r="G52" i="7"/>
  <c r="F51" i="7"/>
  <c r="G51" i="7"/>
  <c r="F50" i="7"/>
  <c r="G50" i="7"/>
  <c r="F49" i="7"/>
  <c r="G49" i="7"/>
  <c r="F48" i="7"/>
  <c r="G48" i="7"/>
  <c r="F47" i="7"/>
  <c r="G47" i="7"/>
  <c r="F46" i="7"/>
  <c r="G46" i="7"/>
  <c r="F45" i="7"/>
  <c r="G45" i="7"/>
  <c r="F44" i="7"/>
  <c r="G44" i="7"/>
  <c r="F43" i="7"/>
  <c r="G43" i="7"/>
  <c r="F42" i="7"/>
  <c r="G42" i="7"/>
  <c r="F41" i="7"/>
  <c r="G41" i="7"/>
  <c r="F40" i="7"/>
  <c r="G40" i="7"/>
  <c r="F39" i="7"/>
  <c r="G39" i="7"/>
  <c r="F38" i="7"/>
  <c r="G38" i="7"/>
  <c r="F37" i="7"/>
  <c r="G37" i="7"/>
  <c r="F36" i="7"/>
  <c r="G36" i="7"/>
  <c r="F35" i="7"/>
  <c r="G35" i="7"/>
  <c r="F34" i="7"/>
  <c r="G34" i="7"/>
  <c r="F33" i="7"/>
  <c r="G33" i="7"/>
  <c r="F32" i="7"/>
  <c r="G32" i="7"/>
  <c r="F31" i="7"/>
  <c r="G31" i="7"/>
  <c r="F30" i="7"/>
  <c r="G30" i="7"/>
  <c r="F29" i="7"/>
  <c r="G29" i="7"/>
  <c r="F28" i="7"/>
  <c r="G28" i="7"/>
  <c r="F27" i="7"/>
  <c r="G27" i="7"/>
  <c r="F26" i="7"/>
  <c r="G26" i="7"/>
  <c r="F25" i="7"/>
  <c r="G25" i="7"/>
  <c r="F24" i="7"/>
  <c r="G24" i="7"/>
  <c r="F23" i="7"/>
  <c r="G23" i="7"/>
  <c r="F22" i="7"/>
  <c r="G22" i="7"/>
  <c r="F21" i="7"/>
  <c r="G21" i="7"/>
  <c r="F20" i="7"/>
  <c r="G20" i="7"/>
  <c r="F19" i="7"/>
  <c r="G19" i="7"/>
  <c r="F18" i="7"/>
  <c r="G18" i="7"/>
  <c r="F17" i="7"/>
  <c r="G17" i="7"/>
  <c r="F16" i="7"/>
  <c r="G16" i="7"/>
  <c r="F15" i="7"/>
  <c r="G15" i="7"/>
  <c r="F14" i="7"/>
  <c r="G14" i="7"/>
  <c r="F13" i="7"/>
  <c r="G13" i="7"/>
  <c r="F12" i="7"/>
  <c r="G12" i="7"/>
  <c r="F11" i="7"/>
  <c r="G11" i="7"/>
  <c r="F10" i="7"/>
  <c r="G10" i="7"/>
  <c r="K9" i="7"/>
  <c r="J9" i="7"/>
  <c r="F9" i="7"/>
  <c r="G9" i="7"/>
  <c r="F8" i="7"/>
  <c r="G8" i="7"/>
  <c r="F7" i="7"/>
  <c r="G7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2" i="7"/>
  <c r="A213" i="7"/>
  <c r="A214" i="7"/>
  <c r="A215" i="7"/>
  <c r="A216" i="7"/>
  <c r="A217" i="7"/>
  <c r="F6" i="7"/>
  <c r="R21" i="6"/>
  <c r="Q21" i="6"/>
  <c r="P21" i="6"/>
  <c r="O21" i="6"/>
  <c r="N21" i="6"/>
  <c r="M21" i="6"/>
  <c r="L21" i="6"/>
  <c r="R20" i="6"/>
  <c r="Q20" i="6"/>
  <c r="P20" i="6"/>
  <c r="O20" i="6"/>
  <c r="N20" i="6"/>
  <c r="M20" i="6"/>
  <c r="L20" i="6"/>
  <c r="R19" i="6"/>
  <c r="Q19" i="6"/>
  <c r="P19" i="6"/>
  <c r="O19" i="6"/>
  <c r="N19" i="6"/>
  <c r="M19" i="6"/>
  <c r="L19" i="6"/>
  <c r="R18" i="6"/>
  <c r="Q18" i="6"/>
  <c r="P18" i="6"/>
  <c r="O18" i="6"/>
  <c r="N18" i="6"/>
  <c r="M18" i="6"/>
  <c r="L18" i="6"/>
  <c r="R17" i="6"/>
  <c r="Q17" i="6"/>
  <c r="P17" i="6"/>
  <c r="O17" i="6"/>
  <c r="N17" i="6"/>
  <c r="M17" i="6"/>
  <c r="L17" i="6"/>
  <c r="R16" i="6"/>
  <c r="Q16" i="6"/>
  <c r="P16" i="6"/>
  <c r="O16" i="6"/>
  <c r="N16" i="6"/>
  <c r="M16" i="6"/>
  <c r="L16" i="6"/>
  <c r="R15" i="6"/>
  <c r="Q15" i="6"/>
  <c r="P15" i="6"/>
  <c r="O15" i="6"/>
  <c r="N15" i="6"/>
  <c r="M15" i="6"/>
  <c r="L15" i="6"/>
  <c r="R14" i="6"/>
  <c r="Q14" i="6"/>
  <c r="P14" i="6"/>
  <c r="O14" i="6"/>
  <c r="N14" i="6"/>
  <c r="M14" i="6"/>
  <c r="L14" i="6"/>
  <c r="R13" i="6"/>
  <c r="Q13" i="6"/>
  <c r="P13" i="6"/>
  <c r="O13" i="6"/>
  <c r="N13" i="6"/>
  <c r="M13" i="6"/>
  <c r="L13" i="6"/>
  <c r="R12" i="6"/>
  <c r="Q12" i="6"/>
  <c r="P12" i="6"/>
  <c r="O12" i="6"/>
  <c r="N12" i="6"/>
  <c r="M12" i="6"/>
  <c r="L12" i="6"/>
  <c r="R11" i="6"/>
  <c r="Q11" i="6"/>
  <c r="P11" i="6"/>
  <c r="O11" i="6"/>
  <c r="N11" i="6"/>
  <c r="M11" i="6"/>
  <c r="L11" i="6"/>
  <c r="R10" i="6"/>
  <c r="Q10" i="6"/>
  <c r="P10" i="6"/>
  <c r="O10" i="6"/>
  <c r="N10" i="6"/>
  <c r="M10" i="6"/>
  <c r="L10" i="6"/>
  <c r="K11" i="6"/>
  <c r="K12" i="6"/>
  <c r="K13" i="6"/>
  <c r="K14" i="6"/>
  <c r="K15" i="6"/>
  <c r="K16" i="6"/>
  <c r="K17" i="6"/>
  <c r="K18" i="6"/>
  <c r="K19" i="6"/>
  <c r="K20" i="6"/>
  <c r="K21" i="6"/>
  <c r="K10" i="6"/>
  <c r="J10" i="6"/>
  <c r="J11" i="6"/>
  <c r="J12" i="6"/>
  <c r="J13" i="6"/>
  <c r="J14" i="6"/>
  <c r="J15" i="6"/>
  <c r="J16" i="6"/>
  <c r="J17" i="6"/>
  <c r="J18" i="6"/>
  <c r="J19" i="6"/>
  <c r="J20" i="6"/>
  <c r="J21" i="6"/>
  <c r="I11" i="6"/>
  <c r="I12" i="6"/>
  <c r="I13" i="6"/>
  <c r="I14" i="6"/>
  <c r="I15" i="6"/>
  <c r="I16" i="6"/>
  <c r="I17" i="6"/>
  <c r="I18" i="6"/>
  <c r="I19" i="6"/>
  <c r="I20" i="6"/>
  <c r="I21" i="6"/>
  <c r="I10" i="6"/>
  <c r="H21" i="6"/>
  <c r="G21" i="6"/>
  <c r="E21" i="6"/>
  <c r="H20" i="6"/>
  <c r="G20" i="6"/>
  <c r="E20" i="6"/>
  <c r="H19" i="6"/>
  <c r="G19" i="6"/>
  <c r="E19" i="6"/>
  <c r="H18" i="6"/>
  <c r="G18" i="6"/>
  <c r="E18" i="6"/>
  <c r="H17" i="6"/>
  <c r="G17" i="6"/>
  <c r="E17" i="6"/>
  <c r="H16" i="6"/>
  <c r="G16" i="6"/>
  <c r="E16" i="6"/>
  <c r="H15" i="6"/>
  <c r="G15" i="6"/>
  <c r="E15" i="6"/>
  <c r="H14" i="6"/>
  <c r="G14" i="6"/>
  <c r="E14" i="6"/>
  <c r="H13" i="6"/>
  <c r="G13" i="6"/>
  <c r="E13" i="6"/>
  <c r="H12" i="6"/>
  <c r="G12" i="6"/>
  <c r="E12" i="6"/>
  <c r="H11" i="6"/>
  <c r="G11" i="6"/>
  <c r="E11" i="6"/>
  <c r="H10" i="6"/>
  <c r="G10" i="6"/>
  <c r="E10" i="6"/>
  <c r="D11" i="6"/>
  <c r="D12" i="6"/>
  <c r="D13" i="6"/>
  <c r="D14" i="6"/>
  <c r="D15" i="6"/>
  <c r="D16" i="6"/>
  <c r="D17" i="6"/>
  <c r="D18" i="6"/>
  <c r="S18" i="6" s="1"/>
  <c r="D19" i="6"/>
  <c r="D20" i="6"/>
  <c r="S20" i="6" s="1"/>
  <c r="D21" i="6"/>
  <c r="S21" i="6" s="1"/>
  <c r="S10" i="6"/>
  <c r="C18" i="6"/>
  <c r="C19" i="6"/>
  <c r="C20" i="6"/>
  <c r="C16" i="6"/>
  <c r="C17" i="6"/>
  <c r="C14" i="6"/>
  <c r="C15" i="6"/>
  <c r="C12" i="6"/>
  <c r="C13" i="6"/>
  <c r="C10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2" i="5"/>
  <c r="F4" i="5"/>
  <c r="F5" i="5"/>
  <c r="F13" i="5"/>
  <c r="F19" i="5"/>
  <c r="F25" i="5"/>
  <c r="F26" i="5"/>
  <c r="F35" i="5"/>
  <c r="F41" i="5"/>
  <c r="F49" i="5"/>
  <c r="F50" i="5"/>
  <c r="F57" i="5"/>
  <c r="F72" i="5"/>
  <c r="F75" i="5"/>
  <c r="F84" i="5"/>
  <c r="F90" i="5"/>
  <c r="F98" i="5"/>
  <c r="F103" i="5"/>
  <c r="F111" i="5"/>
  <c r="F112" i="5"/>
  <c r="F117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T4" i="4"/>
  <c r="V4" i="4"/>
  <c r="T5" i="4"/>
  <c r="V5" i="4"/>
  <c r="T6" i="4"/>
  <c r="V6" i="4"/>
  <c r="T7" i="4"/>
  <c r="V7" i="4"/>
  <c r="T8" i="4"/>
  <c r="V8" i="4"/>
  <c r="T9" i="4"/>
  <c r="V9" i="4"/>
  <c r="T10" i="4"/>
  <c r="V10" i="4"/>
  <c r="T11" i="4"/>
  <c r="V11" i="4"/>
  <c r="T12" i="4"/>
  <c r="V12" i="4"/>
  <c r="T13" i="4"/>
  <c r="V13" i="4"/>
  <c r="T3" i="4"/>
  <c r="S3" i="4"/>
  <c r="R4" i="4"/>
  <c r="S4" i="4"/>
  <c r="R5" i="4"/>
  <c r="S5" i="4"/>
  <c r="R6" i="4"/>
  <c r="S6" i="4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3" i="4"/>
  <c r="Q13" i="4"/>
  <c r="Q12" i="4"/>
  <c r="Q11" i="4"/>
  <c r="Q10" i="4"/>
  <c r="Q9" i="4"/>
  <c r="Q8" i="4"/>
  <c r="Q7" i="4"/>
  <c r="Q6" i="4"/>
  <c r="Q5" i="4"/>
  <c r="Q4" i="4"/>
  <c r="Q3" i="4"/>
  <c r="C3" i="11"/>
  <c r="B3" i="11"/>
  <c r="C4" i="11"/>
  <c r="B4" i="11"/>
  <c r="E5" i="11"/>
  <c r="C5" i="11"/>
  <c r="B5" i="11"/>
  <c r="C6" i="11"/>
  <c r="B6" i="11"/>
  <c r="K3" i="4"/>
  <c r="H4" i="4"/>
  <c r="H5" i="4"/>
  <c r="H6" i="4"/>
  <c r="H7" i="4"/>
  <c r="H8" i="4"/>
  <c r="H9" i="4"/>
  <c r="H10" i="4"/>
  <c r="H11" i="4"/>
  <c r="H12" i="4"/>
  <c r="H13" i="4"/>
  <c r="H3" i="4"/>
  <c r="G13" i="4"/>
  <c r="G12" i="4"/>
  <c r="G11" i="4"/>
  <c r="G10" i="4"/>
  <c r="G9" i="4"/>
  <c r="G8" i="4"/>
  <c r="G7" i="4"/>
  <c r="G6" i="4"/>
  <c r="G5" i="4"/>
  <c r="G4" i="4"/>
  <c r="G3" i="4"/>
  <c r="F13" i="4"/>
  <c r="F12" i="4"/>
  <c r="F11" i="4"/>
  <c r="F10" i="4"/>
  <c r="F9" i="4"/>
  <c r="F8" i="4"/>
  <c r="F7" i="4"/>
  <c r="F6" i="4"/>
  <c r="F5" i="4"/>
  <c r="F4" i="4"/>
  <c r="F3" i="4"/>
  <c r="E13" i="4"/>
  <c r="B12" i="10" s="1"/>
  <c r="E12" i="4"/>
  <c r="B11" i="10" s="1"/>
  <c r="E11" i="4"/>
  <c r="B10" i="10" s="1"/>
  <c r="E10" i="4"/>
  <c r="B9" i="10" s="1"/>
  <c r="E9" i="4"/>
  <c r="B8" i="10" s="1"/>
  <c r="E8" i="4"/>
  <c r="B7" i="10" s="1"/>
  <c r="E7" i="4"/>
  <c r="B6" i="10" s="1"/>
  <c r="E6" i="4"/>
  <c r="B5" i="10" s="1"/>
  <c r="E5" i="4"/>
  <c r="B4" i="10" s="1"/>
  <c r="E4" i="4"/>
  <c r="B3" i="10" s="1"/>
  <c r="E3" i="4"/>
  <c r="D13" i="4"/>
  <c r="D12" i="4"/>
  <c r="D11" i="4"/>
  <c r="D10" i="4"/>
  <c r="D9" i="4"/>
  <c r="D8" i="4"/>
  <c r="D7" i="4"/>
  <c r="D6" i="4"/>
  <c r="D5" i="4"/>
  <c r="D4" i="4"/>
  <c r="D3" i="4"/>
  <c r="C5" i="4"/>
  <c r="C6" i="4"/>
  <c r="O6" i="4" s="1"/>
  <c r="C7" i="4"/>
  <c r="C8" i="4"/>
  <c r="C9" i="4"/>
  <c r="O9" i="4" s="1"/>
  <c r="C10" i="4"/>
  <c r="C11" i="4"/>
  <c r="C12" i="4"/>
  <c r="O12" i="4" s="1"/>
  <c r="C13" i="4"/>
  <c r="M13" i="3"/>
  <c r="N13" i="3" s="1"/>
  <c r="M10" i="3"/>
  <c r="N10" i="3" s="1"/>
  <c r="M9" i="3"/>
  <c r="N9" i="3" s="1"/>
  <c r="O9" i="3" s="1"/>
  <c r="M8" i="3"/>
  <c r="N8" i="3" s="1"/>
  <c r="O8" i="3" s="1"/>
  <c r="M7" i="3"/>
  <c r="N7" i="3" s="1"/>
  <c r="O7" i="3" s="1"/>
  <c r="M6" i="3"/>
  <c r="N6" i="3" s="1"/>
  <c r="P14" i="3"/>
  <c r="J14" i="3"/>
  <c r="I14" i="3"/>
  <c r="Q14" i="3"/>
  <c r="N22" i="6"/>
  <c r="Q22" i="6"/>
  <c r="D2" i="11"/>
  <c r="O3" i="4"/>
  <c r="D12" i="11"/>
  <c r="D11" i="11"/>
  <c r="D10" i="11"/>
  <c r="D9" i="11"/>
  <c r="D8" i="11"/>
  <c r="D7" i="11"/>
  <c r="D6" i="11"/>
  <c r="D5" i="11"/>
  <c r="D4" i="11"/>
  <c r="D3" i="11"/>
  <c r="O4" i="4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I22" i="6"/>
  <c r="J22" i="6"/>
  <c r="E2" i="9"/>
  <c r="F2" i="9" s="1"/>
  <c r="C2" i="9"/>
  <c r="F2" i="11" s="1"/>
  <c r="E12" i="9"/>
  <c r="F12" i="9" s="1"/>
  <c r="C12" i="9"/>
  <c r="L12" i="9" s="1"/>
  <c r="E11" i="9"/>
  <c r="F11" i="9" s="1"/>
  <c r="C11" i="9"/>
  <c r="L11" i="9" s="1"/>
  <c r="E10" i="9"/>
  <c r="F10" i="9" s="1"/>
  <c r="C10" i="9"/>
  <c r="L10" i="9" s="1"/>
  <c r="E9" i="9"/>
  <c r="F9" i="9" s="1"/>
  <c r="H9" i="9" s="1"/>
  <c r="C9" i="9"/>
  <c r="F9" i="11" s="1"/>
  <c r="E8" i="9"/>
  <c r="F8" i="9" s="1"/>
  <c r="C8" i="9"/>
  <c r="F8" i="11" s="1"/>
  <c r="E7" i="9"/>
  <c r="F7" i="9" s="1"/>
  <c r="C7" i="9"/>
  <c r="C7" i="10" s="1"/>
  <c r="E6" i="9"/>
  <c r="F6" i="9" s="1"/>
  <c r="H6" i="9" s="1"/>
  <c r="C6" i="9"/>
  <c r="F6" i="11" s="1"/>
  <c r="E5" i="9"/>
  <c r="F5" i="9" s="1"/>
  <c r="C5" i="9"/>
  <c r="C5" i="10" s="1"/>
  <c r="E4" i="9"/>
  <c r="F4" i="9" s="1"/>
  <c r="C4" i="9"/>
  <c r="L4" i="9" s="1"/>
  <c r="E3" i="9"/>
  <c r="F3" i="9" s="1"/>
  <c r="C3" i="9"/>
  <c r="C3" i="10" s="1"/>
  <c r="CO21" i="8"/>
  <c r="CV3" i="8"/>
  <c r="CV21" i="8"/>
  <c r="CG21" i="8"/>
  <c r="CN3" i="8"/>
  <c r="CN21" i="8"/>
  <c r="BY21" i="8"/>
  <c r="CF3" i="8"/>
  <c r="CF21" i="8"/>
  <c r="BQ21" i="8"/>
  <c r="BX3" i="8"/>
  <c r="BX21" i="8"/>
  <c r="BI21" i="8"/>
  <c r="BP3" i="8"/>
  <c r="BP21" i="8"/>
  <c r="AX21" i="8"/>
  <c r="BE3" i="8"/>
  <c r="BE21" i="8"/>
  <c r="AP21" i="8"/>
  <c r="AW3" i="8"/>
  <c r="AZ8" i="8"/>
  <c r="AZ9" i="8"/>
  <c r="AZ10" i="8"/>
  <c r="BH8" i="8"/>
  <c r="BH9" i="8"/>
  <c r="BH10" i="8"/>
  <c r="BH13" i="8"/>
  <c r="AR12" i="8"/>
  <c r="AZ12" i="8"/>
  <c r="BH12" i="8"/>
  <c r="AR11" i="8"/>
  <c r="AZ11" i="8"/>
  <c r="BH11" i="8"/>
  <c r="AR7" i="8"/>
  <c r="AZ7" i="8"/>
  <c r="BH7" i="8"/>
  <c r="AR6" i="8"/>
  <c r="AZ6" i="8"/>
  <c r="BH6" i="8"/>
  <c r="AR5" i="8"/>
  <c r="AZ5" i="8"/>
  <c r="BH5" i="8"/>
  <c r="AR4" i="8"/>
  <c r="AZ4" i="8"/>
  <c r="BH4" i="8"/>
  <c r="AH21" i="8"/>
  <c r="AO3" i="8"/>
  <c r="AD21" i="8"/>
  <c r="AL21" i="8"/>
  <c r="AT21" i="8"/>
  <c r="BB21" i="8"/>
  <c r="BA21" i="8"/>
  <c r="AS21" i="8"/>
  <c r="AK21" i="8"/>
  <c r="AR3" i="8"/>
  <c r="AR21" i="8"/>
  <c r="AC21" i="8"/>
  <c r="AJ3" i="8"/>
  <c r="AJ21" i="8"/>
  <c r="AB13" i="8"/>
  <c r="AB12" i="8"/>
  <c r="AB11" i="8"/>
  <c r="AB10" i="8"/>
  <c r="AB9" i="8"/>
  <c r="AB8" i="8"/>
  <c r="AB7" i="8"/>
  <c r="AB6" i="8"/>
  <c r="AB5" i="8"/>
  <c r="AB4" i="8"/>
  <c r="W21" i="8"/>
  <c r="V21" i="8"/>
  <c r="U21" i="8"/>
  <c r="AB3" i="8"/>
  <c r="AB21" i="8"/>
  <c r="L21" i="8"/>
  <c r="K10" i="7"/>
  <c r="J10" i="7"/>
  <c r="G6" i="7"/>
  <c r="J11" i="7"/>
  <c r="K11" i="7"/>
  <c r="L14" i="4"/>
  <c r="N22" i="4" s="1"/>
  <c r="N3" i="3"/>
  <c r="O3" i="3" s="1"/>
  <c r="Y4" i="3"/>
  <c r="N4" i="3"/>
  <c r="O4" i="3" s="1"/>
  <c r="Y5" i="3"/>
  <c r="N5" i="3"/>
  <c r="O5" i="3" s="1"/>
  <c r="Y6" i="3"/>
  <c r="Y7" i="3"/>
  <c r="Y8" i="3"/>
  <c r="Y9" i="3"/>
  <c r="Y10" i="3"/>
  <c r="Y11" i="3"/>
  <c r="N11" i="3"/>
  <c r="O11" i="3" s="1"/>
  <c r="Y12" i="3"/>
  <c r="N12" i="3"/>
  <c r="O12" i="3" s="1"/>
  <c r="Y13" i="3"/>
  <c r="AW21" i="8"/>
  <c r="BD3" i="8"/>
  <c r="BD21" i="8"/>
  <c r="AO21" i="8"/>
  <c r="AV3" i="8"/>
  <c r="U14" i="3"/>
  <c r="AV21" i="8"/>
  <c r="BC3" i="8"/>
  <c r="AZ3" i="8"/>
  <c r="AZ21" i="8"/>
  <c r="BC21" i="8"/>
  <c r="BH3" i="8"/>
  <c r="BH21" i="8"/>
  <c r="S19" i="22" l="1"/>
  <c r="I13" i="4"/>
  <c r="J14" i="4"/>
  <c r="M14" i="4"/>
  <c r="N23" i="4" s="1"/>
  <c r="G4" i="6"/>
  <c r="H3" i="6"/>
  <c r="I3" i="6"/>
  <c r="I3" i="4"/>
  <c r="K14" i="4"/>
  <c r="N21" i="4" s="1"/>
  <c r="I4" i="4"/>
  <c r="F35" i="6"/>
  <c r="G151" i="20"/>
  <c r="G150" i="20"/>
  <c r="G180" i="20"/>
  <c r="G169" i="20"/>
  <c r="G149" i="20"/>
  <c r="G132" i="20"/>
  <c r="G179" i="20"/>
  <c r="G163" i="20"/>
  <c r="G164" i="20"/>
  <c r="G191" i="20"/>
  <c r="G166" i="20"/>
  <c r="G192" i="20"/>
  <c r="G157" i="20"/>
  <c r="G156" i="20"/>
  <c r="G190" i="20"/>
  <c r="G162" i="20"/>
  <c r="G167" i="20"/>
  <c r="G175" i="20"/>
  <c r="G170" i="20"/>
  <c r="G187" i="20"/>
  <c r="C191" i="20"/>
  <c r="C190" i="20"/>
  <c r="C189" i="20"/>
  <c r="C188" i="20"/>
  <c r="C187" i="20"/>
  <c r="C186" i="20"/>
  <c r="C185" i="20"/>
  <c r="C184" i="20"/>
  <c r="C183" i="20"/>
  <c r="C182" i="20"/>
  <c r="C181" i="20"/>
  <c r="C180" i="20"/>
  <c r="C179" i="20"/>
  <c r="C178" i="20"/>
  <c r="C177" i="20"/>
  <c r="C176" i="20"/>
  <c r="C175" i="20"/>
  <c r="C174" i="20"/>
  <c r="C173" i="20"/>
  <c r="C172" i="20"/>
  <c r="C171" i="20"/>
  <c r="C170" i="20"/>
  <c r="C169" i="20"/>
  <c r="C168" i="20"/>
  <c r="C167" i="20"/>
  <c r="C166" i="20"/>
  <c r="C165" i="20"/>
  <c r="C164" i="20"/>
  <c r="C163" i="20"/>
  <c r="C162" i="20"/>
  <c r="C161" i="20"/>
  <c r="C160" i="20"/>
  <c r="C159" i="20"/>
  <c r="C158" i="20"/>
  <c r="C157" i="20"/>
  <c r="C156" i="20"/>
  <c r="C155" i="20"/>
  <c r="C154" i="20"/>
  <c r="C153" i="20"/>
  <c r="C152" i="20"/>
  <c r="C151" i="20"/>
  <c r="C150" i="20"/>
  <c r="C149" i="20"/>
  <c r="C148" i="20"/>
  <c r="C147" i="20"/>
  <c r="C146" i="20"/>
  <c r="C145" i="20"/>
  <c r="C144" i="20"/>
  <c r="C143" i="20"/>
  <c r="C142" i="20"/>
  <c r="C141" i="20"/>
  <c r="C140" i="20"/>
  <c r="C139" i="20"/>
  <c r="C138" i="20"/>
  <c r="C137" i="20"/>
  <c r="C136" i="20"/>
  <c r="C135" i="20"/>
  <c r="C134" i="20"/>
  <c r="C133" i="20"/>
  <c r="C132" i="20"/>
  <c r="C131" i="20"/>
  <c r="K14" i="22"/>
  <c r="T3" i="22"/>
  <c r="X3" i="22" s="1"/>
  <c r="Y3" i="22" s="1"/>
  <c r="N20" i="4"/>
  <c r="D71" i="6"/>
  <c r="H73" i="6"/>
  <c r="F4" i="6"/>
  <c r="AA4" i="6"/>
  <c r="F3" i="6"/>
  <c r="AA3" i="6"/>
  <c r="S19" i="6"/>
  <c r="S16" i="6"/>
  <c r="D62" i="6"/>
  <c r="D65" i="6"/>
  <c r="D68" i="6"/>
  <c r="D61" i="6"/>
  <c r="D64" i="6"/>
  <c r="D67" i="6"/>
  <c r="D70" i="6"/>
  <c r="D63" i="6"/>
  <c r="D66" i="6"/>
  <c r="D69" i="6"/>
  <c r="D72" i="6"/>
  <c r="S13" i="6"/>
  <c r="C29" i="6"/>
  <c r="E29" i="6"/>
  <c r="I73" i="6"/>
  <c r="L73" i="6"/>
  <c r="O73" i="6"/>
  <c r="R73" i="6"/>
  <c r="S17" i="6"/>
  <c r="C62" i="6"/>
  <c r="U72" i="6"/>
  <c r="C68" i="6"/>
  <c r="O22" i="6"/>
  <c r="H35" i="6"/>
  <c r="E35" i="6"/>
  <c r="U69" i="6"/>
  <c r="G29" i="6"/>
  <c r="D29" i="6"/>
  <c r="C35" i="6"/>
  <c r="F73" i="6"/>
  <c r="J73" i="6"/>
  <c r="M73" i="6"/>
  <c r="P73" i="6"/>
  <c r="S73" i="6"/>
  <c r="C64" i="6"/>
  <c r="U67" i="6"/>
  <c r="L22" i="6"/>
  <c r="R22" i="6"/>
  <c r="M22" i="6"/>
  <c r="P22" i="6"/>
  <c r="C63" i="6"/>
  <c r="C66" i="6"/>
  <c r="U65" i="6"/>
  <c r="C65" i="6"/>
  <c r="U70" i="6"/>
  <c r="C70" i="6"/>
  <c r="U71" i="6"/>
  <c r="C71" i="6"/>
  <c r="E73" i="6"/>
  <c r="C61" i="6"/>
  <c r="C67" i="6"/>
  <c r="C69" i="6"/>
  <c r="C72" i="6"/>
  <c r="U62" i="6"/>
  <c r="U66" i="6"/>
  <c r="S15" i="6"/>
  <c r="F29" i="6"/>
  <c r="J35" i="6"/>
  <c r="G35" i="6"/>
  <c r="D35" i="6"/>
  <c r="U63" i="6"/>
  <c r="U64" i="6"/>
  <c r="U68" i="6"/>
  <c r="U61" i="6"/>
  <c r="G73" i="6"/>
  <c r="K73" i="6"/>
  <c r="N73" i="6"/>
  <c r="Q73" i="6"/>
  <c r="T73" i="6"/>
  <c r="E22" i="6"/>
  <c r="K22" i="6"/>
  <c r="N14" i="4"/>
  <c r="N24" i="4" s="1"/>
  <c r="G2" i="9"/>
  <c r="G4" i="9"/>
  <c r="F10" i="11"/>
  <c r="C4" i="10"/>
  <c r="L9" i="9"/>
  <c r="I10" i="4"/>
  <c r="C2" i="10"/>
  <c r="G7" i="9"/>
  <c r="F4" i="11"/>
  <c r="I7" i="4"/>
  <c r="C12" i="10"/>
  <c r="D12" i="10" s="1"/>
  <c r="E12" i="10" s="1"/>
  <c r="F3" i="11"/>
  <c r="G12" i="9"/>
  <c r="F12" i="11"/>
  <c r="G12" i="11" s="1"/>
  <c r="H12" i="11" s="1"/>
  <c r="C9" i="10"/>
  <c r="G6" i="9"/>
  <c r="J6" i="9" s="1"/>
  <c r="L3" i="9"/>
  <c r="O7" i="4"/>
  <c r="M14" i="3"/>
  <c r="AB14" i="3" s="1"/>
  <c r="G11" i="9"/>
  <c r="L8" i="9"/>
  <c r="F11" i="11"/>
  <c r="C8" i="10"/>
  <c r="L5" i="9"/>
  <c r="O22" i="13"/>
  <c r="O60" i="13"/>
  <c r="O68" i="13"/>
  <c r="O11" i="13"/>
  <c r="O52" i="13"/>
  <c r="O25" i="13"/>
  <c r="O53" i="13"/>
  <c r="O104" i="13"/>
  <c r="O81" i="13"/>
  <c r="O82" i="13"/>
  <c r="O84" i="13"/>
  <c r="O111" i="13"/>
  <c r="O2" i="13"/>
  <c r="O85" i="13"/>
  <c r="O41" i="13"/>
  <c r="O27" i="13"/>
  <c r="O13" i="13"/>
  <c r="O83" i="13"/>
  <c r="O20" i="13"/>
  <c r="O4" i="13"/>
  <c r="O28" i="13"/>
  <c r="O9" i="13"/>
  <c r="O64" i="13"/>
  <c r="O105" i="13"/>
  <c r="O18" i="13"/>
  <c r="O44" i="13"/>
  <c r="O101" i="13"/>
  <c r="O106" i="13"/>
  <c r="O5" i="13"/>
  <c r="O107" i="13"/>
  <c r="O6" i="13"/>
  <c r="O7" i="13"/>
  <c r="O15" i="13"/>
  <c r="O102" i="13"/>
  <c r="O19" i="13"/>
  <c r="O47" i="13"/>
  <c r="O110" i="13"/>
  <c r="O56" i="13"/>
  <c r="O49" i="13"/>
  <c r="O93" i="13"/>
  <c r="O21" i="13"/>
  <c r="O57" i="13"/>
  <c r="O10" i="13"/>
  <c r="O97" i="13"/>
  <c r="O32" i="13"/>
  <c r="O66" i="13"/>
  <c r="O74" i="13"/>
  <c r="O73" i="13"/>
  <c r="O76" i="13"/>
  <c r="O86" i="13"/>
  <c r="O87" i="13"/>
  <c r="O61" i="13"/>
  <c r="O62" i="13"/>
  <c r="O63" i="13"/>
  <c r="O17" i="13"/>
  <c r="O43" i="13"/>
  <c r="O45" i="13"/>
  <c r="O98" i="13"/>
  <c r="O16" i="13"/>
  <c r="O88" i="13"/>
  <c r="O89" i="13"/>
  <c r="O109" i="13"/>
  <c r="O48" i="13"/>
  <c r="O91" i="13"/>
  <c r="O26" i="13"/>
  <c r="O39" i="13"/>
  <c r="O58" i="13"/>
  <c r="O33" i="13"/>
  <c r="O24" i="13"/>
  <c r="O92" i="13"/>
  <c r="O40" i="13"/>
  <c r="O94" i="13"/>
  <c r="O42" i="13"/>
  <c r="O95" i="13"/>
  <c r="O34" i="13"/>
  <c r="O65" i="13"/>
  <c r="O112" i="13"/>
  <c r="O99" i="13"/>
  <c r="O78" i="13"/>
  <c r="O67" i="13"/>
  <c r="O8" i="13"/>
  <c r="O54" i="13"/>
  <c r="O50" i="13"/>
  <c r="O103" i="13"/>
  <c r="O14" i="13"/>
  <c r="O96" i="13"/>
  <c r="O100" i="13"/>
  <c r="O3" i="13"/>
  <c r="O51" i="13"/>
  <c r="O46" i="13"/>
  <c r="O80" i="13"/>
  <c r="O69" i="13"/>
  <c r="O71" i="13"/>
  <c r="O12" i="13"/>
  <c r="O29" i="13"/>
  <c r="O75" i="13"/>
  <c r="O77" i="13"/>
  <c r="O108" i="13"/>
  <c r="O55" i="13"/>
  <c r="O72" i="13"/>
  <c r="O31" i="13"/>
  <c r="O30" i="13"/>
  <c r="O70" i="13"/>
  <c r="O59" i="13"/>
  <c r="O23" i="13"/>
  <c r="O35" i="13"/>
  <c r="O36" i="13"/>
  <c r="O90" i="13"/>
  <c r="O37" i="13"/>
  <c r="O38" i="13"/>
  <c r="O79" i="13"/>
  <c r="Z19" i="4"/>
  <c r="Z20" i="4"/>
  <c r="Z21" i="4"/>
  <c r="Z7" i="4"/>
  <c r="AF4" i="4" s="1"/>
  <c r="AF3" i="4"/>
  <c r="O10" i="4"/>
  <c r="G11" i="11"/>
  <c r="H11" i="11" s="1"/>
  <c r="I9" i="4"/>
  <c r="O13" i="4"/>
  <c r="G14" i="4"/>
  <c r="S14" i="4"/>
  <c r="W14" i="4"/>
  <c r="F14" i="4"/>
  <c r="H14" i="4"/>
  <c r="Q14" i="4"/>
  <c r="R14" i="4"/>
  <c r="T14" i="4"/>
  <c r="V14" i="4"/>
  <c r="G9" i="11"/>
  <c r="H9" i="11" s="1"/>
  <c r="G6" i="11"/>
  <c r="H6" i="11" s="1"/>
  <c r="I11" i="4"/>
  <c r="I8" i="4"/>
  <c r="I5" i="4"/>
  <c r="O5" i="4"/>
  <c r="O8" i="4"/>
  <c r="O11" i="4"/>
  <c r="G3" i="11"/>
  <c r="H3" i="11" s="1"/>
  <c r="G2" i="11"/>
  <c r="H2" i="11" s="1"/>
  <c r="I12" i="4"/>
  <c r="I6" i="4"/>
  <c r="S12" i="6"/>
  <c r="H22" i="6"/>
  <c r="I4" i="6" s="1"/>
  <c r="C14" i="4"/>
  <c r="M15" i="4" s="1"/>
  <c r="J3" i="6"/>
  <c r="D8" i="10"/>
  <c r="E8" i="10" s="1"/>
  <c r="K3" i="9"/>
  <c r="L2" i="9"/>
  <c r="G8" i="9"/>
  <c r="G3" i="9"/>
  <c r="D5" i="10"/>
  <c r="E5" i="10" s="1"/>
  <c r="H12" i="9"/>
  <c r="K12" i="9"/>
  <c r="I12" i="9"/>
  <c r="H3" i="9"/>
  <c r="J3" i="9" s="1"/>
  <c r="I3" i="9"/>
  <c r="C6" i="10"/>
  <c r="D6" i="10" s="1"/>
  <c r="E6" i="10" s="1"/>
  <c r="L6" i="9"/>
  <c r="G10" i="9"/>
  <c r="L7" i="9"/>
  <c r="K6" i="9"/>
  <c r="I9" i="9"/>
  <c r="G9" i="9"/>
  <c r="J9" i="9" s="1"/>
  <c r="B2" i="10"/>
  <c r="E14" i="4"/>
  <c r="E15" i="4" s="1"/>
  <c r="C10" i="10"/>
  <c r="D10" i="10" s="1"/>
  <c r="E10" i="10" s="1"/>
  <c r="K9" i="9"/>
  <c r="F7" i="11"/>
  <c r="G7" i="11" s="1"/>
  <c r="H7" i="11" s="1"/>
  <c r="I6" i="9"/>
  <c r="F5" i="11"/>
  <c r="G5" i="11" s="1"/>
  <c r="H5" i="11" s="1"/>
  <c r="K11" i="9"/>
  <c r="C11" i="10"/>
  <c r="D11" i="10" s="1"/>
  <c r="E11" i="10" s="1"/>
  <c r="G8" i="11"/>
  <c r="H8" i="11" s="1"/>
  <c r="K8" i="9"/>
  <c r="G193" i="20"/>
  <c r="N193" i="20"/>
  <c r="Z192" i="20"/>
  <c r="Z193" i="20"/>
  <c r="Z194" i="20"/>
  <c r="Z195" i="20"/>
  <c r="Z196" i="20"/>
  <c r="Z197" i="20"/>
  <c r="Z198" i="20"/>
  <c r="Z199" i="20"/>
  <c r="Z200" i="20"/>
  <c r="Z201" i="20"/>
  <c r="Z202" i="20"/>
  <c r="Z203" i="20"/>
  <c r="Z204" i="20"/>
  <c r="Z205" i="20"/>
  <c r="Z206" i="20"/>
  <c r="Z207" i="20"/>
  <c r="Z208" i="20"/>
  <c r="Z209" i="20"/>
  <c r="Z210" i="20"/>
  <c r="Z211" i="20"/>
  <c r="Z212" i="20"/>
  <c r="Z213" i="20"/>
  <c r="Z214" i="20"/>
  <c r="Z215" i="20"/>
  <c r="Z216" i="20"/>
  <c r="Z217" i="20"/>
  <c r="G196" i="20"/>
  <c r="H196" i="20"/>
  <c r="I196" i="20"/>
  <c r="J196" i="20"/>
  <c r="K196" i="20"/>
  <c r="L196" i="20"/>
  <c r="M196" i="20"/>
  <c r="N196" i="20"/>
  <c r="O196" i="20"/>
  <c r="P196" i="20"/>
  <c r="Q196" i="20"/>
  <c r="R196" i="20"/>
  <c r="S196" i="20"/>
  <c r="T196" i="20"/>
  <c r="U196" i="20"/>
  <c r="V196" i="20"/>
  <c r="W196" i="20"/>
  <c r="X196" i="20"/>
  <c r="Y196" i="20"/>
  <c r="AA196" i="20"/>
  <c r="G195" i="20"/>
  <c r="H195" i="20"/>
  <c r="I195" i="20"/>
  <c r="J195" i="20"/>
  <c r="K195" i="20"/>
  <c r="L195" i="20"/>
  <c r="M195" i="20"/>
  <c r="N195" i="20"/>
  <c r="O195" i="20"/>
  <c r="P195" i="20"/>
  <c r="Q195" i="20"/>
  <c r="R195" i="20"/>
  <c r="S195" i="20"/>
  <c r="T195" i="20"/>
  <c r="U195" i="20"/>
  <c r="V195" i="20"/>
  <c r="W195" i="20"/>
  <c r="X195" i="20"/>
  <c r="Y195" i="20"/>
  <c r="AA195" i="20"/>
  <c r="G194" i="20"/>
  <c r="H194" i="20"/>
  <c r="I194" i="20"/>
  <c r="J194" i="20"/>
  <c r="K194" i="20"/>
  <c r="L194" i="20"/>
  <c r="M194" i="20"/>
  <c r="N194" i="20"/>
  <c r="O194" i="20"/>
  <c r="P194" i="20"/>
  <c r="Q194" i="20"/>
  <c r="R194" i="20"/>
  <c r="S194" i="20"/>
  <c r="T194" i="20"/>
  <c r="U194" i="20"/>
  <c r="V194" i="20"/>
  <c r="W194" i="20"/>
  <c r="X194" i="20"/>
  <c r="Y194" i="20"/>
  <c r="AA194" i="20"/>
  <c r="H193" i="20"/>
  <c r="I193" i="20"/>
  <c r="J193" i="20"/>
  <c r="K193" i="20"/>
  <c r="L193" i="20"/>
  <c r="M193" i="20"/>
  <c r="O193" i="20"/>
  <c r="P193" i="20"/>
  <c r="Q193" i="20"/>
  <c r="R193" i="20"/>
  <c r="S193" i="20"/>
  <c r="T193" i="20"/>
  <c r="U193" i="20"/>
  <c r="V193" i="20"/>
  <c r="W193" i="20"/>
  <c r="X193" i="20"/>
  <c r="Y193" i="20"/>
  <c r="AA193" i="20"/>
  <c r="H192" i="20"/>
  <c r="I192" i="20"/>
  <c r="J192" i="20"/>
  <c r="K192" i="20"/>
  <c r="L192" i="20"/>
  <c r="M192" i="20"/>
  <c r="N192" i="20"/>
  <c r="O192" i="20"/>
  <c r="P192" i="20"/>
  <c r="Q192" i="20"/>
  <c r="R192" i="20"/>
  <c r="S192" i="20"/>
  <c r="T192" i="20"/>
  <c r="U192" i="20"/>
  <c r="V192" i="20"/>
  <c r="W192" i="20"/>
  <c r="X192" i="20"/>
  <c r="Y192" i="20"/>
  <c r="AA192" i="20"/>
  <c r="W14" i="3"/>
  <c r="X3" i="3"/>
  <c r="Y3" i="3" s="1"/>
  <c r="L14" i="22"/>
  <c r="M3" i="22"/>
  <c r="N3" i="22" s="1"/>
  <c r="Q14" i="22"/>
  <c r="V14" i="22"/>
  <c r="M4" i="22"/>
  <c r="N4" i="22" s="1"/>
  <c r="X4" i="22"/>
  <c r="Y4" i="22" s="1"/>
  <c r="M5" i="22"/>
  <c r="N5" i="22" s="1"/>
  <c r="X5" i="22"/>
  <c r="Y5" i="22" s="1"/>
  <c r="M6" i="22"/>
  <c r="N6" i="22" s="1"/>
  <c r="X6" i="22"/>
  <c r="M7" i="22"/>
  <c r="N7" i="22" s="1"/>
  <c r="X7" i="22"/>
  <c r="Y7" i="22" s="1"/>
  <c r="M8" i="22"/>
  <c r="N8" i="22" s="1"/>
  <c r="X8" i="22"/>
  <c r="Y8" i="22" s="1"/>
  <c r="M9" i="22"/>
  <c r="N9" i="22" s="1"/>
  <c r="X9" i="22"/>
  <c r="Y9" i="22" s="1"/>
  <c r="M10" i="22"/>
  <c r="N10" i="22" s="1"/>
  <c r="X10" i="22"/>
  <c r="Y10" i="22" s="1"/>
  <c r="M11" i="22"/>
  <c r="N11" i="22" s="1"/>
  <c r="X11" i="22"/>
  <c r="Y11" i="22" s="1"/>
  <c r="M12" i="22"/>
  <c r="N12" i="22" s="1"/>
  <c r="X12" i="22"/>
  <c r="Y12" i="22" s="1"/>
  <c r="M13" i="22"/>
  <c r="N13" i="22" s="1"/>
  <c r="X13" i="22"/>
  <c r="Y13" i="22" s="1"/>
  <c r="X14" i="3"/>
  <c r="G5" i="20"/>
  <c r="G6" i="20"/>
  <c r="AA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AA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AA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AA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AA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AA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AA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AA184" i="20"/>
  <c r="Y184" i="20"/>
  <c r="X184" i="20"/>
  <c r="W184" i="20"/>
  <c r="V184" i="20"/>
  <c r="U184" i="20"/>
  <c r="T184" i="20"/>
  <c r="S184" i="20"/>
  <c r="R184" i="20"/>
  <c r="Q184" i="20"/>
  <c r="P184" i="20"/>
  <c r="O184" i="20"/>
  <c r="N184" i="20"/>
  <c r="M184" i="20"/>
  <c r="L184" i="20"/>
  <c r="K184" i="20"/>
  <c r="J184" i="20"/>
  <c r="I184" i="20"/>
  <c r="H184" i="20"/>
  <c r="AA183" i="20"/>
  <c r="Y183" i="20"/>
  <c r="X183" i="20"/>
  <c r="W183" i="20"/>
  <c r="V183" i="20"/>
  <c r="U183" i="20"/>
  <c r="T183" i="20"/>
  <c r="S183" i="20"/>
  <c r="R183" i="20"/>
  <c r="Q183" i="20"/>
  <c r="P183" i="20"/>
  <c r="O183" i="20"/>
  <c r="N183" i="20"/>
  <c r="M183" i="20"/>
  <c r="L183" i="20"/>
  <c r="K183" i="20"/>
  <c r="J183" i="20"/>
  <c r="I183" i="20"/>
  <c r="H183" i="20"/>
  <c r="AA182" i="20"/>
  <c r="Y182" i="20"/>
  <c r="X182" i="20"/>
  <c r="W182" i="20"/>
  <c r="V182" i="20"/>
  <c r="U182" i="20"/>
  <c r="T182" i="20"/>
  <c r="S182" i="20"/>
  <c r="R182" i="20"/>
  <c r="Q182" i="20"/>
  <c r="P182" i="20"/>
  <c r="O182" i="20"/>
  <c r="N182" i="20"/>
  <c r="M182" i="20"/>
  <c r="L182" i="20"/>
  <c r="K182" i="20"/>
  <c r="J182" i="20"/>
  <c r="I182" i="20"/>
  <c r="H182" i="20"/>
  <c r="AA181" i="20"/>
  <c r="Y181" i="20"/>
  <c r="X181" i="20"/>
  <c r="W181" i="20"/>
  <c r="V181" i="20"/>
  <c r="U181" i="20"/>
  <c r="T181" i="20"/>
  <c r="S181" i="20"/>
  <c r="R181" i="20"/>
  <c r="Q181" i="20"/>
  <c r="P181" i="20"/>
  <c r="O181" i="20"/>
  <c r="N181" i="20"/>
  <c r="M181" i="20"/>
  <c r="L181" i="20"/>
  <c r="K181" i="20"/>
  <c r="J181" i="20"/>
  <c r="I181" i="20"/>
  <c r="H181" i="20"/>
  <c r="AA180" i="20"/>
  <c r="Y180" i="20"/>
  <c r="X180" i="20"/>
  <c r="W180" i="20"/>
  <c r="V180" i="20"/>
  <c r="U180" i="20"/>
  <c r="T180" i="20"/>
  <c r="S180" i="20"/>
  <c r="R180" i="20"/>
  <c r="Q180" i="20"/>
  <c r="P180" i="20"/>
  <c r="O180" i="20"/>
  <c r="N180" i="20"/>
  <c r="M180" i="20"/>
  <c r="L180" i="20"/>
  <c r="K180" i="20"/>
  <c r="J180" i="20"/>
  <c r="I180" i="20"/>
  <c r="H180" i="20"/>
  <c r="AA179" i="20"/>
  <c r="Y179" i="20"/>
  <c r="X179" i="20"/>
  <c r="W179" i="20"/>
  <c r="V179" i="20"/>
  <c r="U179" i="20"/>
  <c r="T179" i="20"/>
  <c r="S179" i="20"/>
  <c r="R179" i="20"/>
  <c r="Q179" i="20"/>
  <c r="P179" i="20"/>
  <c r="O179" i="20"/>
  <c r="N179" i="20"/>
  <c r="M179" i="20"/>
  <c r="L179" i="20"/>
  <c r="K179" i="20"/>
  <c r="J179" i="20"/>
  <c r="I179" i="20"/>
  <c r="H179" i="20"/>
  <c r="AA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M178" i="20"/>
  <c r="L178" i="20"/>
  <c r="K178" i="20"/>
  <c r="J178" i="20"/>
  <c r="I178" i="20"/>
  <c r="H178" i="20"/>
  <c r="AA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M177" i="20"/>
  <c r="L177" i="20"/>
  <c r="K177" i="20"/>
  <c r="J177" i="20"/>
  <c r="I177" i="20"/>
  <c r="H177" i="20"/>
  <c r="AA176" i="20"/>
  <c r="Y176" i="20"/>
  <c r="X176" i="20"/>
  <c r="W176" i="20"/>
  <c r="V176" i="20"/>
  <c r="U176" i="20"/>
  <c r="T176" i="20"/>
  <c r="S176" i="20"/>
  <c r="R176" i="20"/>
  <c r="Q176" i="20"/>
  <c r="P176" i="20"/>
  <c r="O176" i="20"/>
  <c r="N176" i="20"/>
  <c r="M176" i="20"/>
  <c r="L176" i="20"/>
  <c r="K176" i="20"/>
  <c r="J176" i="20"/>
  <c r="I176" i="20"/>
  <c r="H176" i="20"/>
  <c r="AA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AA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AA173" i="20"/>
  <c r="Y173" i="20"/>
  <c r="X173" i="20"/>
  <c r="W173" i="20"/>
  <c r="V173" i="20"/>
  <c r="U173" i="20"/>
  <c r="T173" i="20"/>
  <c r="S173" i="20"/>
  <c r="R173" i="20"/>
  <c r="Q173" i="20"/>
  <c r="P173" i="20"/>
  <c r="O173" i="20"/>
  <c r="N173" i="20"/>
  <c r="M173" i="20"/>
  <c r="L173" i="20"/>
  <c r="K173" i="20"/>
  <c r="J173" i="20"/>
  <c r="I173" i="20"/>
  <c r="H173" i="20"/>
  <c r="AA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AA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AA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AA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M169" i="20"/>
  <c r="L169" i="20"/>
  <c r="K169" i="20"/>
  <c r="J169" i="20"/>
  <c r="I169" i="20"/>
  <c r="H169" i="20"/>
  <c r="AA168" i="20"/>
  <c r="Y168" i="20"/>
  <c r="X168" i="20"/>
  <c r="W168" i="20"/>
  <c r="V168" i="20"/>
  <c r="U168" i="20"/>
  <c r="T168" i="20"/>
  <c r="S168" i="20"/>
  <c r="R168" i="20"/>
  <c r="Q168" i="20"/>
  <c r="P168" i="20"/>
  <c r="O168" i="20"/>
  <c r="N168" i="20"/>
  <c r="M168" i="20"/>
  <c r="L168" i="20"/>
  <c r="K168" i="20"/>
  <c r="J168" i="20"/>
  <c r="I168" i="20"/>
  <c r="H168" i="20"/>
  <c r="AA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AA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AA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M165" i="20"/>
  <c r="L165" i="20"/>
  <c r="K165" i="20"/>
  <c r="J165" i="20"/>
  <c r="I165" i="20"/>
  <c r="H165" i="20"/>
  <c r="AA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M164" i="20"/>
  <c r="L164" i="20"/>
  <c r="K164" i="20"/>
  <c r="J164" i="20"/>
  <c r="I164" i="20"/>
  <c r="H164" i="20"/>
  <c r="AA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AA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M162" i="20"/>
  <c r="L162" i="20"/>
  <c r="K162" i="20"/>
  <c r="J162" i="20"/>
  <c r="I162" i="20"/>
  <c r="H162" i="20"/>
  <c r="AA161" i="20"/>
  <c r="Y161" i="20"/>
  <c r="X161" i="20"/>
  <c r="W161" i="20"/>
  <c r="V161" i="20"/>
  <c r="U161" i="20"/>
  <c r="T161" i="20"/>
  <c r="S161" i="20"/>
  <c r="R161" i="20"/>
  <c r="Q161" i="20"/>
  <c r="P161" i="20"/>
  <c r="O161" i="20"/>
  <c r="N161" i="20"/>
  <c r="M161" i="20"/>
  <c r="L161" i="20"/>
  <c r="K161" i="20"/>
  <c r="J161" i="20"/>
  <c r="I161" i="20"/>
  <c r="H161" i="20"/>
  <c r="AA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AA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AA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AA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AA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AA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AA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AA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AA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AA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AA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AA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AA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AA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AA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AA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AA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AA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AA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AA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AA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AA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AA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AA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AA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AA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AA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I134" i="20"/>
  <c r="H134" i="20"/>
  <c r="AA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AA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AA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AA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AA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AA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AA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AA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AA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AA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AA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AA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AA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AA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AA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AA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AA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AA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AA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AA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AA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AA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AA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AA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AA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AA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AA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AA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AA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AA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AA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AA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AA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AA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AA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AA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AA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AA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AA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AA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AA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AA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AA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AA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AA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AA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AA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AA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AA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AA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AA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AA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AA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AA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AA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AA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AA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AA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AA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AA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AA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AA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AA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AA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AA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AA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AA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AA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AA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AA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AA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AA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AA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AA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AA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AA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AA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AA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AA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AA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AA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AA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AA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AA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AA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AA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AA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A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AA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AA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AA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AA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AA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AA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AA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AA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AA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AA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AA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AA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AA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AA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AA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AA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AA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AA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AA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AA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AA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AA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AA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AA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AA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AA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AA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AA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AA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AA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AA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AA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AA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AA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AA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AA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AA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AA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AA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AA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Z191" i="20"/>
  <c r="Z190" i="20"/>
  <c r="Z189" i="20"/>
  <c r="Z188" i="20"/>
  <c r="Z187" i="20"/>
  <c r="Z186" i="20"/>
  <c r="Z185" i="20"/>
  <c r="Z184" i="20"/>
  <c r="Z183" i="20"/>
  <c r="Z182" i="20"/>
  <c r="Z181" i="20"/>
  <c r="Z180" i="20"/>
  <c r="Z179" i="20"/>
  <c r="Z178" i="20"/>
  <c r="Z177" i="20"/>
  <c r="Z176" i="20"/>
  <c r="Z175" i="20"/>
  <c r="Z174" i="20"/>
  <c r="Z173" i="20"/>
  <c r="Z172" i="20"/>
  <c r="Z171" i="20"/>
  <c r="Z170" i="20"/>
  <c r="Z169" i="20"/>
  <c r="Z168" i="20"/>
  <c r="Z167" i="20"/>
  <c r="Z166" i="20"/>
  <c r="Z165" i="20"/>
  <c r="Z164" i="20"/>
  <c r="Z163" i="20"/>
  <c r="Z162" i="20"/>
  <c r="Z161" i="20"/>
  <c r="Z160" i="20"/>
  <c r="Z159" i="20"/>
  <c r="Z158" i="20"/>
  <c r="Z157" i="20"/>
  <c r="Z156" i="20"/>
  <c r="Z155" i="20"/>
  <c r="Z154" i="20"/>
  <c r="Z153" i="20"/>
  <c r="Z152" i="20"/>
  <c r="Z151" i="20"/>
  <c r="Z150" i="20"/>
  <c r="Z149" i="20"/>
  <c r="Z148" i="20"/>
  <c r="Z147" i="20"/>
  <c r="Z146" i="20"/>
  <c r="Z145" i="20"/>
  <c r="Z144" i="20"/>
  <c r="Z143" i="20"/>
  <c r="Z142" i="20"/>
  <c r="Z141" i="20"/>
  <c r="Z140" i="20"/>
  <c r="Z139" i="20"/>
  <c r="Z138" i="20"/>
  <c r="Z137" i="20"/>
  <c r="Z136" i="20"/>
  <c r="Z135" i="20"/>
  <c r="Z134" i="20"/>
  <c r="Z133" i="20"/>
  <c r="Z132" i="20"/>
  <c r="Z131" i="20"/>
  <c r="Z130" i="20"/>
  <c r="Z129" i="20"/>
  <c r="Z128" i="20"/>
  <c r="Z127" i="20"/>
  <c r="Z126" i="20"/>
  <c r="Z125" i="20"/>
  <c r="Z124" i="20"/>
  <c r="Z123" i="20"/>
  <c r="Z122" i="20"/>
  <c r="Z121" i="20"/>
  <c r="Z120" i="20"/>
  <c r="Z119" i="20"/>
  <c r="Z118" i="20"/>
  <c r="Z117" i="20"/>
  <c r="Z116" i="20"/>
  <c r="Z115" i="20"/>
  <c r="Z114" i="20"/>
  <c r="Z113" i="20"/>
  <c r="Z112" i="20"/>
  <c r="Z111" i="20"/>
  <c r="Z110" i="20"/>
  <c r="Z109" i="20"/>
  <c r="Z108" i="20"/>
  <c r="Z107" i="20"/>
  <c r="Z106" i="20"/>
  <c r="Z105" i="20"/>
  <c r="Z104" i="20"/>
  <c r="Z103" i="20"/>
  <c r="Z102" i="20"/>
  <c r="Z101" i="20"/>
  <c r="Z100" i="20"/>
  <c r="Z99" i="20"/>
  <c r="Z98" i="20"/>
  <c r="Z97" i="20"/>
  <c r="Z96" i="20"/>
  <c r="Z95" i="20"/>
  <c r="Z94" i="20"/>
  <c r="Z93" i="20"/>
  <c r="Z92" i="20"/>
  <c r="Z91" i="20"/>
  <c r="Z90" i="20"/>
  <c r="Z89" i="20"/>
  <c r="Z88" i="20"/>
  <c r="Z87" i="20"/>
  <c r="Z86" i="20"/>
  <c r="Z85" i="20"/>
  <c r="Z84" i="20"/>
  <c r="Z83" i="20"/>
  <c r="Z82" i="20"/>
  <c r="Z81" i="20"/>
  <c r="Z80" i="20"/>
  <c r="Z79" i="20"/>
  <c r="Z78" i="20"/>
  <c r="Z77" i="20"/>
  <c r="Z76" i="20"/>
  <c r="Z75" i="20"/>
  <c r="Z74" i="20"/>
  <c r="Z73" i="20"/>
  <c r="Z72" i="20"/>
  <c r="Z71" i="20"/>
  <c r="Z70" i="20"/>
  <c r="Z69" i="20"/>
  <c r="Z68" i="20"/>
  <c r="Z67" i="20"/>
  <c r="Z66" i="20"/>
  <c r="Z65" i="20"/>
  <c r="Z64" i="20"/>
  <c r="Z63" i="20"/>
  <c r="Z62" i="20"/>
  <c r="Z61" i="20"/>
  <c r="Z60" i="20"/>
  <c r="Z59" i="20"/>
  <c r="Z58" i="20"/>
  <c r="Z57" i="20"/>
  <c r="Z56" i="20"/>
  <c r="Z55" i="20"/>
  <c r="Z54" i="20"/>
  <c r="Z53" i="20"/>
  <c r="Z52" i="20"/>
  <c r="Z51" i="20"/>
  <c r="Z50" i="20"/>
  <c r="Z49" i="20"/>
  <c r="Z48" i="20"/>
  <c r="Z47" i="20"/>
  <c r="Z46" i="20"/>
  <c r="Z45" i="20"/>
  <c r="Z44" i="20"/>
  <c r="Z43" i="20"/>
  <c r="Z42" i="20"/>
  <c r="Z41" i="20"/>
  <c r="Z40" i="20"/>
  <c r="Z39" i="20"/>
  <c r="Z38" i="20"/>
  <c r="Z37" i="20"/>
  <c r="Z36" i="20"/>
  <c r="Z35" i="20"/>
  <c r="Z34" i="20"/>
  <c r="Z33" i="20"/>
  <c r="Z32" i="20"/>
  <c r="Z31" i="20"/>
  <c r="Z30" i="20"/>
  <c r="Z29" i="20"/>
  <c r="Z28" i="20"/>
  <c r="Z27" i="20"/>
  <c r="Z26" i="20"/>
  <c r="Z25" i="20"/>
  <c r="Z24" i="20"/>
  <c r="Z23" i="20"/>
  <c r="Z22" i="20"/>
  <c r="Z21" i="20"/>
  <c r="Z20" i="20"/>
  <c r="Z19" i="20"/>
  <c r="Z18" i="20"/>
  <c r="Z17" i="20"/>
  <c r="Z16" i="20"/>
  <c r="Z15" i="20"/>
  <c r="Z14" i="20"/>
  <c r="Z13" i="20"/>
  <c r="Z12" i="20"/>
  <c r="Z11" i="20"/>
  <c r="Z10" i="20"/>
  <c r="Z9" i="20"/>
  <c r="Z8" i="20"/>
  <c r="Z7" i="20"/>
  <c r="Z6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22" i="6"/>
  <c r="Z13" i="3"/>
  <c r="AA13" i="3" s="1"/>
  <c r="AC13" i="3" s="1"/>
  <c r="AB13" i="3"/>
  <c r="Z12" i="3"/>
  <c r="AA12" i="3" s="1"/>
  <c r="AC12" i="3" s="1"/>
  <c r="AB12" i="3"/>
  <c r="Z11" i="3"/>
  <c r="AA11" i="3" s="1"/>
  <c r="AC11" i="3" s="1"/>
  <c r="AB11" i="3"/>
  <c r="Z10" i="3"/>
  <c r="AA10" i="3" s="1"/>
  <c r="AC10" i="3" s="1"/>
  <c r="AB10" i="3"/>
  <c r="Z9" i="3"/>
  <c r="AA9" i="3" s="1"/>
  <c r="AC9" i="3" s="1"/>
  <c r="AB9" i="3"/>
  <c r="Z8" i="3"/>
  <c r="AA8" i="3" s="1"/>
  <c r="AC8" i="3" s="1"/>
  <c r="AB8" i="3"/>
  <c r="Z7" i="3"/>
  <c r="AA7" i="3" s="1"/>
  <c r="AC7" i="3" s="1"/>
  <c r="AB7" i="3"/>
  <c r="Z6" i="3"/>
  <c r="AA6" i="3" s="1"/>
  <c r="AC6" i="3" s="1"/>
  <c r="AB6" i="3"/>
  <c r="Z5" i="3"/>
  <c r="AA5" i="3" s="1"/>
  <c r="AC5" i="3" s="1"/>
  <c r="AB5" i="3"/>
  <c r="Z4" i="3"/>
  <c r="AA4" i="3" s="1"/>
  <c r="AC4" i="3" s="1"/>
  <c r="AB4" i="3"/>
  <c r="Z3" i="3"/>
  <c r="AA3" i="3" s="1"/>
  <c r="AB3" i="3"/>
  <c r="Y14" i="3"/>
  <c r="AD11" i="3"/>
  <c r="AE11" i="3" s="1"/>
  <c r="AD4" i="3"/>
  <c r="AE4" i="3" s="1"/>
  <c r="AD13" i="3"/>
  <c r="AE13" i="3" s="1"/>
  <c r="AD12" i="3"/>
  <c r="AE12" i="3" s="1"/>
  <c r="AD10" i="3"/>
  <c r="AE10" i="3" s="1"/>
  <c r="AD9" i="3"/>
  <c r="AE9" i="3" s="1"/>
  <c r="AD8" i="3"/>
  <c r="AE8" i="3" s="1"/>
  <c r="AD7" i="3"/>
  <c r="AE7" i="3" s="1"/>
  <c r="AD6" i="3"/>
  <c r="AE6" i="3" s="1"/>
  <c r="AD5" i="3"/>
  <c r="AE5" i="3" s="1"/>
  <c r="O13" i="3"/>
  <c r="O10" i="3"/>
  <c r="O6" i="3"/>
  <c r="A35" i="13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S14" i="6"/>
  <c r="D22" i="6"/>
  <c r="D4" i="6" s="1"/>
  <c r="Z4" i="6" s="1"/>
  <c r="S11" i="6"/>
  <c r="C22" i="6"/>
  <c r="E2" i="11"/>
  <c r="P3" i="4"/>
  <c r="E12" i="11"/>
  <c r="P13" i="4"/>
  <c r="E11" i="11"/>
  <c r="P12" i="4"/>
  <c r="P11" i="4"/>
  <c r="E9" i="11"/>
  <c r="P10" i="4"/>
  <c r="E8" i="11"/>
  <c r="P9" i="4"/>
  <c r="E7" i="11"/>
  <c r="P8" i="4"/>
  <c r="E6" i="11"/>
  <c r="P7" i="4"/>
  <c r="P6" i="4"/>
  <c r="E4" i="11"/>
  <c r="P5" i="4"/>
  <c r="E3" i="11"/>
  <c r="P4" i="4"/>
  <c r="K3" i="6"/>
  <c r="K4" i="6"/>
  <c r="J4" i="6"/>
  <c r="Q5" i="6"/>
  <c r="N5" i="6"/>
  <c r="L5" i="6"/>
  <c r="D14" i="4"/>
  <c r="D3" i="10"/>
  <c r="E3" i="10" s="1"/>
  <c r="D4" i="10"/>
  <c r="E4" i="10" s="1"/>
  <c r="D7" i="10"/>
  <c r="E7" i="10" s="1"/>
  <c r="D9" i="10"/>
  <c r="E9" i="10" s="1"/>
  <c r="G10" i="11"/>
  <c r="H10" i="11" s="1"/>
  <c r="G4" i="11"/>
  <c r="H4" i="11" s="1"/>
  <c r="H5" i="9"/>
  <c r="J5" i="9" s="1"/>
  <c r="K5" i="9"/>
  <c r="H10" i="9"/>
  <c r="J10" i="9" s="1"/>
  <c r="K10" i="9"/>
  <c r="I10" i="9"/>
  <c r="I4" i="9"/>
  <c r="H4" i="9"/>
  <c r="J4" i="9" s="1"/>
  <c r="K4" i="9"/>
  <c r="H8" i="9"/>
  <c r="I8" i="9"/>
  <c r="H2" i="9"/>
  <c r="J2" i="9" s="1"/>
  <c r="K2" i="9"/>
  <c r="I2" i="9"/>
  <c r="I5" i="9"/>
  <c r="I7" i="9"/>
  <c r="H7" i="9"/>
  <c r="K7" i="9"/>
  <c r="H11" i="9"/>
  <c r="I11" i="9"/>
  <c r="G5" i="9"/>
  <c r="K15" i="22" l="1"/>
  <c r="P14" i="4"/>
  <c r="AD8" i="20"/>
  <c r="D15" i="4"/>
  <c r="C130" i="20"/>
  <c r="C23" i="4"/>
  <c r="C24" i="4"/>
  <c r="C25" i="4"/>
  <c r="C26" i="4"/>
  <c r="C27" i="4"/>
  <c r="C22" i="4"/>
  <c r="L16" i="4"/>
  <c r="O14" i="4"/>
  <c r="O18" i="4" a="1"/>
  <c r="O18" i="4" s="1"/>
  <c r="M14" i="22"/>
  <c r="J11" i="9"/>
  <c r="M11" i="9" s="1"/>
  <c r="J7" i="9"/>
  <c r="M7" i="9" s="1"/>
  <c r="F5" i="6"/>
  <c r="H4" i="6"/>
  <c r="H5" i="6" s="1"/>
  <c r="AC4" i="6"/>
  <c r="E4" i="6"/>
  <c r="AB4" i="6"/>
  <c r="E3" i="6"/>
  <c r="AB3" i="6"/>
  <c r="V15" i="4"/>
  <c r="G3" i="6"/>
  <c r="G5" i="6" s="1"/>
  <c r="AC3" i="6"/>
  <c r="W15" i="4"/>
  <c r="U15" i="4"/>
  <c r="D3" i="6"/>
  <c r="D5" i="6" s="1"/>
  <c r="Z3" i="6"/>
  <c r="D73" i="6"/>
  <c r="C73" i="6"/>
  <c r="U73" i="6"/>
  <c r="T15" i="4"/>
  <c r="J8" i="9"/>
  <c r="M8" i="9" s="1"/>
  <c r="D2" i="10"/>
  <c r="E2" i="10" s="1"/>
  <c r="J12" i="9"/>
  <c r="M12" i="9" s="1"/>
  <c r="M6" i="9"/>
  <c r="G15" i="4"/>
  <c r="O14" i="3"/>
  <c r="M9" i="9"/>
  <c r="M3" i="9"/>
  <c r="Z22" i="4"/>
  <c r="Z15" i="4"/>
  <c r="J5" i="6"/>
  <c r="AK7" i="20"/>
  <c r="S22" i="6"/>
  <c r="Z14" i="3"/>
  <c r="AC13" i="22"/>
  <c r="AD13" i="22" s="1"/>
  <c r="AA13" i="22"/>
  <c r="Z13" i="22"/>
  <c r="AB13" i="22" s="1"/>
  <c r="AC12" i="22"/>
  <c r="AD12" i="22" s="1"/>
  <c r="AA12" i="22"/>
  <c r="Z12" i="22"/>
  <c r="AB12" i="22" s="1"/>
  <c r="AC11" i="22"/>
  <c r="AD11" i="22" s="1"/>
  <c r="AA11" i="22"/>
  <c r="Z11" i="22"/>
  <c r="AB11" i="22" s="1"/>
  <c r="AC10" i="22"/>
  <c r="AD10" i="22" s="1"/>
  <c r="AA10" i="22"/>
  <c r="Z10" i="22"/>
  <c r="AB10" i="22" s="1"/>
  <c r="AC9" i="22"/>
  <c r="AD9" i="22" s="1"/>
  <c r="AA9" i="22"/>
  <c r="Z9" i="22"/>
  <c r="AB9" i="22" s="1"/>
  <c r="AC8" i="22"/>
  <c r="AD8" i="22" s="1"/>
  <c r="AA8" i="22"/>
  <c r="Z8" i="22"/>
  <c r="AB8" i="22" s="1"/>
  <c r="AC7" i="22"/>
  <c r="AD7" i="22" s="1"/>
  <c r="AA7" i="22"/>
  <c r="Z7" i="22"/>
  <c r="AB7" i="22" s="1"/>
  <c r="AC6" i="22"/>
  <c r="AD6" i="22" s="1"/>
  <c r="AA6" i="22"/>
  <c r="Y6" i="22"/>
  <c r="Z6" i="22" s="1"/>
  <c r="AB6" i="22" s="1"/>
  <c r="AC5" i="22"/>
  <c r="AD5" i="22" s="1"/>
  <c r="AA5" i="22"/>
  <c r="Z5" i="22"/>
  <c r="AB5" i="22" s="1"/>
  <c r="AC4" i="22"/>
  <c r="AD4" i="22" s="1"/>
  <c r="AA4" i="22"/>
  <c r="Z4" i="22"/>
  <c r="AB4" i="22" s="1"/>
  <c r="W14" i="22"/>
  <c r="N14" i="22"/>
  <c r="AF7" i="20"/>
  <c r="AI7" i="20"/>
  <c r="AL7" i="20"/>
  <c r="AO7" i="20"/>
  <c r="AR7" i="20"/>
  <c r="AU7" i="20"/>
  <c r="AF8" i="20"/>
  <c r="AI8" i="20"/>
  <c r="AL8" i="20"/>
  <c r="AO8" i="20"/>
  <c r="AR8" i="20"/>
  <c r="AU8" i="20"/>
  <c r="AG7" i="20"/>
  <c r="AJ7" i="20"/>
  <c r="AM7" i="20"/>
  <c r="AP7" i="20"/>
  <c r="AS7" i="20"/>
  <c r="AV7" i="20"/>
  <c r="AG8" i="20"/>
  <c r="AJ8" i="20"/>
  <c r="AM8" i="20"/>
  <c r="AP8" i="20"/>
  <c r="AS8" i="20"/>
  <c r="AV8" i="20"/>
  <c r="AE7" i="20"/>
  <c r="AH7" i="20"/>
  <c r="AN7" i="20"/>
  <c r="AQ7" i="20"/>
  <c r="AT7" i="20"/>
  <c r="AW7" i="20"/>
  <c r="AW8" i="20"/>
  <c r="AE8" i="20"/>
  <c r="AH8" i="20"/>
  <c r="AK8" i="20"/>
  <c r="AN8" i="20"/>
  <c r="AQ8" i="20"/>
  <c r="AT8" i="20"/>
  <c r="AD7" i="20"/>
  <c r="AE3" i="3"/>
  <c r="AD14" i="3"/>
  <c r="AA14" i="3"/>
  <c r="AC3" i="3"/>
  <c r="S15" i="4"/>
  <c r="Q15" i="4"/>
  <c r="K15" i="4"/>
  <c r="J15" i="4"/>
  <c r="L15" i="4"/>
  <c r="N15" i="4"/>
  <c r="F15" i="4"/>
  <c r="I14" i="4"/>
  <c r="R15" i="4"/>
  <c r="M5" i="6"/>
  <c r="O5" i="6"/>
  <c r="P5" i="6"/>
  <c r="R5" i="6"/>
  <c r="S5" i="6"/>
  <c r="K5" i="6"/>
  <c r="I5" i="6"/>
  <c r="M5" i="9"/>
  <c r="M2" i="9"/>
  <c r="M4" i="9"/>
  <c r="M10" i="9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E5" i="6" l="1"/>
  <c r="C4" i="6"/>
  <c r="C3" i="6"/>
  <c r="T14" i="22"/>
  <c r="C5" i="6" l="1"/>
  <c r="X14" i="22"/>
  <c r="AC3" i="22"/>
  <c r="AC14" i="22" s="1"/>
  <c r="AA3" i="22"/>
  <c r="Y14" i="22" l="1"/>
  <c r="Z3" i="22"/>
  <c r="AD3" i="22"/>
  <c r="Z14" i="22" l="1"/>
  <c r="AB3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<sst xmlns="http://schemas.openxmlformats.org/spreadsheetml/2006/main" count="18428" uniqueCount="2907">
  <si>
    <t>No</t>
  </si>
  <si>
    <t>NAMA</t>
  </si>
  <si>
    <t>Status Aktif</t>
  </si>
  <si>
    <t>Jenis</t>
  </si>
  <si>
    <t>JAD</t>
  </si>
  <si>
    <t>PRODI/BAGIAN</t>
  </si>
  <si>
    <t>NIP YPT</t>
  </si>
  <si>
    <t>NIDN</t>
  </si>
  <si>
    <t>NUPTK</t>
  </si>
  <si>
    <t>STATUS</t>
  </si>
  <si>
    <t>GELAR DEPAN</t>
  </si>
  <si>
    <t>GELAR BELAKANG</t>
  </si>
  <si>
    <t>PENDIDIKAN</t>
  </si>
  <si>
    <t>TMT MASUK</t>
  </si>
  <si>
    <t>TMT Keluar</t>
  </si>
  <si>
    <t>MASA KERJA DOSEN</t>
  </si>
  <si>
    <t>Email</t>
  </si>
  <si>
    <t>No HP</t>
  </si>
  <si>
    <t>ALAMAT</t>
  </si>
  <si>
    <t>Bambang Agus Sumantri</t>
  </si>
  <si>
    <t>Aktif</t>
  </si>
  <si>
    <t>Dosen</t>
  </si>
  <si>
    <t>Digital Bisnis</t>
  </si>
  <si>
    <t>9162758659130123</t>
  </si>
  <si>
    <t>Dr.M.</t>
  </si>
  <si>
    <t>S.IP., M.M.</t>
  </si>
  <si>
    <t>bambang.sumantri@mhs.unsoed.ac.id</t>
  </si>
  <si>
    <t>Dusun Wonorejo RT/RW 004/002 Desa Semanding Kec. PaguKab. Kediri</t>
  </si>
  <si>
    <t>Darlin Aulia</t>
  </si>
  <si>
    <t>2941770671230372</t>
  </si>
  <si>
    <t> </t>
  </si>
  <si>
    <t>S. E., M.S.Ak.</t>
  </si>
  <si>
    <t>darlin.aulia@ittelkom-sby.ac.id</t>
  </si>
  <si>
    <t>Jl. Sentot Prawirodhirjo XIV/70, Jember Kidul, Kaliwates, Jember</t>
  </si>
  <si>
    <t>Dominggo Bayu Baskara</t>
  </si>
  <si>
    <t>6954768669130292</t>
  </si>
  <si>
    <t xml:space="preserve">Ir. </t>
  </si>
  <si>
    <t>S.T., M.MT.</t>
  </si>
  <si>
    <t>domi@ittelkom-sby.ac.id</t>
  </si>
  <si>
    <t>Jl. Palem Selatan II MC/163, Waru, Sidoarjo, Jawa Timur 61256</t>
  </si>
  <si>
    <t>Sekar Widyasari Putri</t>
  </si>
  <si>
    <t>0536771672230252</t>
  </si>
  <si>
    <t>S.A.B., M.Si.</t>
  </si>
  <si>
    <t>sekar@ittelkom-sby.ac.id</t>
  </si>
  <si>
    <t>Jl. Plamongan Indah Blok G3 No. 24, Batusari, Mranggen, Demak</t>
  </si>
  <si>
    <t>Riza Akhsani Setyo Prayoga</t>
  </si>
  <si>
    <t>Non-Aktif</t>
  </si>
  <si>
    <t>S.Kom., M.MT.</t>
  </si>
  <si>
    <t>rizayoga30@ittelkom-sby.ac.id</t>
  </si>
  <si>
    <t>Jl. Ukel GG 1 No. 26, Kertosari, Babadan, Ponorogo</t>
  </si>
  <si>
    <t>Caesareano Lafado Yesa</t>
  </si>
  <si>
    <t>7540767668130283</t>
  </si>
  <si>
    <t>S.M.B., M.M.</t>
  </si>
  <si>
    <t>anofado@ittelkom-sby.ac.id</t>
  </si>
  <si>
    <t>Jl. Eka Surya Gg. Eka Dewi No. 2A, Gedung Johor, Medan Johor, Medan</t>
  </si>
  <si>
    <t>Titus Kristanto</t>
  </si>
  <si>
    <t>7542764665137062</t>
  </si>
  <si>
    <t>S.Kom., M.Kom.</t>
  </si>
  <si>
    <t>titus.kristanto@ittelkom-sby.ac.id</t>
  </si>
  <si>
    <t>Jl. Darmo Indah Selatan 3 Blok GG-25 Surabaya</t>
  </si>
  <si>
    <t>Agoes Windarto</t>
  </si>
  <si>
    <t>8961580023</t>
  </si>
  <si>
    <t>1138750652130163</t>
  </si>
  <si>
    <t>S.T., M.M.</t>
  </si>
  <si>
    <t>agoeswindarto@ittelkom-sby.ac.id</t>
  </si>
  <si>
    <t>Graha Asri Sukodono, Pekarungan, Sidoarjo</t>
  </si>
  <si>
    <t>Wachda Yuniar Rochmah</t>
  </si>
  <si>
    <t>6933775676230162</t>
  </si>
  <si>
    <t>S.M., M.M.</t>
  </si>
  <si>
    <t>wachdayuniar@ittelkom-sby.ac.id</t>
  </si>
  <si>
    <t>Mojoranu, Dander, Bojonegoro</t>
  </si>
  <si>
    <t>Adisya Resti Rahmadanti</t>
  </si>
  <si>
    <t>0459777678230052</t>
  </si>
  <si>
    <t>S.M., M.A.B.</t>
  </si>
  <si>
    <t>adisya@ittelkom-sby.ac.id</t>
  </si>
  <si>
    <t>Jl. Gedong Kuning 40A, Jogjakarta, 5517</t>
  </si>
  <si>
    <t>Krisnayanti Aditasari</t>
  </si>
  <si>
    <t>5936777678230072</t>
  </si>
  <si>
    <t>S.M., M.MT.</t>
  </si>
  <si>
    <t>krisna@ittelkom-sby.ac.id</t>
  </si>
  <si>
    <t>Tambak Medokan Ayu XVI / 4, Surabaya, 60295</t>
  </si>
  <si>
    <t>Rudi Harianto</t>
  </si>
  <si>
    <t>S.E., M.A.</t>
  </si>
  <si>
    <t>Sidokapasan 1/54 SBY RT 001 RW 001, Kel. Sidodadi, Kec. Simokerto, Kota Surabaya, Jawa Timur</t>
  </si>
  <si>
    <t>N. Azizia Gia Mutiarasari</t>
  </si>
  <si>
    <t>5149775676230303</t>
  </si>
  <si>
    <t>S.M., MBA</t>
  </si>
  <si>
    <t>giamsari17@gmail.com</t>
  </si>
  <si>
    <t>Rejosari RT 003 RT 008, Kel. Sabrang, Kec. Delanggu, Kab. Klaten</t>
  </si>
  <si>
    <t>Annisa Ramadhan</t>
  </si>
  <si>
    <t>7545773674230262</t>
  </si>
  <si>
    <t>S.Stat. M.Stat.</t>
  </si>
  <si>
    <t>annisaramadhan807@gmail.com</t>
  </si>
  <si>
    <t>JAMBANGAN KEBON AGUNG KEL JAMBANGAN KEC JAMBANGAN SURABAYA</t>
  </si>
  <si>
    <t>Egi Gumala Sari</t>
  </si>
  <si>
    <t>S.E., M.Ak.</t>
  </si>
  <si>
    <t>riset.egigumalasari@gmail.com</t>
  </si>
  <si>
    <t>jl perintis kemardekaan no 154 kel padang matinggi</t>
  </si>
  <si>
    <t>Wahyu Eka Kiswardani</t>
  </si>
  <si>
    <t>0452779680230052</t>
  </si>
  <si>
    <t>wahyuuekafb658@gmail.com</t>
  </si>
  <si>
    <t>DESA NGETOS RT 002 RW 002 KEL NGETOS KEC NGETOS NGANJUK</t>
  </si>
  <si>
    <t>Hussein Gibreel Musa Salih</t>
  </si>
  <si>
    <t>B.Art., M.I.kom., Ph.D.</t>
  </si>
  <si>
    <t>husseingibreelmusa@gmail.com</t>
  </si>
  <si>
    <t>Anugrah Batako RT 006 RW 000, Kel. Argorejo, Kec. Sedayu, Kab. Bantul</t>
  </si>
  <si>
    <t>Ardian Yusuf Wicaksono</t>
  </si>
  <si>
    <t>Informatika</t>
  </si>
  <si>
    <t>5259770671130293</t>
  </si>
  <si>
    <t>ardian@ittelkom-sby.ac.id</t>
  </si>
  <si>
    <t>Jalan Mayor Bismo No. 26A RT/RW 02/02, Templek, Gadungan, Puncu, Kediri</t>
  </si>
  <si>
    <t>Ahmad Wali Satria Bahari Johan</t>
  </si>
  <si>
    <t>7845773674130212</t>
  </si>
  <si>
    <t>S.ST., M.Kom.</t>
  </si>
  <si>
    <t>ahmadsatria13@ittelkom-sby.ac.id</t>
  </si>
  <si>
    <t>Dsn. Bujel, Suwaloh, Balen, Bojonegoro</t>
  </si>
  <si>
    <t>Muhammad Dzulfikar Fauzi</t>
  </si>
  <si>
    <t>2643772673130292</t>
  </si>
  <si>
    <t>S.Kom., M.Cs.</t>
  </si>
  <si>
    <t>muhammad.dzulfikar.f@ittelkom-sby.ac.id</t>
  </si>
  <si>
    <t>Dsn. Kayen, Morosunggingan, Peterongan, Jombang</t>
  </si>
  <si>
    <t>Kharisma Monika Dian Pertiwi</t>
  </si>
  <si>
    <t>4138773674230223</t>
  </si>
  <si>
    <t>kharismamonika@ittelkom-sby.ac.id</t>
  </si>
  <si>
    <t>Jl. YKP Pandugo 2F-4, Penjaringan Sari, Rungkut, Surabaya</t>
  </si>
  <si>
    <t>Rizky Fenaldo Maulana</t>
  </si>
  <si>
    <t>2046775676130173</t>
  </si>
  <si>
    <t>aldo@ittelkom-sby.ac.id</t>
  </si>
  <si>
    <t>Jl. Gajayana No. 796, Dinoyo, Lowokwaru, Malang</t>
  </si>
  <si>
    <t>Vessa Rizky Oktavia</t>
  </si>
  <si>
    <t>7337773674230273</t>
  </si>
  <si>
    <t>vessa@ittelkom-sby.ac.id</t>
  </si>
  <si>
    <t>Alun Alun Rangkah NO 17-II, Tambaksari, Surabaya</t>
  </si>
  <si>
    <t>Alqis Rausanfita</t>
  </si>
  <si>
    <t>7542774675230212</t>
  </si>
  <si>
    <t>alqisrausanfita@ittelkom-sby.ac.id</t>
  </si>
  <si>
    <t>Ngagel Mulya 8/42, Wonokromo, Surabaya</t>
  </si>
  <si>
    <t>Daud Muhajir</t>
  </si>
  <si>
    <t>5043775676130143</t>
  </si>
  <si>
    <t>daud@ittelkom-sby.ac.id</t>
  </si>
  <si>
    <t>Klakahrejo Lor Gg. Arwana 34, Surabaya</t>
  </si>
  <si>
    <t>Dyah Putri Rahmawati</t>
  </si>
  <si>
    <t>3651774675230192</t>
  </si>
  <si>
    <t xml:space="preserve">Dr. </t>
  </si>
  <si>
    <t>S.Stat.</t>
  </si>
  <si>
    <t>dyahputri@ittelkom-sby.ac.id</t>
  </si>
  <si>
    <t>Jl. Turkis V-15, Sooko, Mojokerto, 61361</t>
  </si>
  <si>
    <t>Pima Hani Safitri</t>
  </si>
  <si>
    <t>2635773674230322</t>
  </si>
  <si>
    <t>pimahanisafitri@ittelkom-sby.ac.id</t>
  </si>
  <si>
    <t>Jl. Jagalan II, Kedok, Turen, Malang, 65175</t>
  </si>
  <si>
    <t>Tanzilal Mustaqim</t>
  </si>
  <si>
    <t>3146776677130103</t>
  </si>
  <si>
    <t>tanzilal@ittelkom-sby.ac.id</t>
  </si>
  <si>
    <t>Tlogojati, Plosorejo, Gondang, Sragen, 57254</t>
  </si>
  <si>
    <t>Fandisya Rahman</t>
  </si>
  <si>
    <t>0711059005</t>
  </si>
  <si>
    <t>2843768669130322</t>
  </si>
  <si>
    <t>rahman@ittelkom-sby.ac.id</t>
  </si>
  <si>
    <t>Jl. MT. Haryono XVII / 211, Malang, 65145</t>
  </si>
  <si>
    <t>Dimas Chaerul Ekty Saputra</t>
  </si>
  <si>
    <t>6961776677130132</t>
  </si>
  <si>
    <t>S.Kom., M.Sc.</t>
  </si>
  <si>
    <t>dimaschaerul3@gmail.com</t>
  </si>
  <si>
    <t>Asrama Polri Pathuk Ng I/598 Rt 030 Rw 006, Kel. Ngampilan, Kec. Ngampilan, Yogyakarta</t>
  </si>
  <si>
    <t>Yasinta Romadhona</t>
  </si>
  <si>
    <t>1438776677230172</t>
  </si>
  <si>
    <t>yasinta.rmd@gmail.com</t>
  </si>
  <si>
    <t>Dusun Sukobanteng RT 016 RW 004 Desa Karangsoko, Kecamatan Trenggalek, Kabupaten Trenggalek, Jawa Timur</t>
  </si>
  <si>
    <t>Billy Montolalu</t>
  </si>
  <si>
    <t>Rekayasa Perangkat Lunak</t>
  </si>
  <si>
    <t>9160765666137003</t>
  </si>
  <si>
    <t>billy@ittelkom-sby.ac.id</t>
  </si>
  <si>
    <t>DSN. KRAJAN RT 19 RW 5, YOSOWILANGUN LOR, LUMAJANG</t>
  </si>
  <si>
    <t>Dahliar Ananda</t>
  </si>
  <si>
    <t>9834760661131142</t>
  </si>
  <si>
    <t>S.T., M.T.</t>
  </si>
  <si>
    <t>dahliar@ittelkom-sby.ac.id</t>
  </si>
  <si>
    <t>Perum Batu Indah Regency Blok C7 no 1, Cilame, Ngamprah, Bandung Barat</t>
  </si>
  <si>
    <t>Fidi Wincoko Putro</t>
  </si>
  <si>
    <t>1862765666130262</t>
  </si>
  <si>
    <t>fidiwputro@ittelkom-sby.ac.id</t>
  </si>
  <si>
    <t>Jl. Cempaka 42, Kel Bangunsari, Kec Mejayan, Kab Madiun, Jawa Timur</t>
  </si>
  <si>
    <t>Mohammad Sholik</t>
  </si>
  <si>
    <t>0541759660130163</t>
  </si>
  <si>
    <t>mohammad.sholik@ittelkom-sby.ac.id</t>
  </si>
  <si>
    <t>LOWAYU, RT. 029 RW. 008, DUKUN, GRESIK 61155</t>
  </si>
  <si>
    <t>Dewi Rahmawati</t>
  </si>
  <si>
    <t>5641772673230262</t>
  </si>
  <si>
    <t>Dr.</t>
  </si>
  <si>
    <t>dewirahmawati@ittelkom-sby.ac.id</t>
  </si>
  <si>
    <t>Perumahan Gempol Citra Asri O-24 Pasuruan</t>
  </si>
  <si>
    <t>Achmad Muzakki</t>
  </si>
  <si>
    <t>7860763664130242</t>
  </si>
  <si>
    <t>achmad.muzakki@ittelkom-sby.ac.id</t>
  </si>
  <si>
    <t>Gebang Wetan 1/9, Gebang Putih, Sukolilo, Surabaya</t>
  </si>
  <si>
    <t>Arni Muarifah Amri</t>
  </si>
  <si>
    <t>6950768669230322</t>
  </si>
  <si>
    <t>arnimuarifah@ittelkom-sby.ac.id</t>
  </si>
  <si>
    <t>Mutiara Garden Blok A5, Sidoarjo, 61252</t>
  </si>
  <si>
    <t>Amalia Nur Alifah</t>
  </si>
  <si>
    <t>Sains Data</t>
  </si>
  <si>
    <t>1561772673230263</t>
  </si>
  <si>
    <t>S.Si., M.Si.</t>
  </si>
  <si>
    <t>amalialifah@ittelkom-sby.ac.id</t>
  </si>
  <si>
    <t>Jl. Gondangmanis, Gondangmanis, BAE, Kudus</t>
  </si>
  <si>
    <t>Helisyah Nur Fadhilah</t>
  </si>
  <si>
    <t>9439773674230232</t>
  </si>
  <si>
    <t>S.Si., M.Mat.</t>
  </si>
  <si>
    <t>helisyah07@ittelkom-sby.ac.id</t>
  </si>
  <si>
    <t>Jl. R.A. Kartini 1-A/21, Gresik</t>
  </si>
  <si>
    <t>Moh. Hamim Zajuli Al Faroby</t>
  </si>
  <si>
    <t>3056773674130233</t>
  </si>
  <si>
    <t>alfaroby@ittelkom-sby.ac.id</t>
  </si>
  <si>
    <t>Dsn. Krajan, Gladag, Rogojampi, Banyuwangi</t>
  </si>
  <si>
    <t>Regita Putri Permata</t>
  </si>
  <si>
    <t>0262774675230173</t>
  </si>
  <si>
    <t>S.Stat., M.Stat.</t>
  </si>
  <si>
    <t>regitapermata@ittelkom-sby.ac.id</t>
  </si>
  <si>
    <t>GG. Sumur Kendal, Ronggomulyo, Tuban</t>
  </si>
  <si>
    <t>Rifdatun Ni'mah</t>
  </si>
  <si>
    <t>1946768669230292</t>
  </si>
  <si>
    <t>rifdatun@ittelkom-sby.ac.id</t>
  </si>
  <si>
    <t>Meria, Pangkah Kulon, Ujungpangkah, Gresik</t>
  </si>
  <si>
    <t>Sri Hidayati</t>
  </si>
  <si>
    <t>6455771672230313</t>
  </si>
  <si>
    <t>`</t>
  </si>
  <si>
    <t>srihidayati@ittelkom-sby.ac.id</t>
  </si>
  <si>
    <t>Dsn. Kedaleman, Kemiren, Glagah, Banyuwangi</t>
  </si>
  <si>
    <t>Sulthan Rafif</t>
  </si>
  <si>
    <t>3237777678130113</t>
  </si>
  <si>
    <t>S.Tr.Kom., M.Kom.</t>
  </si>
  <si>
    <t>rsulthan5@gmail.com</t>
  </si>
  <si>
    <t>JL. GONDOSULI NO 2 RT FL)4 RW OO9, XEL. LOWOKWARU, KEC. LOWOKWARU, MALANG</t>
  </si>
  <si>
    <t>Anfazul Faridatul Azizah</t>
  </si>
  <si>
    <t>Sistem Informasi</t>
  </si>
  <si>
    <t>8647768669230332</t>
  </si>
  <si>
    <t>anfazul.azizah@ittelkom-sby.ac.id</t>
  </si>
  <si>
    <t>Jalan Ketintang 3 / 7, Surabaya</t>
  </si>
  <si>
    <t>Hawwin Mardhiana</t>
  </si>
  <si>
    <t>6156770671230303</t>
  </si>
  <si>
    <t>hawwin@ittelkom-sby.ac.id</t>
  </si>
  <si>
    <t>Jl.Mandala No.414, Semambung, RT.16 RW.04, Gedangan, Sidoarjo</t>
  </si>
  <si>
    <t>Yupit Sudianto</t>
  </si>
  <si>
    <t>9153764665130213</t>
  </si>
  <si>
    <t>yupit@ittelkom-sby.ac.id</t>
  </si>
  <si>
    <t>Klampis Aji 2/4 Surabaya</t>
  </si>
  <si>
    <t>Noerma Pudji Istyanto</t>
  </si>
  <si>
    <t>8857768669130442</t>
  </si>
  <si>
    <t>noermapudjiistyanto@ittelkom-sby.ac.id</t>
  </si>
  <si>
    <t>Jalan Pintu Gerbang, Pamekasan</t>
  </si>
  <si>
    <t>Rokhmatul Insani</t>
  </si>
  <si>
    <t>5936767668230352</t>
  </si>
  <si>
    <t>insani@ittelkom-sby.ac.id</t>
  </si>
  <si>
    <t>Jl. Pandan 16, Mojokerto</t>
  </si>
  <si>
    <t>Agus Sulistya</t>
  </si>
  <si>
    <t>4150753654130133</t>
  </si>
  <si>
    <t>S.T., M.Sc., Ph.D</t>
  </si>
  <si>
    <t>sulistya@ittelkom-sby.ac.id</t>
  </si>
  <si>
    <t>Jl. Rungkut Barata III/6, Rungkut Menanggal, Gunung Anyar, Surabaya</t>
  </si>
  <si>
    <t>Muhamad Nasrullah</t>
  </si>
  <si>
    <t>3841768669130332</t>
  </si>
  <si>
    <t>emnasrul@ittelkom-sby.ac.id</t>
  </si>
  <si>
    <t>Dusun Kemuning RT. 03 RW. 05 Desa Menunggal Kecamatan Kedamean Kabupaten Gresik</t>
  </si>
  <si>
    <t>Aris Kusumawati</t>
  </si>
  <si>
    <t>6152767668230373</t>
  </si>
  <si>
    <t>arisk@ittelkom-sby.ac.id</t>
  </si>
  <si>
    <t>Jl. Sunan Giri Gg. Beringin Jaya No 11, Lamongan</t>
  </si>
  <si>
    <t>Mochamad Nizar Palefi Ma'ady</t>
  </si>
  <si>
    <t>7440769670130263</t>
  </si>
  <si>
    <t>S.Kom., M.Kom., M.IM.</t>
  </si>
  <si>
    <t>nizar@ittelkom-sby.ac.id</t>
  </si>
  <si>
    <t>Jl. Taman Mulyosari Utara No. 21, Surabaya</t>
  </si>
  <si>
    <t>Purnama Anaking</t>
  </si>
  <si>
    <t>0256765666130223</t>
  </si>
  <si>
    <t>purnama.anaking@ittelkom-sby.ac.id</t>
  </si>
  <si>
    <t>Jl. Semampir Tengah 9 / 5D Surabaya</t>
  </si>
  <si>
    <t>Raulia Riski</t>
  </si>
  <si>
    <t>1351772673230253</t>
  </si>
  <si>
    <t>S.Kom., M.Kom., M.M.S.</t>
  </si>
  <si>
    <t>rauliariski@ittelkom-sby.ac.id</t>
  </si>
  <si>
    <t>Jl. Gatot Subroto, Mautapaga, Ende Timur, Ende</t>
  </si>
  <si>
    <t>Adzanil Rachmadhi Putra</t>
  </si>
  <si>
    <t>5142772673130293</t>
  </si>
  <si>
    <t>adzanilrachmadhip@ittelkom-sby.ac.id</t>
  </si>
  <si>
    <t>Jl Candi Mendut Selatan 20, Lowokwaru, Malang</t>
  </si>
  <si>
    <t>Affifiana Prisyanti</t>
  </si>
  <si>
    <t>1139771672230283</t>
  </si>
  <si>
    <t>prisyantiaffifiana@ittelkom-sby.ac.id</t>
  </si>
  <si>
    <t>Jl. MT Haryono No 123 B, Ponorogo</t>
  </si>
  <si>
    <t>Alifiansyah Arrizqy Hidayat</t>
  </si>
  <si>
    <t>4861774675130202</t>
  </si>
  <si>
    <t>hidayatalifiansyah@ittelkom-sby.ac.id</t>
  </si>
  <si>
    <t>Jemur Andayani XIII no. 3, Kel. Wonocolo, Kec. Jemur Wonosari, Kota Surabaya</t>
  </si>
  <si>
    <t>Anisa Dzulkarnain</t>
  </si>
  <si>
    <t>8256773674230223</t>
  </si>
  <si>
    <t>anisadz@ittelkom-sby.ac.id</t>
  </si>
  <si>
    <t>Dusun Gilin, Tlanakan, Pamekasan</t>
  </si>
  <si>
    <t>Anita Hakim Nasution</t>
  </si>
  <si>
    <t>8446768669230222</t>
  </si>
  <si>
    <t>anitahakimnst@ittelkom-sby.ac.id</t>
  </si>
  <si>
    <t>Baratajaya 11/3, Gubeng, Surabaya</t>
  </si>
  <si>
    <t>Arip Ramadan</t>
  </si>
  <si>
    <t>9644771672130302</t>
  </si>
  <si>
    <t>S.Si., M.Stat.</t>
  </si>
  <si>
    <t>aripramadan@ittelkom-sby.ac.id</t>
  </si>
  <si>
    <t>Dusun Pangrumasan, Rancah, Ciamis</t>
  </si>
  <si>
    <t>Rosyid Abdillah</t>
  </si>
  <si>
    <t>6447770671130292</t>
  </si>
  <si>
    <t>S.Si., M.Kom.</t>
  </si>
  <si>
    <t>rosyidabdillah@ittelkom-sby.ac.id</t>
  </si>
  <si>
    <t>Babatan, Wiyung, Surabaya</t>
  </si>
  <si>
    <t>Tita Ayu Rospricilia</t>
  </si>
  <si>
    <t>5734776677230092</t>
  </si>
  <si>
    <t>titaayu@ittelkom-sby.ac.id</t>
  </si>
  <si>
    <t>Jl. Kenanga, Plosoklaten, Kediri</t>
  </si>
  <si>
    <t>Berlian Rahmy Lidiawaty</t>
  </si>
  <si>
    <t>1342772673230433</t>
  </si>
  <si>
    <t>S.ST., M.MT.</t>
  </si>
  <si>
    <t>berlianerel@ittelkom-sby.ac.id</t>
  </si>
  <si>
    <t>Apartemen Puncak Kertajaya Tower A0715 Jl. Kertajaya Indah, Surabaya</t>
  </si>
  <si>
    <t>Ully Asfari</t>
  </si>
  <si>
    <t>5535768669230273</t>
  </si>
  <si>
    <t>ully.asfari@ittelkom-sby.ac.id</t>
  </si>
  <si>
    <t>Jl. Babatan Pilang XI/1, Surabaya</t>
  </si>
  <si>
    <t>Muhammad Ilham Alhari</t>
  </si>
  <si>
    <t>5054777678130063</t>
  </si>
  <si>
    <t>milhamalhari@ittelkom-sby.ac.id</t>
  </si>
  <si>
    <t>Sumberagung, Mondokan, Sragen, 57271</t>
  </si>
  <si>
    <t>Anifatul Faricha</t>
  </si>
  <si>
    <t>Teknik Elektro</t>
  </si>
  <si>
    <t>0936770671230312</t>
  </si>
  <si>
    <t>faricha@ittelkom-sby.ac.id</t>
  </si>
  <si>
    <t>Sekaran RT/RW:005/001, Kec. Sekaran, Lamongan</t>
  </si>
  <si>
    <t>Dimas Adiputra</t>
  </si>
  <si>
    <t>2857771672130342</t>
  </si>
  <si>
    <t>B.Sc., M.Phil., Ph.D.</t>
  </si>
  <si>
    <t>adimas@ittelkom-sby.ac.id</t>
  </si>
  <si>
    <t>Jl. KH. Hasyim No. 35 RT009/RW002 Siwalanpanji Buduran Sidoarjo</t>
  </si>
  <si>
    <t>Dwi Edi Setyawan</t>
  </si>
  <si>
    <t>7945765666130292</t>
  </si>
  <si>
    <t>ediset@ittelkom-sby.ac.id</t>
  </si>
  <si>
    <t>Jl Raya Sedati Gede No 5, Sidoarjo</t>
  </si>
  <si>
    <t>Isa Hafidz</t>
  </si>
  <si>
    <t>5860770671130292</t>
  </si>
  <si>
    <t>isa@ittelkom-sby.ac.id</t>
  </si>
  <si>
    <t>Jl. Tambak Deres 6/2, Surabaya</t>
  </si>
  <si>
    <t>Lora Khaula Amifia</t>
  </si>
  <si>
    <t>4938770671230412</t>
  </si>
  <si>
    <t>S.Pd., M.Eng.</t>
  </si>
  <si>
    <t>loraamifia@ittelkom-sby.ac.id</t>
  </si>
  <si>
    <t>Jl. Tunggul Sari No.09 Daleman, Japan, Sooko, Mojokerto</t>
  </si>
  <si>
    <t>Moch. Iskandar Riansyah</t>
  </si>
  <si>
    <t>2953766667130262</t>
  </si>
  <si>
    <t>S.ST., M.T.</t>
  </si>
  <si>
    <t>iskandar@ittelkom-sby.ac.id</t>
  </si>
  <si>
    <t>Jl. Manggar Gg. Jambu 17 Lingk. Gebang Poreng, Jember</t>
  </si>
  <si>
    <t>Rifki Dwi Putranto</t>
  </si>
  <si>
    <t>0959773674130252</t>
  </si>
  <si>
    <t>rifkidwip@ittelkom-sby.ac.id</t>
  </si>
  <si>
    <t>Jl. Tehnologi No. 150 Perum. UNS, Jati, Jaten, Karanganyar</t>
  </si>
  <si>
    <t>Chaironi Latif</t>
  </si>
  <si>
    <t>8337768669130383</t>
  </si>
  <si>
    <t>S.Si.</t>
  </si>
  <si>
    <t>chaironi@ittelkom-sby.ac.id</t>
  </si>
  <si>
    <t>Jl. Cendrawasih Bunderan 97, Waru, Sidoarjo</t>
  </si>
  <si>
    <t>Tri Arief Sardjono</t>
  </si>
  <si>
    <t xml:space="preserve">Prof. Dr. </t>
  </si>
  <si>
    <t>triarief@ittelkom-sby.ac.id</t>
  </si>
  <si>
    <t>Ayu Endah Wahyuni</t>
  </si>
  <si>
    <t>Teknik Industri</t>
  </si>
  <si>
    <t>9033766667230323</t>
  </si>
  <si>
    <t>ayu.endah@ittelkom-sby.ac.id</t>
  </si>
  <si>
    <t>Jl. Guru Mughni, Kuningan Timur, Jakarta Selatan</t>
  </si>
  <si>
    <t>Benazir Imam Arif Muttaqin</t>
  </si>
  <si>
    <t>4435771672130323</t>
  </si>
  <si>
    <t>benazir.imam.a.m@ittelkom-sby.ac.id</t>
  </si>
  <si>
    <t>Karanglo 01/02, Wironanggan, Gatak, Sukoharjo, 57557, Jawa Tengah</t>
  </si>
  <si>
    <t>Rahaditya Dimas Prihadianto</t>
  </si>
  <si>
    <t>4857770671130462</t>
  </si>
  <si>
    <t>dimas.prihadianto@ittelkom-sby.ac.id</t>
  </si>
  <si>
    <t>Jl. Langsep Raya blok B1, Jember</t>
  </si>
  <si>
    <t>Rizqa Amelia Zunaidi</t>
  </si>
  <si>
    <t>5943771672230272</t>
  </si>
  <si>
    <t>rizqazunaidi@ittelkom-sby.ac.id</t>
  </si>
  <si>
    <t>Perumahan Magersari Permai BK-29 RT 31 RW 07 Sidoarjo, Jawa Timur</t>
  </si>
  <si>
    <t>Silvi Istiqomah</t>
  </si>
  <si>
    <t>8455774675230163</t>
  </si>
  <si>
    <t>silviistiqomah@ittelkom-sby.ac.id</t>
  </si>
  <si>
    <t>Jl. Lempongsari Gg. Bawal No. 15, Jongkang, Sariharjo, Ngaglik, Sleman</t>
  </si>
  <si>
    <t>Perdana Suteja Putra</t>
  </si>
  <si>
    <t>perdanasuteja@ittelkom-sby.ac.id</t>
  </si>
  <si>
    <t>Dk. Ngemplak, Sukorejo, Wedi, Klaten</t>
  </si>
  <si>
    <t>Huki Chandra</t>
  </si>
  <si>
    <t>4051775676130153</t>
  </si>
  <si>
    <t>S.T., M.Sc.</t>
  </si>
  <si>
    <t>hukichandra@ittelkom-sby.ac.id</t>
  </si>
  <si>
    <t>Jl. Riau Ujung GG Karya Makmur No 01, Payung Sekaki, Pekanbaru</t>
  </si>
  <si>
    <t>Aufar Fikri Dimyati</t>
  </si>
  <si>
    <t>0250775676130133</t>
  </si>
  <si>
    <t>aufar.dimyati@ittelkom-sby.ac.id</t>
  </si>
  <si>
    <t>Jl. Jawa II Gg. 7, Sumbersari, Jember, 68121</t>
  </si>
  <si>
    <t>Paramaditya Arismawati</t>
  </si>
  <si>
    <t>6438773674230212</t>
  </si>
  <si>
    <t>dityaars@ittelkom-sby.ac.id</t>
  </si>
  <si>
    <t>Jl. Legenda Wisata Zona Vasco da Gama P1/12</t>
  </si>
  <si>
    <t>Bambang Lelono Widjiantoro</t>
  </si>
  <si>
    <t>bambang@ittelkom-sby.ac.id</t>
  </si>
  <si>
    <t>Wahyu Andy Prastyabudi</t>
  </si>
  <si>
    <t>6536765666130262</t>
  </si>
  <si>
    <t>wahyu.andy@ittelkom-sby.ac.id</t>
  </si>
  <si>
    <t>Mulyorejo Utara 203-B, Surabaya</t>
  </si>
  <si>
    <t>Ardiansyah Al Farouq</t>
  </si>
  <si>
    <t>Teknik Komputer</t>
  </si>
  <si>
    <t>0546771672130272</t>
  </si>
  <si>
    <t>alfarouq@ittelkom-sby.ac.id</t>
  </si>
  <si>
    <t>teluk nibung barat 4/12 perak utara surabaya</t>
  </si>
  <si>
    <t>Mohamad Yani</t>
  </si>
  <si>
    <t>0444769670130282</t>
  </si>
  <si>
    <t>S.ST., M.Phil., Ph.D.</t>
  </si>
  <si>
    <t>mai@ittelkom-sby.ac.id</t>
  </si>
  <si>
    <t>MEDOKAN AYU MA-I/J-35, SURABAYA</t>
  </si>
  <si>
    <t>Pangestu Widodo</t>
  </si>
  <si>
    <t>6853761662130212</t>
  </si>
  <si>
    <t>S.T., M.Kom.</t>
  </si>
  <si>
    <t>pangestu@ittelkom-sby.ac.id</t>
  </si>
  <si>
    <t>Jl. Tumapel 1 RT/RW 007/009 Kel. Kauman Kec. Klojen Kota Malang</t>
  </si>
  <si>
    <t>Susijanto Tri Rasmana</t>
  </si>
  <si>
    <t>4259751652130093</t>
  </si>
  <si>
    <t>S.Kom., M.T.</t>
  </si>
  <si>
    <t>susijanto@ittelkom-sby.ac.id</t>
  </si>
  <si>
    <t>Jl. Merak III A/Q45, Sidoarjo</t>
  </si>
  <si>
    <t>Aulia Rahma Annisa</t>
  </si>
  <si>
    <t>aulia.ra@ittelkom-sby.ac.id</t>
  </si>
  <si>
    <t>Dsn. Gareman, Babadan, Patianrowo, Nganjuk</t>
  </si>
  <si>
    <t>Nanda Iryani</t>
  </si>
  <si>
    <t>nandandi@ittelkom-sby.ac.id</t>
  </si>
  <si>
    <t>Peum Sumber Taman Indah Blok OO-8, Wonoasih, Probolinggo</t>
  </si>
  <si>
    <t>Ubaidillah Umar</t>
  </si>
  <si>
    <t>6759766667131102</t>
  </si>
  <si>
    <t>ubaidillahumar@ittelkom-sby.ac.id</t>
  </si>
  <si>
    <t>Tambak Bening 5/6, Tambak Rejo, Simokerto, Surabaya</t>
  </si>
  <si>
    <t>Eka Sari Oktarina</t>
  </si>
  <si>
    <t>1336769670230333</t>
  </si>
  <si>
    <t>S.Kom., M.Eng.</t>
  </si>
  <si>
    <t>ekasari@ittelkom-sby.ac.id</t>
  </si>
  <si>
    <t>Perum Purimas Regency B2/16, Surabaya</t>
  </si>
  <si>
    <t>Abduh Sayid Albana</t>
  </si>
  <si>
    <t>Teknik Logistik</t>
  </si>
  <si>
    <t>9634768669130272</t>
  </si>
  <si>
    <t>S.T., M.T., M.Sc., Ph.D.</t>
  </si>
  <si>
    <t>abduh.albana@ittelkom-sby.ac.id</t>
  </si>
  <si>
    <t>Perum. Kwayangan Jl. Amarta IV, Rt.04 Rw.03, Ds. Kwayangan, Kec. Kedungwuni, Kab. Pekalongan, Jawa Tengah - 51173</t>
  </si>
  <si>
    <t>Erly Ekayanti Rosyida</t>
  </si>
  <si>
    <t>4634760661230252</t>
  </si>
  <si>
    <t>erlyekayantir@gmail.com</t>
  </si>
  <si>
    <t>WONOKAYUN RT 009 RW 005, KEL. WONOKARANG, KEC. BALONGBENDO, KAB. SIDOARJO</t>
  </si>
  <si>
    <t>Ahmad Faisal Dahlan</t>
  </si>
  <si>
    <t>hlia</t>
  </si>
  <si>
    <t>faisal@ittelkom-sby.ac.id</t>
  </si>
  <si>
    <t>Jl. Bendungan Sutami No. 7, Sumbersari, Lowokwaru, Malang</t>
  </si>
  <si>
    <t>Desita Nur Rachmaniar</t>
  </si>
  <si>
    <t>5539771672230282</t>
  </si>
  <si>
    <t>desitanurr@ittelkom-sby.ac.id</t>
  </si>
  <si>
    <t>Jl. Jomegatan, Ngestiharjo, Kasihan, Bantul</t>
  </si>
  <si>
    <t>Granita Hajar</t>
  </si>
  <si>
    <t>8055773674230213</t>
  </si>
  <si>
    <t>granita@ittelkom-sby.ac.id</t>
  </si>
  <si>
    <t>Jl. Jetis Kulon 1-A/21, Wonokromo, Surabaya</t>
  </si>
  <si>
    <t>Nisa Isrofi</t>
  </si>
  <si>
    <t>5844771672230322</t>
  </si>
  <si>
    <t>nisa.isrofi@ittelkom-sby.ac.id</t>
  </si>
  <si>
    <t>Jl. Pemenang IV Gang Masjid 1, Sukorejo, Ngasem, Kediri</t>
  </si>
  <si>
    <t>Nicko Nur Rakhmaddian</t>
  </si>
  <si>
    <t>Tri Agus Djoko Kuntjoro</t>
  </si>
  <si>
    <t>Teknik Telekomunikasi</t>
  </si>
  <si>
    <t>0460740641130052</t>
  </si>
  <si>
    <t>M.T.</t>
  </si>
  <si>
    <t>triagus@ittelkom-sby.ac.id</t>
  </si>
  <si>
    <t>Jl. Danau sentani Utara H2A No. 31, Sawojajar, Malang</t>
  </si>
  <si>
    <t>Nilla Rachmaningrum</t>
  </si>
  <si>
    <t>3940756657230162</t>
  </si>
  <si>
    <t>nilla.rachmaningrum@ittelkom-sby.ac.id</t>
  </si>
  <si>
    <t>Jl. Adhyaksa Raya No. 27, Bandung</t>
  </si>
  <si>
    <t>Hamzah Ulinuha Mustakim</t>
  </si>
  <si>
    <t>3859768669130292</t>
  </si>
  <si>
    <t>hamzah@ittelkom-sby.ac.id</t>
  </si>
  <si>
    <t>Jl. Sidodadi, Kepanjen, Malang</t>
  </si>
  <si>
    <t>Mohammad Yanuar Hariyawan</t>
  </si>
  <si>
    <t>4433754655131282</t>
  </si>
  <si>
    <t>yanuar@ittelkom-sby.ac.id</t>
  </si>
  <si>
    <t>Perumahan Pegawai Politeknik Caltex Riau B-16, Rumbai, Pekanbaru</t>
  </si>
  <si>
    <t>Muhsin</t>
  </si>
  <si>
    <t>9735772673130262</t>
  </si>
  <si>
    <t>S.T., M.T., Ph. D.</t>
  </si>
  <si>
    <t>muhsin@ittelkom-sby.ac.id</t>
  </si>
  <si>
    <t>Tanon Lor, Colomadu, Karanganyar</t>
  </si>
  <si>
    <t>Risdilah Mimma Untsa</t>
  </si>
  <si>
    <t>7452769670230282</t>
  </si>
  <si>
    <t>risdilah.untsa@ittelkom-sby.ac.id</t>
  </si>
  <si>
    <t>Jl. Menur Pumpungan, Sukolilo, Surabaya</t>
  </si>
  <si>
    <t>Fannush Shofi Akbar</t>
  </si>
  <si>
    <t>0454769670130263</t>
  </si>
  <si>
    <t>S.ST.</t>
  </si>
  <si>
    <t>fannush.akbar@ittelkom-sby.ac.id</t>
  </si>
  <si>
    <t>Bendulmersi Besar Selatan 85, Surabaya</t>
  </si>
  <si>
    <t>Arrizky Ayu Faradila Purnama</t>
  </si>
  <si>
    <t>9546774675230212</t>
  </si>
  <si>
    <t>arrzkyafp@ittelkom-sby.ac.id</t>
  </si>
  <si>
    <t>Jl. Soekarno Hatta, RT/RW 005/002, Gg. Rambutan, Kelutan, Trenggalek</t>
  </si>
  <si>
    <t>Rifa Atul Izza Asyari</t>
  </si>
  <si>
    <t>-</t>
  </si>
  <si>
    <t>rifaasyari@ittelkom-sby.ac.id</t>
  </si>
  <si>
    <t>Griya Sampurna Sejahtera D4 No 2, Malang</t>
  </si>
  <si>
    <t>Hendy Briantoro</t>
  </si>
  <si>
    <t>5062768669131063</t>
  </si>
  <si>
    <t>S.ST., M.T., Ph.D.</t>
  </si>
  <si>
    <t>hendy@ittelkom-sby.ac.id</t>
  </si>
  <si>
    <t>Jl. Kali Asri 394B, Prigen Timur, Pasuruan</t>
  </si>
  <si>
    <t>Walid Maulana Hadiansyah</t>
  </si>
  <si>
    <t>0345767668130303</t>
  </si>
  <si>
    <t>walid@ittelkom-sby.ac.id</t>
  </si>
  <si>
    <t>Kalipadang-Benjeng, RT:03/RW:02</t>
  </si>
  <si>
    <t>Bernadus Anggo Seno Aji</t>
  </si>
  <si>
    <t>Teknologi Informasi</t>
  </si>
  <si>
    <t>6636770671130272</t>
  </si>
  <si>
    <t>bernadus.seno@ittelkom-sby.ac.id</t>
  </si>
  <si>
    <t>Desa Kapung Rt 001 Rw 002, Kecamatan Tanggungharjo, Grobogan</t>
  </si>
  <si>
    <t>Philip Tobianto Daely</t>
  </si>
  <si>
    <t>5960772673130242</t>
  </si>
  <si>
    <t>S.T., M.Eng., Ph.D.</t>
  </si>
  <si>
    <t>philip.daely@ittelkom-sby.ac.id</t>
  </si>
  <si>
    <t>Jl. Teratai no. 20, Yogyakarta, DIY</t>
  </si>
  <si>
    <t>Arliyanti Nurdin</t>
  </si>
  <si>
    <t>arliyanti.n@ittelkom-sby.ac.id</t>
  </si>
  <si>
    <t>Jl. STO IV Blok E No.50 Telkomas, Makasar</t>
  </si>
  <si>
    <t>Farah Zakiyah Rahmanti</t>
  </si>
  <si>
    <t>9547765666230283</t>
  </si>
  <si>
    <t>farah.zakiyah@ittelkom-sby.ac.id</t>
  </si>
  <si>
    <t>Jl. Kutisari Indah Selatan 6/9, Surabaya</t>
  </si>
  <si>
    <t>Helmy Widyantara</t>
  </si>
  <si>
    <t>9449757658130112</t>
  </si>
  <si>
    <t>helmywid@ittelkom-sby.ac.id</t>
  </si>
  <si>
    <t>Semampir Tengah IIA/26 Surabaya</t>
  </si>
  <si>
    <t>Khodijah Amiroh</t>
  </si>
  <si>
    <t>6940770671230302</t>
  </si>
  <si>
    <t>dijaamirah@ittelkom-sby.ac.id</t>
  </si>
  <si>
    <t>Jl Bungur No 113, Jember</t>
  </si>
  <si>
    <t>Oktavia Ayu Permata</t>
  </si>
  <si>
    <t>3337768669230413</t>
  </si>
  <si>
    <t>oktapermata@ittelkom-sby.ac.id</t>
  </si>
  <si>
    <t>Dusun Geneng Desa Maron RT 03 RW 03 Banyakan Kediri</t>
  </si>
  <si>
    <t>Muhammad Adib Kamali</t>
  </si>
  <si>
    <t>7545775676130142</t>
  </si>
  <si>
    <t>S.T., M.Eng.</t>
  </si>
  <si>
    <t>adibkamali@ittelkom-sby.ac.id</t>
  </si>
  <si>
    <t>Dsn. Curahrejo Wedian, Cangkring, Jenggawah, Jember</t>
  </si>
  <si>
    <t>Fauzan Nusyura</t>
  </si>
  <si>
    <t>fauzann@ittelkom-sby.ac.id</t>
  </si>
  <si>
    <t>Jl. Danau Matana V F2-K 12, Sawojajar, Kedungkandang, Malang</t>
  </si>
  <si>
    <t>Mustafa Kamal</t>
  </si>
  <si>
    <t>7354760661130183</t>
  </si>
  <si>
    <t>mustafakamal@ittelkom-sby.ac.id</t>
  </si>
  <si>
    <t>Wiguna Tengah III/16, Surabaya 60294</t>
  </si>
  <si>
    <t>Yohanes Setiawan</t>
  </si>
  <si>
    <t>0937773674130282</t>
  </si>
  <si>
    <t>yohanes@ittelkom-sby.ac.id</t>
  </si>
  <si>
    <t>Jl. Cipta Menanggal 06/08, Gayungan, Surabaya</t>
  </si>
  <si>
    <t>Mastuty Ayu Ningtyas</t>
  </si>
  <si>
    <t>2943775676230162</t>
  </si>
  <si>
    <t>mastutyayu@ittelkom-sby.ac.id</t>
  </si>
  <si>
    <t>Jl. Raden Wijaya, Ds. Mungkung, Kec. Rejoso, RT/RW 002/004, Nganjuk</t>
  </si>
  <si>
    <t>Reza Dwi Rahman</t>
  </si>
  <si>
    <t>TPA</t>
  </si>
  <si>
    <t>Logistik dan Manajemen Aset</t>
  </si>
  <si>
    <t>S.T.</t>
  </si>
  <si>
    <t>DUKUH KALI KENDAL RT: 005 / RW: 002</t>
  </si>
  <si>
    <t>Nadira Khairunnisa</t>
  </si>
  <si>
    <t>Pengembangan Karier dan Konseling</t>
  </si>
  <si>
    <t>S.Psi.,M.Psi., Psikolog</t>
  </si>
  <si>
    <t>Permata Jingga Blok Pinang No.11</t>
  </si>
  <si>
    <t>Dewi Zulfani</t>
  </si>
  <si>
    <t>Keuangan</t>
  </si>
  <si>
    <t>S.E.</t>
  </si>
  <si>
    <t>Dusun Purwokerto RT/RW 002/003 Kec. Ngadiluwih, Kediri</t>
  </si>
  <si>
    <t>Atika Mardhanila Anam</t>
  </si>
  <si>
    <t>Akuntansi dan Layanan</t>
  </si>
  <si>
    <t>Jl. Kapi Janula I 15B/20, RT 007, RW 014, Ds. Sekarpuro, Kec. Pakis, Kab. Malang</t>
  </si>
  <si>
    <t>Merry Dwi Haryani</t>
  </si>
  <si>
    <t>Sekretariat</t>
  </si>
  <si>
    <t>S.ST</t>
  </si>
  <si>
    <t>NGINDEN GG-6H/38 SURABAYA</t>
  </si>
  <si>
    <t>Resti Mardiah Kurniasari</t>
  </si>
  <si>
    <t>Pelayanan SDM</t>
  </si>
  <si>
    <t>S.Psi</t>
  </si>
  <si>
    <t>Jl. Kebonsari Tengah Gang Murni No 8 Surabaya</t>
  </si>
  <si>
    <t>Nurina Hendri Wardina</t>
  </si>
  <si>
    <t>Administrasi Akademik</t>
  </si>
  <si>
    <t>Villa Nusa Indah 1, Blok M4/6, Kelurahan Bojong Kulur, Kecamatan Gunung Putri, Kabupaten Bogor, Jawa Barat</t>
  </si>
  <si>
    <t>Selfina Anggraini</t>
  </si>
  <si>
    <t>S.S.T.</t>
  </si>
  <si>
    <t>Jl. Raya Lawu No.03, RT 04 / RW 02, Kel. Wates, Kec. Magersari, Kota Mojokerto</t>
  </si>
  <si>
    <t>Ongky Gesha Prasetya</t>
  </si>
  <si>
    <t>Laboratorium</t>
  </si>
  <si>
    <t>A.Md</t>
  </si>
  <si>
    <t>Dsn. Sekaran RT.02 RW.03 Kel. Sambilawang Kec. Dlanggu Kab. Mojokerto</t>
  </si>
  <si>
    <t>Fanda Lyta Suzanayanti</t>
  </si>
  <si>
    <t>01760006</t>
  </si>
  <si>
    <t>Jl. Angsana Dalam No. 24, Kebon Jeruk, Jakarta Barat</t>
  </si>
  <si>
    <t>Zilda Riyandita Putri</t>
  </si>
  <si>
    <t>Sekretariat dan Humas</t>
  </si>
  <si>
    <t>S.Sos.</t>
  </si>
  <si>
    <t>DUSUN TUNDUNGAN RT002 RW002 DESA SIDOMOJO KEC. KRIAN KAB. SIDOARJO</t>
  </si>
  <si>
    <t>Frisdianti Narulita Kusuma Wardhani</t>
  </si>
  <si>
    <t>S.Ak.</t>
  </si>
  <si>
    <t>PULO WONOKROMO WETAN 4/7-A SURABAYA</t>
  </si>
  <si>
    <t>Laily Hani Fatikha Sari</t>
  </si>
  <si>
    <t>Pengembangan SDM</t>
  </si>
  <si>
    <t>Jl. Simo Gunung III A No. 10, Banyu Urip, Sawahan, Surabaya</t>
  </si>
  <si>
    <t>Firman Hidayat Choirul Fattah</t>
  </si>
  <si>
    <t>Aplikasi dan Layanan IT</t>
  </si>
  <si>
    <t>S.Kom.</t>
  </si>
  <si>
    <t>Demangan</t>
  </si>
  <si>
    <t>Viodella Yuscha Viranazya</t>
  </si>
  <si>
    <t>Aktivitas Kemahasiswaan</t>
  </si>
  <si>
    <t>S.M.</t>
  </si>
  <si>
    <t>Manukan Kulon I No. 30</t>
  </si>
  <si>
    <t>Yordy Wisnu Kusuma</t>
  </si>
  <si>
    <t>Manajemen Aset</t>
  </si>
  <si>
    <t>Jalan Ciliwung No 18E</t>
  </si>
  <si>
    <t>Achmad Faizal Rahadiansyah</t>
  </si>
  <si>
    <t>Logistik</t>
  </si>
  <si>
    <t>Dukuh Pakis 2/125</t>
  </si>
  <si>
    <t>Bhirawa Anoraga</t>
  </si>
  <si>
    <t>Pengembangan Karier</t>
  </si>
  <si>
    <t>S.EI.</t>
  </si>
  <si>
    <t>Bukit Cimanggu City Blok X6 No. 3</t>
  </si>
  <si>
    <t>Vindy Andriani Miranti</t>
  </si>
  <si>
    <t>Pusat Bahasa dan Perpustakaan</t>
  </si>
  <si>
    <t>S.IIP.</t>
  </si>
  <si>
    <t>Jl kesehatan Rt 1/Rw 8 Barurambat Kota - pamekasan</t>
  </si>
  <si>
    <t>Faruq Heldian</t>
  </si>
  <si>
    <t>Jl. Selat Sunda V D5-36, Lesanpuro, Kedungkandang</t>
  </si>
  <si>
    <t>Aulia 'Alin Yulda</t>
  </si>
  <si>
    <t>Klampis Semalang 3/8</t>
  </si>
  <si>
    <t>Intan Diah Pratiwi</t>
  </si>
  <si>
    <t>Marketing</t>
  </si>
  <si>
    <t>Jl. Kinibalu No. 5, Singotrunan, Banyuwangi</t>
  </si>
  <si>
    <t>Rizky Firmansyah</t>
  </si>
  <si>
    <t>Humas</t>
  </si>
  <si>
    <t>A.Md.</t>
  </si>
  <si>
    <t>Jl. Setro 5/98, Gading, Tambak Sari, Surabaya</t>
  </si>
  <si>
    <t>Cahya Restu Fujiyama</t>
  </si>
  <si>
    <t>S.I.Kom.</t>
  </si>
  <si>
    <t>Jl. Imam Bonjol 1, Ardimulyo, Singosari, Malang</t>
  </si>
  <si>
    <t>Prilia Putri Pertiwi</t>
  </si>
  <si>
    <t>Sekretaris Pimpinan</t>
  </si>
  <si>
    <t>Jl. Cengger Ayam Dalam I/42, Tulusrejo, Lowokwaru, Malang</t>
  </si>
  <si>
    <t>Defly Nur Amalia Ningrum</t>
  </si>
  <si>
    <t>Jagir sidoresmo VI no 90</t>
  </si>
  <si>
    <t>Rizal Pambayun Haryono</t>
  </si>
  <si>
    <t>Legal dan Protokoler</t>
  </si>
  <si>
    <t>S.H.</t>
  </si>
  <si>
    <t>Siwalankerto Timur I No. 149</t>
  </si>
  <si>
    <t>Rafika Rachmatamia Arief</t>
  </si>
  <si>
    <t>Perum. Taman Surya Agung G2/5, Wage, Taman, Sidoarjo</t>
  </si>
  <si>
    <t>Rahadian Agus Setyawan</t>
  </si>
  <si>
    <t>JL, SADEWO H-72 PERUM JAPAN RAYA MOJOKERTO</t>
  </si>
  <si>
    <t>Alby Segmansyah</t>
  </si>
  <si>
    <t>Perencanaan &amp; Performansi</t>
  </si>
  <si>
    <t>Boteng</t>
  </si>
  <si>
    <t>Ishlahul Ummah</t>
  </si>
  <si>
    <t>Jl. Dadapan, Solokuro, Lamongan</t>
  </si>
  <si>
    <t>Erna Yuli Setyorini</t>
  </si>
  <si>
    <t>S.Pd.</t>
  </si>
  <si>
    <t>Jl. Mori, Trucuk, Bojonegoro</t>
  </si>
  <si>
    <t>Safira Rohmatul Laily</t>
  </si>
  <si>
    <t>Layanan IT</t>
  </si>
  <si>
    <t>Perum. Kalimo'ok Blok L/8, Kalimo'ok, Kalianget, Sumenep</t>
  </si>
  <si>
    <t>Rizal Jihadi</t>
  </si>
  <si>
    <t>Pengembangan Akademik</t>
  </si>
  <si>
    <t>Jl. Dusun Krajan I, Alasbuluh, Wongsorejo, Banyuwangi</t>
  </si>
  <si>
    <t>Amalina Tri Setya Berliana</t>
  </si>
  <si>
    <t>Jl. Kutisari Selatan 15/43, Kutisari, Tenggilis Mejoyo, Surabaya</t>
  </si>
  <si>
    <t>Muhammad Dwi Hariyanto</t>
  </si>
  <si>
    <t>Penelitian Dan Publikasi</t>
  </si>
  <si>
    <t>Jl. Dusun Krajan Timur, Labruk Kidul, Sumbersuko, Lumajang</t>
  </si>
  <si>
    <t>Teguh Sunyoto</t>
  </si>
  <si>
    <t>Jl. Magersari Permai Q-06, Magersari, Sidoarjo</t>
  </si>
  <si>
    <t>Ainnaya Nur Akasah</t>
  </si>
  <si>
    <t>Design Grafis dan Konten Digital</t>
  </si>
  <si>
    <t>13190002 / 82400010</t>
  </si>
  <si>
    <t>Jl. Punden, Jatikerto, Kromengan, Malang</t>
  </si>
  <si>
    <t>Muplihatul Aliyah</t>
  </si>
  <si>
    <t>Aktif-NoCount</t>
  </si>
  <si>
    <t>Koperasi</t>
  </si>
  <si>
    <t>Jl. Gayungan 7 No. 24, Gayungan, Surabaya</t>
  </si>
  <si>
    <t>Wisnu Budi Wicaksono</t>
  </si>
  <si>
    <t>Dsn. Sukopur, Kwaron, Diwek, Jombang</t>
  </si>
  <si>
    <t>Galuh Bagus Prasetyo</t>
  </si>
  <si>
    <t>13218218 / 82482015</t>
  </si>
  <si>
    <t>A.P.</t>
  </si>
  <si>
    <t>Jl. Kalibutuh 281, Surabaya</t>
  </si>
  <si>
    <t>Arditya Miftah Ramadhan</t>
  </si>
  <si>
    <t>Perum. Pulo Asri Sejahtera I 05</t>
  </si>
  <si>
    <t>Athika Hafshah</t>
  </si>
  <si>
    <t>A.Md. Lib.</t>
  </si>
  <si>
    <t>Berbek III-C</t>
  </si>
  <si>
    <t>Chintya Tribhuana Utami</t>
  </si>
  <si>
    <t>Pengabdian Masyarakat</t>
  </si>
  <si>
    <t>Kapas Madya 4-B/33</t>
  </si>
  <si>
    <t>Cita Tasha Nataniela</t>
  </si>
  <si>
    <t>Anggaran dan Perbendaharaan</t>
  </si>
  <si>
    <t>S.Ak</t>
  </si>
  <si>
    <t>Taman Surya Agung E No. 7</t>
  </si>
  <si>
    <t>Esa Kharisma Putra</t>
  </si>
  <si>
    <t>Dsn Tanggungan</t>
  </si>
  <si>
    <t>Furqon Kurniawan</t>
  </si>
  <si>
    <t>Admisi dan Data</t>
  </si>
  <si>
    <t>S.Ds.</t>
  </si>
  <si>
    <t>Kebonsari Tengah GG. Murni No.8</t>
  </si>
  <si>
    <t>Ian Mahendra Putra</t>
  </si>
  <si>
    <t>Cipta Menanggal 01/06-A.3</t>
  </si>
  <si>
    <t>Mochammad Zulfikar Alfany</t>
  </si>
  <si>
    <t>Konseling</t>
  </si>
  <si>
    <t>Taman Timur 37</t>
  </si>
  <si>
    <t>Nisrina Salsabilah</t>
  </si>
  <si>
    <t>Taman Pondok Legi III / W-11</t>
  </si>
  <si>
    <t>Achmad Alvi Rizqi Mutamam</t>
  </si>
  <si>
    <t>Teknisi Jaringan</t>
  </si>
  <si>
    <t>82402111-8</t>
  </si>
  <si>
    <t>Roomo No. 35</t>
  </si>
  <si>
    <t>Geraldin Dona Caesarina</t>
  </si>
  <si>
    <t>82400112-8</t>
  </si>
  <si>
    <t>S.I.Kom</t>
  </si>
  <si>
    <t>Simo Sidomulyo 5/21</t>
  </si>
  <si>
    <t>Salman</t>
  </si>
  <si>
    <t>82401156-8</t>
  </si>
  <si>
    <t>Ketintang Barat 01</t>
  </si>
  <si>
    <t>Irene Dyah Ayuwati</t>
  </si>
  <si>
    <t>Damayanti Putri Gyodia</t>
  </si>
  <si>
    <t>Amira Kamelia Sa'dya</t>
  </si>
  <si>
    <t>Sesarina Widya Rachmawati</t>
  </si>
  <si>
    <t>Nenny Lisbeth Minarno</t>
  </si>
  <si>
    <t>Fatin Hanifah</t>
  </si>
  <si>
    <t>Emeralda Gustria Sesari</t>
  </si>
  <si>
    <t>Bangun Rizki Awangditama</t>
  </si>
  <si>
    <t>Layanan Aplikasi</t>
  </si>
  <si>
    <t>Jl. P. Tendean GG. Mojopahit Lingk. Tegal Bai, Karangrejo, Sumbersari, Jember</t>
  </si>
  <si>
    <t>Ananda Elsya Jaatsiyah</t>
  </si>
  <si>
    <t>Erika Prafitasari</t>
  </si>
  <si>
    <t>Adnin Diba Purnomo</t>
  </si>
  <si>
    <t>Budi Santoso</t>
  </si>
  <si>
    <t>Alon Jala Tirta Segara</t>
  </si>
  <si>
    <t>Muhammad Farhansyah Mondari</t>
  </si>
  <si>
    <t>Rizqi Ramadhan</t>
  </si>
  <si>
    <t>Rohmah Hidayah</t>
  </si>
  <si>
    <t>⁠Salsabila Putri Indah Sari</t>
  </si>
  <si>
    <t>Nama</t>
  </si>
  <si>
    <t>Program Studi</t>
  </si>
  <si>
    <t>Pendidikan</t>
  </si>
  <si>
    <t>Bidang Ilmu</t>
  </si>
  <si>
    <t>Dr. Mohammad Yanuar Hariyawan, S.T., M.T.</t>
  </si>
  <si>
    <t>S1 Teknik Telekomunikasi</t>
  </si>
  <si>
    <t>S1 Teknik Elektro - Telekomunikasi Multimedia
S2 Teknik Elektro - Telekomunikasi Multimedia
S3 Ilmu Teknik Elektro</t>
  </si>
  <si>
    <t>Electromagnetic Compatibility</t>
  </si>
  <si>
    <t>Dr. Helmy Widyantara, S.Kom, M.Eng.</t>
  </si>
  <si>
    <t>S1 Teknologi Informasi</t>
  </si>
  <si>
    <t>S1 Teknik Komputer
S2 Teknik Elektro
S3 Teknik Elektro</t>
  </si>
  <si>
    <t>Otomasi Sistem</t>
  </si>
  <si>
    <t>PRODI</t>
  </si>
  <si>
    <t>JAFA LLDIKTI</t>
  </si>
  <si>
    <t>TMT JAFA</t>
  </si>
  <si>
    <t xml:space="preserve">MASA JAFA </t>
  </si>
  <si>
    <t>Target</t>
  </si>
  <si>
    <t>L</t>
  </si>
  <si>
    <t>LK</t>
  </si>
  <si>
    <t>ENTRY LEVEL</t>
  </si>
  <si>
    <t xml:space="preserve">KENAIKAN JAFA KE- </t>
  </si>
  <si>
    <t>PROGRESS JAFUNG</t>
  </si>
  <si>
    <t>KUM JAFA TERAKHIR LLDIKTI</t>
  </si>
  <si>
    <t>BIDANG KEILMUAN JAFA TERAKHIR LLDIKTI</t>
  </si>
  <si>
    <t>TMT JAFA TERAKHIR LLDIKTI / TMT DOSEN TETAP</t>
  </si>
  <si>
    <t>MASA JAFA TERAKHIR LLDIKTI (TAHUN)</t>
  </si>
  <si>
    <t>PANGKAT / GOLONGAN TERAKHIR</t>
  </si>
  <si>
    <t xml:space="preserve">TMT PANGKAT </t>
  </si>
  <si>
    <t>MASA KERJA PANGKAT TERAKHIR LLDIKTI</t>
  </si>
  <si>
    <t>POSISI</t>
  </si>
  <si>
    <t>PROFESI</t>
  </si>
  <si>
    <t>Nominasi Serdos</t>
  </si>
  <si>
    <t>Eligible / Progress Serdos</t>
  </si>
  <si>
    <t>SERTIFIKASI DOSEN</t>
  </si>
  <si>
    <t>NOMOR REGISTRASI SERDOS</t>
  </si>
  <si>
    <t>NOMOR SK SERDOS</t>
  </si>
  <si>
    <t xml:space="preserve">TANGGAL SERDOS </t>
  </si>
  <si>
    <t>NIRA</t>
  </si>
  <si>
    <t>NOMOR NIRA</t>
  </si>
  <si>
    <t>NOMOR SK NIRA</t>
  </si>
  <si>
    <t>TANGGAL NIRA</t>
  </si>
  <si>
    <t>PENDIDIKAN TERAKHIR</t>
  </si>
  <si>
    <t>On Progress S3</t>
  </si>
  <si>
    <t>JENIS IZIN STUDI</t>
  </si>
  <si>
    <t>PID</t>
  </si>
  <si>
    <t>PROGRESS PENDIDIKAN</t>
  </si>
  <si>
    <t>TMT MASUK DOSEN (SESUAI KONTRAK)</t>
  </si>
  <si>
    <t>FAKULTAS</t>
  </si>
  <si>
    <t>LOKASI KERJA
PRODI FAKULTAS</t>
  </si>
  <si>
    <t>KODE DOSEN</t>
  </si>
  <si>
    <t>Email Domain</t>
  </si>
  <si>
    <t>Keterangan Pindah Homebase / NIDN</t>
  </si>
  <si>
    <t>Nama Gelar</t>
  </si>
  <si>
    <t>Jenis Kelamin</t>
  </si>
  <si>
    <t>Tempat Lahir</t>
  </si>
  <si>
    <t>Tanggal Lahir</t>
  </si>
  <si>
    <t>Usia</t>
  </si>
  <si>
    <t>Tahun dari TMT</t>
  </si>
  <si>
    <t>Batas Eligibilitas</t>
  </si>
  <si>
    <t>Eligible naik pangkat?</t>
  </si>
  <si>
    <t>JENIS PEMBIAYAAN S3</t>
  </si>
  <si>
    <t>KATEGORI BEASISWA</t>
  </si>
  <si>
    <t>NO. PID</t>
  </si>
  <si>
    <t>TANGGAL PID</t>
  </si>
  <si>
    <t>TANGGAL MULAI PID</t>
  </si>
  <si>
    <t>TANGGAL SELESAI PID</t>
  </si>
  <si>
    <t>Struktural</t>
  </si>
  <si>
    <t>TMT Non Aktif</t>
  </si>
  <si>
    <t>TMT S3</t>
  </si>
  <si>
    <t>Selisih S3</t>
  </si>
  <si>
    <t>Selisih S3 (sems)</t>
  </si>
  <si>
    <t>Kelompok Keahlian ITTS</t>
  </si>
  <si>
    <t>Kelompok Keahlian Tel-U</t>
  </si>
  <si>
    <t>Kode Dosen Baru</t>
  </si>
  <si>
    <t>FAKULTAS TELKOM UNIVERSITY SURABAYA</t>
  </si>
  <si>
    <t>Email Domain Telkom University</t>
  </si>
  <si>
    <t>MASA KERJA 1 Januari 2026</t>
  </si>
  <si>
    <t>S1 Kampus</t>
  </si>
  <si>
    <t>S1 Prodi</t>
  </si>
  <si>
    <t>S2 Kampus</t>
  </si>
  <si>
    <t>S2 Prodi</t>
  </si>
  <si>
    <t>S3 Kampus</t>
  </si>
  <si>
    <t>S3 Prodi</t>
  </si>
  <si>
    <t>COE</t>
  </si>
  <si>
    <t>KK</t>
  </si>
  <si>
    <t>TGL NON AKTIF</t>
  </si>
  <si>
    <t>0722069004</t>
  </si>
  <si>
    <t>TETAP</t>
  </si>
  <si>
    <t>AA.2</t>
  </si>
  <si>
    <t>AA</t>
  </si>
  <si>
    <t>Manajemen Proyek dan Studi Kelayakan</t>
  </si>
  <si>
    <t>Penata Muda Tk. I Golongan III/b</t>
  </si>
  <si>
    <t>Dosen S1 Digital Bisnis</t>
  </si>
  <si>
    <t>DOSEN</t>
  </si>
  <si>
    <t>Punya</t>
  </si>
  <si>
    <t>22-001027-0048</t>
  </si>
  <si>
    <t>S2</t>
  </si>
  <si>
    <t>Ya</t>
  </si>
  <si>
    <t>TB</t>
  </si>
  <si>
    <t>On Progress S3 TB</t>
  </si>
  <si>
    <t>FTIB</t>
  </si>
  <si>
    <t>Program Studi S1 Digital Bisnis (FTIB)</t>
  </si>
  <si>
    <t>DMI</t>
  </si>
  <si>
    <t>Laki-laki</t>
  </si>
  <si>
    <t>Intergrated and Embedded Systems</t>
  </si>
  <si>
    <t>Rekayasa Industri dan Inovasi Bisnis (RIIB)</t>
  </si>
  <si>
    <t>0728016901</t>
  </si>
  <si>
    <t>Konsep Pengembangan Sains dan Teknologi Telekomunikasi dan Pengenalan Teknik Telekomunikasi</t>
  </si>
  <si>
    <t>Dosen S1 T. Telekomunikasi</t>
  </si>
  <si>
    <t xml:space="preserve">
25-002001-0035</t>
  </si>
  <si>
    <t>FTEIC</t>
  </si>
  <si>
    <t>Program Studi S1 T. Telekomunikasi (FTEIC)</t>
  </si>
  <si>
    <t>TRI</t>
  </si>
  <si>
    <t>Circular Ecosystem and Sustainable Technology</t>
  </si>
  <si>
    <t>ETHES (Electrical Engineering and Advanced Technologies)</t>
  </si>
  <si>
    <t>0725059301</t>
  </si>
  <si>
    <t>L.3</t>
  </si>
  <si>
    <t>Sistem Kendali, Pratikum Sistem Kendali, Elektronika dan Literasi TIK</t>
  </si>
  <si>
    <t>Penata Golongan III/c</t>
  </si>
  <si>
    <t>Ketua Kelompok Riset Motion Analysis And Intervention</t>
  </si>
  <si>
    <t>22-001001-0182</t>
  </si>
  <si>
    <t>S3</t>
  </si>
  <si>
    <t>Program Studi S1 Teknik Elektro (FTEIC)</t>
  </si>
  <si>
    <t>DMS</t>
  </si>
  <si>
    <t>Motion Technology for Safety, Health, and Wellness</t>
  </si>
  <si>
    <t>0730049402</t>
  </si>
  <si>
    <t>PROFESIONAL</t>
  </si>
  <si>
    <t>Pemodelan Proses Bisnis, Literasi TIK dan Pemodelan Bisnis</t>
  </si>
  <si>
    <t>RAS</t>
  </si>
  <si>
    <t>0728059203</t>
  </si>
  <si>
    <t>Rangakaian Listrik, Praktikum Rangkaian Listrik, Elektromagnetika dan Matematika Teknik</t>
  </si>
  <si>
    <t>Kaprodi S1 Teknik Elektro</t>
  </si>
  <si>
    <t>22-002001-01238</t>
  </si>
  <si>
    <t>ISA</t>
  </si>
  <si>
    <t>0715128708</t>
  </si>
  <si>
    <t>L.2</t>
  </si>
  <si>
    <t>Pemrograman Mobile, Praktikum Algoritma dan Pemrograman, Matermatika Diskrit, Perancangan Basis Data</t>
  </si>
  <si>
    <t>Dosen S1 Teknologi Informasi</t>
  </si>
  <si>
    <t>21-002002-0035</t>
  </si>
  <si>
    <t>IB</t>
  </si>
  <si>
    <t>Tidak</t>
  </si>
  <si>
    <t>On Progress S3 IB</t>
  </si>
  <si>
    <t>Program Studi S1 Teknologi Informasi (FTIB)</t>
  </si>
  <si>
    <t>FRH</t>
  </si>
  <si>
    <t>Perempuan</t>
  </si>
  <si>
    <t>Smart Computing Technology (SCOUT)</t>
  </si>
  <si>
    <t>0717017902</t>
  </si>
  <si>
    <t>LK.3</t>
  </si>
  <si>
    <t>Penata Tk. I Golongan III/d</t>
  </si>
  <si>
    <t>Ketua Kelompok Riset Integrated And Embedded System</t>
  </si>
  <si>
    <t>15 00201 0454</t>
  </si>
  <si>
    <t>HEL</t>
  </si>
  <si>
    <t>0730058702</t>
  </si>
  <si>
    <t>Software Engineering</t>
  </si>
  <si>
    <t>Kaprodi S1 RPL</t>
  </si>
  <si>
    <t>25-001026-0131</t>
  </si>
  <si>
    <t>Program Studi S1 RPL (FTIB)</t>
  </si>
  <si>
    <t>FWP</t>
  </si>
  <si>
    <t>0727019901</t>
  </si>
  <si>
    <t>NJAD.2</t>
  </si>
  <si>
    <t>NJAD</t>
  </si>
  <si>
    <t>DIS</t>
  </si>
  <si>
    <t>0728069401</t>
  </si>
  <si>
    <t>PTD</t>
  </si>
  <si>
    <t>Koordinator KK</t>
  </si>
  <si>
    <t>0701108702</t>
  </si>
  <si>
    <t>Ekonomi, Akuntansi Pengantar 2, Akuntansi Biaya, Analisa Laporan Keuangan</t>
  </si>
  <si>
    <t>0704069202</t>
  </si>
  <si>
    <t>AA.3</t>
  </si>
  <si>
    <t>Praktikum Fisika 1A, Kalkulus 1A, Kalkulus 2A, Praktikum ALPRO (Alogaritma dan Pemrogaman Dasar)</t>
  </si>
  <si>
    <t>Dosen S1 Teknik Elektro</t>
  </si>
  <si>
    <t>25-002001-0078</t>
  </si>
  <si>
    <t>IFA</t>
  </si>
  <si>
    <t>0715039004</t>
  </si>
  <si>
    <t>Literasi TIK dan Pemodelan Proses Bisnis</t>
  </si>
  <si>
    <t>Dosen S1 Sistem Informasi</t>
  </si>
  <si>
    <t>Program Studi S1 Sistem Informasi (FTIB)</t>
  </si>
  <si>
    <t>AFA</t>
  </si>
  <si>
    <t>0701129102</t>
  </si>
  <si>
    <t>NJAD.3</t>
  </si>
  <si>
    <t>Dosen S1 T. Komputer</t>
  </si>
  <si>
    <t>Program Studi S1 T. Komputer (FTEIC)</t>
  </si>
  <si>
    <t>MAI</t>
  </si>
  <si>
    <t>EGS</t>
  </si>
  <si>
    <t>Egi Gumala Sari, S.E., M.Ak.</t>
  </si>
  <si>
    <t>Gantung Ciri</t>
  </si>
  <si>
    <t>Fakultas Ekonomi dan Bisnis</t>
  </si>
  <si>
    <t>egigumalasari@telkomuniversity.ac.id</t>
  </si>
  <si>
    <t>0703049401</t>
  </si>
  <si>
    <t>Elektromagnetika, Sinyal dan Sistem, Pengelolahan Sinyal Digital dan Ekonomi Teknik</t>
  </si>
  <si>
    <t>22-001002-0047</t>
  </si>
  <si>
    <t>UCN</t>
  </si>
  <si>
    <t>0408067804</t>
  </si>
  <si>
    <t>Elektromagnetika, Elektromagnetika Telekomunikasi, Antena dan Propagasi dan Sistem Komunikasi Seluler</t>
  </si>
  <si>
    <t>NRR</t>
  </si>
  <si>
    <t>0709039401</t>
  </si>
  <si>
    <t>Algoritma dan Struktur Data, Algoritma dan Pemrograman, Desain Interaksi Pengguna, Animasi dan Pemodelan 3D</t>
  </si>
  <si>
    <t>Dosen S1 RPL</t>
  </si>
  <si>
    <t>22-001013-0114</t>
  </si>
  <si>
    <t>DEW</t>
  </si>
  <si>
    <t>0727099201</t>
  </si>
  <si>
    <t>Konsep Pengembangan Sains dan Teknologi RPL, Fisika Dasar dan Praktikum Fisika Dasar</t>
  </si>
  <si>
    <t>Koordinator Kelompok Keahlian Informatika Kampus Surabaya</t>
  </si>
  <si>
    <t>22-002002-0133</t>
  </si>
  <si>
    <t>Program Studi S1 Informatika (FTIB)</t>
  </si>
  <si>
    <t>ARD</t>
  </si>
  <si>
    <t>0711069301</t>
  </si>
  <si>
    <t>Teori Probabilitas, Statistika Industri, Pengendalian Mutu dan Perancangan Produk</t>
  </si>
  <si>
    <t>Dosen S1 Teknik Industri</t>
  </si>
  <si>
    <t>22-001001-0165</t>
  </si>
  <si>
    <t>Program Studi S1 Teknik Industri (FTEIC)</t>
  </si>
  <si>
    <t>RAZ</t>
  </si>
  <si>
    <t>0710028604</t>
  </si>
  <si>
    <t>Konsep Pengembangan Sains dan Teknologi, Etika Profesionalisme dan Komunikasi, Anlisis Kebutuhan Perangkat Lunak, Desain Interaksi Pengguna</t>
  </si>
  <si>
    <t>TTK</t>
  </si>
  <si>
    <t>0721058310</t>
  </si>
  <si>
    <t>Rekayasa Perangkat Lunak, Pemrograman Web, Kecerdasan Buatan</t>
  </si>
  <si>
    <t>PNG</t>
  </si>
  <si>
    <t>0702039003</t>
  </si>
  <si>
    <t>Kalkulus IA, Kalkulus IIA, Matriks dan Vektor, Penelitian Operasional I</t>
  </si>
  <si>
    <t>Koordinator Kelompok Keahlian Rekayasa Industri Kampus Surabaya</t>
  </si>
  <si>
    <t>23-002001-0272</t>
  </si>
  <si>
    <t>Program Studi S1 Teknik Logistik (FTEIC)</t>
  </si>
  <si>
    <t>ASA</t>
  </si>
  <si>
    <t>CoE</t>
  </si>
  <si>
    <t>0704039202</t>
  </si>
  <si>
    <t>Algoritma dan Pemrograman, Algoritma dan Struktur Data, Praktikum Algoritma dan Pemrograman, Praktikum Algoritma dan Struktur Data</t>
  </si>
  <si>
    <t>Kaprodi S1 Teknologi Informasi</t>
  </si>
  <si>
    <t>23-002002-0113</t>
  </si>
  <si>
    <t>BAS</t>
  </si>
  <si>
    <t>8920230021</t>
  </si>
  <si>
    <t>PERBANTUAN</t>
  </si>
  <si>
    <t>Penjaminan Kualitas Perangkat Lunak, Algoritma dan Pemrograman, Perancangan Basis Data Relational</t>
  </si>
  <si>
    <t>Wakil Direktur Bidang Sumber Daya</t>
  </si>
  <si>
    <t>AGS</t>
  </si>
  <si>
    <t>0720019102</t>
  </si>
  <si>
    <t>RMU</t>
  </si>
  <si>
    <t>0727097302</t>
  </si>
  <si>
    <t>Penginderaan Elektronika, Sistem Pengaturan dan Sistem Digital</t>
  </si>
  <si>
    <t>Kabag LPPM</t>
  </si>
  <si>
    <t>15-001005-0777</t>
  </si>
  <si>
    <t>SSJ</t>
  </si>
  <si>
    <t>Kaprodi</t>
  </si>
  <si>
    <t>0401078801</t>
  </si>
  <si>
    <t>Organisasi dan Manajemen Perusahaan Industri, Manajemen SDM, Teknopreneur dan Perancangan Proses Bisnis</t>
  </si>
  <si>
    <t>Kaprodi S1 Teknik Industri</t>
  </si>
  <si>
    <t>AYU</t>
  </si>
  <si>
    <t>0709059004</t>
  </si>
  <si>
    <t>Sistem Enterprise, Jaringan Komputer dan Komunikasi Data, Arsitektur an Organisasi Komputer dan Sistem Operasi Komputer</t>
  </si>
  <si>
    <t>Kabag Kemahasiswaan</t>
  </si>
  <si>
    <t>25-005023-0038</t>
  </si>
  <si>
    <t>NAS</t>
  </si>
  <si>
    <t>0704029302</t>
  </si>
  <si>
    <t>Etika Profesi, Manajemen Organisasi, Pengantar Manajemen Bisnis Digital dan Manajemen Hubungan Pelanggan</t>
  </si>
  <si>
    <t>Kepala Urusan Pusat Bahasa</t>
  </si>
  <si>
    <t>On Progress</t>
  </si>
  <si>
    <t>SWP</t>
  </si>
  <si>
    <t>0713059501</t>
  </si>
  <si>
    <t>Artificial Intelligence</t>
  </si>
  <si>
    <t>Kepala Urusan Aktivitas Kemahasiswaan</t>
  </si>
  <si>
    <t>AWS</t>
  </si>
  <si>
    <t>Kabag</t>
  </si>
  <si>
    <t>0711039403</t>
  </si>
  <si>
    <t>Rekayasa Perangkat Lunak : Capstone Project, Pemrograman Berbasis Objek, Pemrograman Integratif dan Pemrograman Web</t>
  </si>
  <si>
    <t>Kaprodi S1 Informatika</t>
  </si>
  <si>
    <t>MDF</t>
  </si>
  <si>
    <t>0706089501</t>
  </si>
  <si>
    <t>Jaringan Komputer dan Komunikasi Data, Jaringan Komputer, Data Warehouse, Algoritma dan Struktur Data</t>
  </si>
  <si>
    <t>Dosen S1 Informatika</t>
  </si>
  <si>
    <t>KMD</t>
  </si>
  <si>
    <t>0714079701</t>
  </si>
  <si>
    <t>Jaringan Komputer, Sistem Digital, Sistem Administrasi Server dan Pemrograman Integratif</t>
  </si>
  <si>
    <t>Kabag Pusat Teknologi Informasi</t>
  </si>
  <si>
    <t>RFM</t>
  </si>
  <si>
    <t>0729129403</t>
  </si>
  <si>
    <t>Logika Formal, Matriks dan Vektor, Teori Probabilitas dan Kriptografi</t>
  </si>
  <si>
    <t>Dosen S1 Sains Data</t>
  </si>
  <si>
    <t>Program Studi S1 Sains Data (FTIB)</t>
  </si>
  <si>
    <t>ANA</t>
  </si>
  <si>
    <t>0709128101</t>
  </si>
  <si>
    <t>Literasi Teknologi Inforomasi dan Komunikasi, Algoritma dan Struktur Data</t>
  </si>
  <si>
    <t>25-002001-0044</t>
  </si>
  <si>
    <t>MSK</t>
  </si>
  <si>
    <t>0729088704</t>
  </si>
  <si>
    <t>Kalkulus 1A, Algoritma dan Pemrograman Dasar</t>
  </si>
  <si>
    <t>22-001025-0480</t>
  </si>
  <si>
    <t>BLM</t>
  </si>
  <si>
    <t>0707029303</t>
  </si>
  <si>
    <t>Penelitian Operasional 1, Manajemen Proyek, Sistem Produksi dan Kewirausahaan</t>
  </si>
  <si>
    <t>Dosen S1 Teknik Logistik</t>
  </si>
  <si>
    <t>DNR</t>
  </si>
  <si>
    <t>0723079501</t>
  </si>
  <si>
    <t>Manajemen Logistik, Manajemen Lean dan Logistik, Organisasi Manajemen dan Perusahaan dan Industri, Kewirausahaan</t>
  </si>
  <si>
    <t xml:space="preserve">
25-002001-0581</t>
  </si>
  <si>
    <t>GRA</t>
  </si>
  <si>
    <t>0712059303</t>
  </si>
  <si>
    <t>Perancangan Tata Letak Fasilitas, Organisasi Manajemen Perusahaan dan Industri, Matriks dan Vektor, Teori Probabilitas</t>
  </si>
  <si>
    <t>Kaprodi S1 Teknik Logistik</t>
  </si>
  <si>
    <t>NIS</t>
  </si>
  <si>
    <t>0722119101</t>
  </si>
  <si>
    <t>Antena dan Propagasi, Elektromagnetika, Elektromagnetika Telekomunikasi dan Rekayasa Antena</t>
  </si>
  <si>
    <t>Kaprodi S1 T. Telekomunikasi</t>
  </si>
  <si>
    <t>FSA</t>
  </si>
  <si>
    <t>0720088905</t>
  </si>
  <si>
    <t>Manajemen Layanan, Rekayasa Proses Bisnis, Tata Kelola Si-ti</t>
  </si>
  <si>
    <t>ARS</t>
  </si>
  <si>
    <t>0708119103</t>
  </si>
  <si>
    <t>S.Kom., M.Kom., M.IM</t>
  </si>
  <si>
    <t>Analisis dan Perancangan Sistem Informasi, Data Mining, Algoritma dan Pemrograman</t>
  </si>
  <si>
    <t>Sekretaris Prodi S1 Sistem Informasi</t>
  </si>
  <si>
    <t>MNP</t>
  </si>
  <si>
    <t>0707019501</t>
  </si>
  <si>
    <t>Kalkulus 1B, Kalkulus 2B, Kecerdasan Buatan dan Matematika Teknik 2</t>
  </si>
  <si>
    <t>HNF</t>
  </si>
  <si>
    <t>0724079501</t>
  </si>
  <si>
    <t>Algoritma dan Pemrograman, Teori Probabilitas, Matriks dan Vektor dan Statika Industri</t>
  </si>
  <si>
    <t>Kaprodi S1 Sains Data</t>
  </si>
  <si>
    <t>25-001008-0130</t>
  </si>
  <si>
    <t>HMM</t>
  </si>
  <si>
    <t>0724098701</t>
  </si>
  <si>
    <t>PUR</t>
  </si>
  <si>
    <t>0714029601</t>
  </si>
  <si>
    <t>AAF</t>
  </si>
  <si>
    <t>0730099601</t>
  </si>
  <si>
    <t>Algoritma dan Struktur Data, Pembelajaran Mesin, Teori Probabilitas</t>
  </si>
  <si>
    <t>RGT</t>
  </si>
  <si>
    <t>0714069008</t>
  </si>
  <si>
    <t>Statistika, Fisika Dasar, Kecerdasan Buatan</t>
  </si>
  <si>
    <t>RFD</t>
  </si>
  <si>
    <t>0713029701</t>
  </si>
  <si>
    <t>Kepala Urusan Infrastruktur dan Platform</t>
  </si>
  <si>
    <t>DIB</t>
  </si>
  <si>
    <t>0719109401</t>
  </si>
  <si>
    <t>Manajemen Rantai Pasok, Arsitektur Enterprise, Manajemen Proses Bisnis</t>
  </si>
  <si>
    <t>LIA</t>
  </si>
  <si>
    <t>0723119302</t>
  </si>
  <si>
    <t>Matriks dan Vektor, Statistika, Matematika Logika</t>
  </si>
  <si>
    <t>SRI</t>
  </si>
  <si>
    <t>Fakultas Informatika</t>
  </si>
  <si>
    <t>0708128901</t>
  </si>
  <si>
    <t>Business Intelligence, Sistem Basis Data, Literasi Teknologi Informasi dan Komunikasi</t>
  </si>
  <si>
    <t>Kaprodi S1 Digital Bisnis</t>
  </si>
  <si>
    <t>ANO</t>
  </si>
  <si>
    <t>0725059004</t>
  </si>
  <si>
    <t>Pengantar Sistem Informasi, Tata Kelola dan Manajemen Teknologi Informasi, Manajemen Proyek Sitem Informasi, Analisis dan Perancangan Sistem Informasi</t>
  </si>
  <si>
    <t>22-001001-0545</t>
  </si>
  <si>
    <t>NPI</t>
  </si>
  <si>
    <t>0703129001</t>
  </si>
  <si>
    <t>Logika Informatika, Interaksi Manusia dan Komputer, Konsep Bahasa Pemrograman dan Jaringan Komputer</t>
  </si>
  <si>
    <t>Kaprodi S1 SI</t>
  </si>
  <si>
    <t>23-001001-0210</t>
  </si>
  <si>
    <t>ULF</t>
  </si>
  <si>
    <t>0721088602</t>
  </si>
  <si>
    <t>Algoritma dan Pemrograman, Algoritma dan Struktur Data, Pemrograman Berbasis Objek dan Arsitektur Enterprise</t>
  </si>
  <si>
    <t>25-002001-0654</t>
  </si>
  <si>
    <t>YPS</t>
  </si>
  <si>
    <t>0724089201</t>
  </si>
  <si>
    <t>Sistem Enterprise, Manajemen Rental Pasok, Matematika Diskrit dan Sistem Informasi Akuntansi</t>
  </si>
  <si>
    <t>Kabag Satuan Penjaminan Mutu dan Perencanaan</t>
  </si>
  <si>
    <t>24-002001-0278</t>
  </si>
  <si>
    <t>HWM</t>
  </si>
  <si>
    <t>0704068902</t>
  </si>
  <si>
    <t>Perancangan Basis Data, Data Warehouse dan Intelijen Basis dan Konsep Teknologi</t>
  </si>
  <si>
    <t>Kabag Pelayanan Akademik</t>
  </si>
  <si>
    <t>25-001013-0153</t>
  </si>
  <si>
    <t>RIN</t>
  </si>
  <si>
    <t>0728058503</t>
  </si>
  <si>
    <t>25-002002-0230</t>
  </si>
  <si>
    <t>ZAK</t>
  </si>
  <si>
    <t>0523119601</t>
  </si>
  <si>
    <t>Manajemen Rantai Pasok, Green Supply Chain, Pemodelan Sistem</t>
  </si>
  <si>
    <t>SIL</t>
  </si>
  <si>
    <t>0309069201</t>
  </si>
  <si>
    <r>
      <t>On Progress</t>
    </r>
    <r>
      <rPr>
        <sz val="14"/>
        <color rgb="FF000000"/>
        <rFont val="Arial Narrow"/>
        <family val="2"/>
      </rPr>
      <t xml:space="preserve"> L</t>
    </r>
  </si>
  <si>
    <t>Perpajakan 1, Metodolodi Penulisan Ilmiah dan Akuntansi Manajemen 2</t>
  </si>
  <si>
    <t>24-001006-0051</t>
  </si>
  <si>
    <t>DAU</t>
  </si>
  <si>
    <t>Desain Perilaku Organisasi, Perilaku Organisasi, Manajemen SDM</t>
  </si>
  <si>
    <t>Wakil Direktur Bidang Admisi Dan Kemahasiswaan</t>
  </si>
  <si>
    <t>AGW</t>
  </si>
  <si>
    <t>Wakil Direktur Bidang Akademik dan Riset</t>
  </si>
  <si>
    <t>0710089403</t>
  </si>
  <si>
    <t>ARP</t>
  </si>
  <si>
    <t>0729059601</t>
  </si>
  <si>
    <t>Manajemen Strategi Si-ti, Manajemen Layanan, Pemantauan Evaluasi Si-ti</t>
  </si>
  <si>
    <t>AAH</t>
  </si>
  <si>
    <t>0724099501</t>
  </si>
  <si>
    <t>AND</t>
  </si>
  <si>
    <t>0707089302</t>
  </si>
  <si>
    <t>AFF</t>
  </si>
  <si>
    <t>0714019002</t>
  </si>
  <si>
    <t> Teknopreneur Si/ti, Manajemen Rantai Pasok, Sistem Manajemen Hubungan Pelanggan</t>
  </si>
  <si>
    <t>AHN</t>
  </si>
  <si>
    <t>0712039301</t>
  </si>
  <si>
    <t>ARR</t>
  </si>
  <si>
    <t>Kepala Urusan</t>
  </si>
  <si>
    <t>0701069701</t>
  </si>
  <si>
    <t>Manajemen Pemasaran, Pemasaran Digital, Big Data Analytic</t>
  </si>
  <si>
    <t>Kepala Urusan Admisi dan Data</t>
  </si>
  <si>
    <t>WYR</t>
  </si>
  <si>
    <t>0722108201</t>
  </si>
  <si>
    <t>Manajemen Proyek TI, Audit Teknologi Informasi</t>
  </si>
  <si>
    <t>MUS</t>
  </si>
  <si>
    <t>0705069501</t>
  </si>
  <si>
    <t>Basis Data, Pemrograman Berbasis Objek, Statistika dan Probabilitas</t>
  </si>
  <si>
    <t>YOS</t>
  </si>
  <si>
    <t>0715019202</t>
  </si>
  <si>
    <t>Teknik Analisis Kuantiatif-kualitatif, Human Computer Interaction, Topik Dalam Perancangan Interaksi</t>
  </si>
  <si>
    <t>ROS</t>
  </si>
  <si>
    <t>0705109501</t>
  </si>
  <si>
    <t>Perancangan dan Analisis Algoritma, Pemrograman Berorientasi Objek, Komputasi Cerdas</t>
  </si>
  <si>
    <t>VRO</t>
  </si>
  <si>
    <t>0710029601</t>
  </si>
  <si>
    <t>Algoritma dan Pemrograman, Pemrograman Web, Perancangan Basis Data</t>
  </si>
  <si>
    <t>ALR</t>
  </si>
  <si>
    <t>0727069503</t>
  </si>
  <si>
    <t>RIP</t>
  </si>
  <si>
    <t>0713068702</t>
  </si>
  <si>
    <t>Fisika I dan Fisika II</t>
  </si>
  <si>
    <t>22-001025-0464</t>
  </si>
  <si>
    <t>EDS</t>
  </si>
  <si>
    <t>0721068802</t>
  </si>
  <si>
    <t>Algoritma Pemrograman dan Literasi TIK</t>
  </si>
  <si>
    <t>22-001002-0053</t>
  </si>
  <si>
    <t>RSY</t>
  </si>
  <si>
    <t>0719079702</t>
  </si>
  <si>
    <t>Mekanika Teknik, Keselamatan dan Kesehatan Kerja, Literasi Teknologi Informasi dan Komunikasi</t>
  </si>
  <si>
    <t>HKC</t>
  </si>
  <si>
    <t>0702049801</t>
  </si>
  <si>
    <t>Manajemen Proses Bisnis, Manajemen Proyek , Manajemen Strategi</t>
  </si>
  <si>
    <t>TAR</t>
  </si>
  <si>
    <t>09820030</t>
  </si>
  <si>
    <t>0402058203</t>
  </si>
  <si>
    <t>Algoritma dan Pemrograman dan Pemrograman Berorientasi Obyek / Teknologi Informasi</t>
  </si>
  <si>
    <t>Kepala Bagian Sumber Daya Manusia</t>
  </si>
  <si>
    <t>13-002002-0244</t>
  </si>
  <si>
    <t>DAN</t>
  </si>
  <si>
    <t>0706069201</t>
  </si>
  <si>
    <t>Sinyal dan Sistem, Penolahan Sinyal Digital, Pemodelan dan Identifikasi Sistem, Matematika Diskrit</t>
  </si>
  <si>
    <t>23-002003-0179</t>
  </si>
  <si>
    <t>KHL</t>
  </si>
  <si>
    <t>0030079001</t>
  </si>
  <si>
    <t>Kepala Urusan Pengembangan Akademik</t>
  </si>
  <si>
    <t>HEN</t>
  </si>
  <si>
    <t>0010109403</t>
  </si>
  <si>
    <t>Data Mining, Sistem Pendukung Keputusan, Pemrograman Web</t>
  </si>
  <si>
    <t>BRL</t>
  </si>
  <si>
    <t>0012027005</t>
  </si>
  <si>
    <t>GB.3</t>
  </si>
  <si>
    <t>GB</t>
  </si>
  <si>
    <t>Ilmu Analisa dan Pemrosesan Citra Biomedis</t>
  </si>
  <si>
    <t>Pembina Utama Muda Golongan IV/c</t>
  </si>
  <si>
    <t>Direktur Universitas Telkom Kampus Cabang Surabaya</t>
  </si>
  <si>
    <t>0702048705</t>
  </si>
  <si>
    <t>Statistika Industri, Algoritma dan Pemrograman, Analisis dan Perancangan Sistem Informasi dan Big Data</t>
  </si>
  <si>
    <t>22-002002-0112</t>
  </si>
  <si>
    <t>WAP</t>
  </si>
  <si>
    <t>0725059202</t>
  </si>
  <si>
    <t>Pengantar Teknik Industri, Pengantar Ilmu Ekonomi, Material Teknik dan Kalkulus 1A</t>
  </si>
  <si>
    <t>Ketua Kelompok Riset Electric Vehicle Ecosystem</t>
  </si>
  <si>
    <t>24-002001-0279</t>
  </si>
  <si>
    <t>RDP</t>
  </si>
  <si>
    <t>1001017601</t>
  </si>
  <si>
    <t>Pembina Tk. I Golongan IV/b</t>
  </si>
  <si>
    <t>Kaprodi S1 Teknik Komputer</t>
  </si>
  <si>
    <t>2022.02.026445</t>
  </si>
  <si>
    <t>MYH</t>
  </si>
  <si>
    <t>Direktur</t>
  </si>
  <si>
    <t>0703119301</t>
  </si>
  <si>
    <t>Menggambar Teknik, Proses Manufaktur, Material Teknik dan Mekanika Teknik</t>
  </si>
  <si>
    <t>22-001008-0039</t>
  </si>
  <si>
    <t>BIA</t>
  </si>
  <si>
    <t>0705109006</t>
  </si>
  <si>
    <t>Fisika, Elektromagnetika, Matematika Diskrit</t>
  </si>
  <si>
    <t>Kepala Urusan Penelitian dan Publikasi</t>
  </si>
  <si>
    <t>ONI</t>
  </si>
  <si>
    <t>0718099702</t>
  </si>
  <si>
    <t> Material Dan Proses Manufaktur, Sistem Produksi, Matriks Dan Ruang Vektor</t>
  </si>
  <si>
    <t>AUF</t>
  </si>
  <si>
    <t>0704129501</t>
  </si>
  <si>
    <t>PSP</t>
  </si>
  <si>
    <t>0722079901</t>
  </si>
  <si>
    <t>ILM</t>
  </si>
  <si>
    <t>0718069004</t>
  </si>
  <si>
    <t>Analisis Kebutuhan Perangkat Lunak, Verifikasi, Validasi Dan Pengujian Perangkat Lunak, Evolusi Perangkat Lunak</t>
  </si>
  <si>
    <t>AMA</t>
  </si>
  <si>
    <t>0711079701</t>
  </si>
  <si>
    <t>Pemrograman Berbasis Kerangka Kerja, Pemrograman Web, Pemrograman Fungsional</t>
  </si>
  <si>
    <t>DAM</t>
  </si>
  <si>
    <t>0007056901</t>
  </si>
  <si>
    <t>Sistem Pengendalian Otomatis</t>
  </si>
  <si>
    <t>0719039601</t>
  </si>
  <si>
    <t>Matematika, Probabilitas dan Statistika, Kalkulus</t>
  </si>
  <si>
    <t>PTR</t>
  </si>
  <si>
    <t>0404109105</t>
  </si>
  <si>
    <t>Praktikum Teknik Komputer, Probabilitas Dan Statistika, Pemrograman Berbasis Oriented Objek</t>
  </si>
  <si>
    <t>Dosen S1 Teknik Komputer</t>
  </si>
  <si>
    <t>ESA</t>
  </si>
  <si>
    <t>On Progress NIDN</t>
  </si>
  <si>
    <t>0727048809</t>
  </si>
  <si>
    <t>Jaringan Komputer dan Data, Kemanan Jaringan dan Komputer, Sistem Basis Data, Pemrograman Berorientasi Objek</t>
  </si>
  <si>
    <t>23-001023-0095</t>
  </si>
  <si>
    <t>UBM</t>
  </si>
  <si>
    <t>0714029301</t>
  </si>
  <si>
    <t>Kecerdasan Buatan, organisasi dan Arsitektur Sitem Komputer, Robotika dan Numerik</t>
  </si>
  <si>
    <t>22-001005-00376</t>
  </si>
  <si>
    <t>ALF</t>
  </si>
  <si>
    <t>0704069901</t>
  </si>
  <si>
    <t>Manajemen Pemasaran, Pengantar Manajemen Bisnis Digital, Manajemen Strategi</t>
  </si>
  <si>
    <t>INA</t>
  </si>
  <si>
    <t>0703039502</t>
  </si>
  <si>
    <t>PHS</t>
  </si>
  <si>
    <t>0303069102</t>
  </si>
  <si>
    <t>Mikroprosesor dan Praktikum, Rangkaian Digital + Praktikum dan Teknik Otoomasi</t>
  </si>
  <si>
    <t>24-001025-0097</t>
  </si>
  <si>
    <t>ARA</t>
  </si>
  <si>
    <t>0604059302</t>
  </si>
  <si>
    <t>NIR</t>
  </si>
  <si>
    <t>0714089801</t>
  </si>
  <si>
    <t>TZL</t>
  </si>
  <si>
    <t>0711069702</t>
  </si>
  <si>
    <t>Kepala Urusan Internal Auditor</t>
  </si>
  <si>
    <t>MAY</t>
  </si>
  <si>
    <t>0706019502</t>
  </si>
  <si>
    <t>Kepala Bagian Admisi dan Marketing</t>
  </si>
  <si>
    <t>TYA</t>
  </si>
  <si>
    <t>0724019401</t>
  </si>
  <si>
    <t>AFD</t>
  </si>
  <si>
    <t>FAN</t>
  </si>
  <si>
    <t>S.Kom., M.Sc., Ph.D.</t>
  </si>
  <si>
    <t>0730088001</t>
  </si>
  <si>
    <t>MSDM, Manajemen Koperasi dan UMKM</t>
  </si>
  <si>
    <t>17-001005-0268</t>
  </si>
  <si>
    <t>0702038201</t>
  </si>
  <si>
    <t>Penelitian Operasional I &amp; II, Statistik Industri I &amp; II, Pengendalian Kwalitas Statistik</t>
  </si>
  <si>
    <t>EYE</t>
  </si>
  <si>
    <t>Erly Ekayanti Rosyida, S.T., M.T.</t>
  </si>
  <si>
    <t>Mojokerto</t>
  </si>
  <si>
    <t>Fakultas Rekayasa Industri</t>
  </si>
  <si>
    <t>erlyekayantirosyida@telkomuniversity.ac.id</t>
  </si>
  <si>
    <t>0713108902</t>
  </si>
  <si>
    <t>Kalkulus 1A, Kalkulus 2A, Matematika Teknik san Komunikasi Optik</t>
  </si>
  <si>
    <t>24-001023-0073</t>
  </si>
  <si>
    <t>WLD</t>
  </si>
  <si>
    <t>0727059002</t>
  </si>
  <si>
    <t>Literasi TIK, Algoritma Pemrograman, Praktikum Algoritma Pemrograman dan Rangkaian Listrik</t>
  </si>
  <si>
    <t>22-002002-0132</t>
  </si>
  <si>
    <t>HAM</t>
  </si>
  <si>
    <t>HDN</t>
  </si>
  <si>
    <t>Annisa Ramadhan, S.Stat. M.Stat.</t>
  </si>
  <si>
    <t>Surabaya</t>
  </si>
  <si>
    <t>annisaramadhanar@telkomuniversity.ac.id</t>
  </si>
  <si>
    <t>SUL</t>
  </si>
  <si>
    <t>Sulthan Rafif, S.Tr.Kom., M.Kom.</t>
  </si>
  <si>
    <t>Malang</t>
  </si>
  <si>
    <t>sulthanrafif@telkomuniversity.ac.id</t>
  </si>
  <si>
    <t>WEK</t>
  </si>
  <si>
    <t>Wahyu Eka Kiswardhani, S.M., M.M.</t>
  </si>
  <si>
    <t>Nganjuk</t>
  </si>
  <si>
    <t>wahyuekakiswardani@telkomuniversity.ac.id</t>
  </si>
  <si>
    <t>Dosen S1 Digital  Bisnis</t>
  </si>
  <si>
    <t>HGM</t>
  </si>
  <si>
    <t>Hussein Gibreel Musa Salih, B.Art., M.I.kom., Ph.D.</t>
  </si>
  <si>
    <t>Algenana</t>
  </si>
  <si>
    <t>husseingibreelmusa@telkomuniversity.ac.id</t>
  </si>
  <si>
    <t>Yasinta Romadhona, S.Kom., M.Kom.</t>
  </si>
  <si>
    <t>Trenggalek</t>
  </si>
  <si>
    <t>YSO</t>
  </si>
  <si>
    <t>yasintaromadhona@telkomuniversity.ac.id</t>
  </si>
  <si>
    <t>RIF</t>
  </si>
  <si>
    <t>0605039201</t>
  </si>
  <si>
    <t>9637770671130350</t>
  </si>
  <si>
    <t>Berpikir Komputasi</t>
  </si>
  <si>
    <t>24-001005-0394</t>
  </si>
  <si>
    <t>AJS</t>
  </si>
  <si>
    <t>alon@ittelkom-pwt.ac.id</t>
  </si>
  <si>
    <t>DSN TEGALSARI I RT/RW. 004/001 DESA PURI KEC. PURI, KAB. MOJOKERTO, JAWA TIMUR</t>
  </si>
  <si>
    <t>alonhs@telkomuniversity.ac.id</t>
  </si>
  <si>
    <t>3835779680130052</t>
  </si>
  <si>
    <t>HRH</t>
  </si>
  <si>
    <t>Farhansyah.mondari1@gmail.com</t>
  </si>
  <si>
    <t>JL. PESANTREN PERUM NEGERI SERUMPUN B/4, RT003/RW012, KEL. PEMATANGKAPAU</t>
  </si>
  <si>
    <t>0708069202</t>
  </si>
  <si>
    <t>Komunikasi Data, Internet of Things, Literasi TIK dan Organisasi Komputer</t>
  </si>
  <si>
    <t>22-002001-01225</t>
  </si>
  <si>
    <t>AMI</t>
  </si>
  <si>
    <t>ZQI</t>
  </si>
  <si>
    <t>rizqiraa11@gmail.com</t>
  </si>
  <si>
    <t>DSN CANGKRING RT 002 RW 002, KEL. PENGATIGAN, KEC. ROGOJAMPI, KABUPATEN BANYUWANGI</t>
  </si>
  <si>
    <t>rizqir@telkomuniversity.ac.id</t>
  </si>
  <si>
    <t>S.Tr.T., M.T.</t>
  </si>
  <si>
    <t>HYH</t>
  </si>
  <si>
    <t>rohmahhidayah418@gmail.com</t>
  </si>
  <si>
    <t>DSN SUMBER MAKMUR RT001/RW002, KEL. SUMBERARUM, KEC. KEREK, KAB, TUBAN</t>
  </si>
  <si>
    <t>rohmahhidayahrh@telkomuniversity.ac.id</t>
  </si>
  <si>
    <t>8736779680230072</t>
  </si>
  <si>
    <t>SSP</t>
  </si>
  <si>
    <t>salsabilapis.spis@gmail.com</t>
  </si>
  <si>
    <t>JL EVAKUASI GG. SIAMENG NO 43, RT001/RW002, KEL. KARYAMULYA, KEC. KESAMBI, KOTA CIREBON</t>
  </si>
  <si>
    <t>salsabilaputriindah@telkomuniversity.ac.id</t>
  </si>
  <si>
    <t>0719069101</t>
  </si>
  <si>
    <t>ARN</t>
  </si>
  <si>
    <t>0705109002</t>
  </si>
  <si>
    <t>Kalkulus 1B, Komunikasi Data, Jaringan Komputer dan Praktikum Jaringan Komputer</t>
  </si>
  <si>
    <t>Kabag Laboratorium, Perpustakaan dan Pusat Bahasa</t>
  </si>
  <si>
    <t>23-001027-0053</t>
  </si>
  <si>
    <t>OKT</t>
  </si>
  <si>
    <t>Qori Afiata Fiddina</t>
  </si>
  <si>
    <t>5062775676230163</t>
  </si>
  <si>
    <t>S.Mat., M.Mat.</t>
  </si>
  <si>
    <t>QAF</t>
  </si>
  <si>
    <t>DESA SUMBEREJO RT/RW 002/002, KEC. PURWOASRI, KEDIRI, JAWA TIMUR</t>
  </si>
  <si>
    <t>Nuchaila Ainiyah</t>
  </si>
  <si>
    <t>5133776677230243</t>
  </si>
  <si>
    <t>S.Mat., M.Stat.</t>
  </si>
  <si>
    <t xml:space="preserve">Dosen S1 Sains Data </t>
  </si>
  <si>
    <t>NHH</t>
  </si>
  <si>
    <t>GEDANG SEWU RT 003 RW 008 KEL RADUANGUNG KEC SINGOSARI</t>
  </si>
  <si>
    <t>0720119104</t>
  </si>
  <si>
    <t>FZN</t>
  </si>
  <si>
    <t>Faisal Zaidan Pradana</t>
  </si>
  <si>
    <t>S.Aktr., M.Si.</t>
  </si>
  <si>
    <t>FZP</t>
  </si>
  <si>
    <t>VILA MUTIARA GADING BLOK C7 24 A RT 002 RW 014</t>
  </si>
  <si>
    <t>Rafika Damayanti Sururin Nufus</t>
  </si>
  <si>
    <t>0441776677230222</t>
  </si>
  <si>
    <t>S.Mat., M.Si.</t>
  </si>
  <si>
    <t>FYF</t>
  </si>
  <si>
    <t>JLN SUMATERA 11 NO 27 RT 001 RW 003, KEL. SUKAMERINDU</t>
  </si>
  <si>
    <t>Affifah Mutiara Pertiwi</t>
  </si>
  <si>
    <t>FFM</t>
  </si>
  <si>
    <t>JL AHMAD YANI T 003 RW 000 KEL NUNUKAN TENGAH KEC NUNUKAN</t>
  </si>
  <si>
    <t>Karina Fitriwulandari Ilham</t>
  </si>
  <si>
    <t>KFI</t>
  </si>
  <si>
    <t>546754655300042</t>
  </si>
  <si>
    <t>FAS</t>
  </si>
  <si>
    <t>S1/D4 LULUSAN</t>
  </si>
  <si>
    <t>PRODI S1/D4</t>
  </si>
  <si>
    <t>S2 LULUSAN</t>
  </si>
  <si>
    <t>PRODI S2</t>
  </si>
  <si>
    <t>S3 LULUSAN</t>
  </si>
  <si>
    <t>PRODI S3</t>
  </si>
  <si>
    <t>Univ. Brawijaya</t>
  </si>
  <si>
    <t>ITB</t>
  </si>
  <si>
    <t>Elektroteknik</t>
  </si>
  <si>
    <t>UBHARA</t>
  </si>
  <si>
    <t>ITS</t>
  </si>
  <si>
    <t>PENS</t>
  </si>
  <si>
    <t>Teknik Elektronika</t>
  </si>
  <si>
    <t>Elektronika</t>
  </si>
  <si>
    <t>UGM</t>
  </si>
  <si>
    <t>Ilmu Komputer</t>
  </si>
  <si>
    <t>President Univ</t>
  </si>
  <si>
    <t>Universiti Teknologi Malaysia</t>
  </si>
  <si>
    <t>Teknik Elektro - Teknik Sistem Tenaga</t>
  </si>
  <si>
    <t>Teknik Elektro - Telekomunikasi Multimedia</t>
  </si>
  <si>
    <t>Teknik Informatika</t>
  </si>
  <si>
    <t>STIKOM</t>
  </si>
  <si>
    <t>Pusan National Univ</t>
  </si>
  <si>
    <t>Industrial Engineering</t>
  </si>
  <si>
    <t>The Arctic University of Norway (UiT)</t>
  </si>
  <si>
    <t>Tel-U</t>
  </si>
  <si>
    <t>Kumoh National Institute of Technology</t>
  </si>
  <si>
    <t>IT Convergence Engineering</t>
  </si>
  <si>
    <t>National Taiwan Univ of Science and Tech</t>
  </si>
  <si>
    <t>Graduate Institute of Automation and Control</t>
  </si>
  <si>
    <t>Tokyo Institute of Technology</t>
  </si>
  <si>
    <t>Information and Communications Engineering</t>
  </si>
  <si>
    <t>UNTAG</t>
  </si>
  <si>
    <t>Teknik Informatika - Sistem Informasi</t>
  </si>
  <si>
    <t>Mechatronics Engineering</t>
  </si>
  <si>
    <t>Tokyo Metropolitan University</t>
  </si>
  <si>
    <t>Mechanical Systems Engineering</t>
  </si>
  <si>
    <t>Teknik Elektro - Telekomunikasi</t>
  </si>
  <si>
    <t>Electrical System Engineering</t>
  </si>
  <si>
    <t>Univ. Mercu Buana Jakarta</t>
  </si>
  <si>
    <t>UNHAS</t>
  </si>
  <si>
    <t>UNM</t>
  </si>
  <si>
    <t>Pendidikan Teknik Elektro</t>
  </si>
  <si>
    <t>Teknik Informatika dan Komputer</t>
  </si>
  <si>
    <t>Teknologi Industri/Teknik Industri</t>
  </si>
  <si>
    <t>Manajemen Teknologi</t>
  </si>
  <si>
    <t>Universitas Islam Negeri Maulana Malik Ibrahim Malang</t>
  </si>
  <si>
    <t>Ritsumeikan University</t>
  </si>
  <si>
    <t>Information Science and Engineering</t>
  </si>
  <si>
    <t>Teknologi Informasi/Teknik Informatika</t>
  </si>
  <si>
    <t>National Cheng Kung University (NCKU)</t>
  </si>
  <si>
    <t>Department of Industrial and Information Management</t>
  </si>
  <si>
    <t>Manajemen Rekayasa Industri</t>
  </si>
  <si>
    <t>Teknik dan Manajemen Industri</t>
  </si>
  <si>
    <t>Teknik/Teknik Informatika</t>
  </si>
  <si>
    <t>ITS &amp; Grenoble INP</t>
  </si>
  <si>
    <t>Teknologi Industri/Teknik Industri; Master Recherche</t>
  </si>
  <si>
    <t>Université Grenoble Alpes</t>
  </si>
  <si>
    <t>UNEJ</t>
  </si>
  <si>
    <t>UNS</t>
  </si>
  <si>
    <t>Ilmu Komputasi</t>
  </si>
  <si>
    <t>STT Telkom</t>
  </si>
  <si>
    <t>Northeastern Univ</t>
  </si>
  <si>
    <t>Information Systems</t>
  </si>
  <si>
    <t>Singapore Manajement Univ</t>
  </si>
  <si>
    <t>Telekomunikasi</t>
  </si>
  <si>
    <t>Undip</t>
  </si>
  <si>
    <t>Administrasi Bisnis</t>
  </si>
  <si>
    <t>Ilmu Sosial dan Politik/Ilmu Administrasi</t>
  </si>
  <si>
    <t>Ilmu Komputer/Sistem Informasi</t>
  </si>
  <si>
    <t>Bisnis dan Manajemen Teknologi/Manajemen Teknologi</t>
  </si>
  <si>
    <t>POLINEMA</t>
  </si>
  <si>
    <t>Ilmu Komputer/Ilmu Komputer</t>
  </si>
  <si>
    <t>UIN JOGJA</t>
  </si>
  <si>
    <t>Matematika dan Ilmu Pengatahuan Alam/Ilmu Komputer</t>
  </si>
  <si>
    <t>Teknologi Informasi dan Komunikasi/Teknik Informatika</t>
  </si>
  <si>
    <t>Teknologi Elektro dan Informatika Cerdas/Teknik Informatika</t>
  </si>
  <si>
    <t>Matematika dan Ilmu Pengatahuan Alam/Matematika</t>
  </si>
  <si>
    <t>Matematika, Komputasi, dan Sains Data/Matematika</t>
  </si>
  <si>
    <t>Sains dan Analitika Data/Matematika</t>
  </si>
  <si>
    <t>Ma Chung Univ</t>
  </si>
  <si>
    <t>Sains dan Teknologi/Teknik Industri</t>
  </si>
  <si>
    <t>Mahidol Univ</t>
  </si>
  <si>
    <t>Engineering/ Industrial Engineering</t>
  </si>
  <si>
    <t>King Mongkut's University of Technology Thonburi</t>
  </si>
  <si>
    <t>Teknik/Teknik Industri</t>
  </si>
  <si>
    <t>UBAYA</t>
  </si>
  <si>
    <t>Teknologi Industri dan Rekayasa Sistem/Teknik Industri</t>
  </si>
  <si>
    <t>ITS &amp; NTUST</t>
  </si>
  <si>
    <t>Teknik Informatika - Sistem Informasi &amp; Information Management</t>
  </si>
  <si>
    <t>Matematika, Komputasi, dan Sains Data/Statistika</t>
  </si>
  <si>
    <t>Sains dan Analitika Data/Statistika</t>
  </si>
  <si>
    <t>Matematika dan Ilmu Pengetahuan Alam/Statistika</t>
  </si>
  <si>
    <t>UII</t>
  </si>
  <si>
    <t>National Sun Yat-Sen Univ</t>
  </si>
  <si>
    <t>Telecomunication Engineering</t>
  </si>
  <si>
    <t>Southern Denmark University</t>
  </si>
  <si>
    <t>Faculty of Engineering/Biomedical Engineering</t>
  </si>
  <si>
    <t>Kumoh National Institute of Tech</t>
  </si>
  <si>
    <t>Electronic Engineering</t>
  </si>
  <si>
    <t>ITS &amp; NCKU</t>
  </si>
  <si>
    <t>Sistem Informasi &amp; Industrial and Information Management</t>
  </si>
  <si>
    <t>Matematika</t>
  </si>
  <si>
    <t>Statistika</t>
  </si>
  <si>
    <t>Manajemen Bisnis Telekomunikasi dan Informatika</t>
  </si>
  <si>
    <t>Ekonomi dan Bisnis/Manajemen</t>
  </si>
  <si>
    <t>Ekonomi/Akuntansi</t>
  </si>
  <si>
    <t>UI</t>
  </si>
  <si>
    <t>Ekonomi dan Bisnis/Ilmu Akuntansi</t>
  </si>
  <si>
    <t>UNAIR</t>
  </si>
  <si>
    <t>Ilmu Akuntansi</t>
  </si>
  <si>
    <t>Universitas Islam Indonesia</t>
  </si>
  <si>
    <t>Sistem Komputer</t>
  </si>
  <si>
    <t>Universitas Mercu Buana</t>
  </si>
  <si>
    <t>Teknik Elektro/Teknik Telekomunikasi</t>
  </si>
  <si>
    <t>UMM</t>
  </si>
  <si>
    <t>Manajemen</t>
  </si>
  <si>
    <t>UB</t>
  </si>
  <si>
    <t>UNDIP</t>
  </si>
  <si>
    <t>ITATS</t>
  </si>
  <si>
    <t>IST AKPRIND JOGJA</t>
  </si>
  <si>
    <t>Unair</t>
  </si>
  <si>
    <t>Matematika dan Ilmu Pengetahuan Alam</t>
  </si>
  <si>
    <t>Ilmu Komputer/Teknik Informatika</t>
  </si>
  <si>
    <t>Teknik Mesin</t>
  </si>
  <si>
    <t>UPN</t>
  </si>
  <si>
    <t>Okayama University</t>
  </si>
  <si>
    <t>Division of Industrial Innovation Sciences</t>
  </si>
  <si>
    <t>Manajemen Teknologi - Manajemen Teknologi Informasi</t>
  </si>
  <si>
    <t>Ilmu Teknik Elektro</t>
  </si>
  <si>
    <t>Fisika</t>
  </si>
  <si>
    <t>Ilmu Fisika</t>
  </si>
  <si>
    <t>Manajemen Bisnis</t>
  </si>
  <si>
    <t>Telematika</t>
  </si>
  <si>
    <t>Ilmu Statistika</t>
  </si>
  <si>
    <t>UNNES</t>
  </si>
  <si>
    <t>UISI</t>
  </si>
  <si>
    <t>University of Groningen</t>
  </si>
  <si>
    <t>Medical Imaging</t>
  </si>
  <si>
    <t>Teknik Fisika</t>
  </si>
  <si>
    <t>Instrumentasi dan Kontrol</t>
  </si>
  <si>
    <t>Ilmu Pengetahuan Teknik</t>
  </si>
  <si>
    <t>Universitas Jenderal Soedirman</t>
  </si>
  <si>
    <t>Ilmu Manajemen</t>
  </si>
  <si>
    <t>NIP</t>
  </si>
  <si>
    <t>NITK</t>
  </si>
  <si>
    <t>Status</t>
  </si>
  <si>
    <t>Profesi</t>
  </si>
  <si>
    <t>Entry Level</t>
  </si>
  <si>
    <t>NPWP</t>
  </si>
  <si>
    <t>Nama Ibu Kandung</t>
  </si>
  <si>
    <t>Status Pernikahan</t>
  </si>
  <si>
    <t>NIK Istri/Suami</t>
  </si>
  <si>
    <t>Nama Istri/Suami</t>
  </si>
  <si>
    <t>Pekerjaan Istri/Suami</t>
  </si>
  <si>
    <t>No. HP</t>
  </si>
  <si>
    <t>Email Tel-U</t>
  </si>
  <si>
    <t>Agama</t>
  </si>
  <si>
    <t>NIK Pegawai</t>
  </si>
  <si>
    <t>Alamat</t>
  </si>
  <si>
    <t>RT</t>
  </si>
  <si>
    <t>RW</t>
  </si>
  <si>
    <t>Kelurahan</t>
  </si>
  <si>
    <t>Kabupaten / Kota</t>
  </si>
  <si>
    <t>Jabatan</t>
  </si>
  <si>
    <t>Posisi</t>
  </si>
  <si>
    <t>Lokasi Kerja / Unit</t>
  </si>
  <si>
    <t>No. PKS Rekrut</t>
  </si>
  <si>
    <t>Tgl PKS Rekrut</t>
  </si>
  <si>
    <t>TMT PKS Rekrut</t>
  </si>
  <si>
    <t>No. SK Pegtap / Capeg</t>
  </si>
  <si>
    <t>Tgl SK Capeg</t>
  </si>
  <si>
    <t>TMT SK Capeg</t>
  </si>
  <si>
    <t>No. SK Pegtap</t>
  </si>
  <si>
    <t>Tgl SK Pegtap</t>
  </si>
  <si>
    <t>TMT SK Pegtap</t>
  </si>
  <si>
    <t>BPJS Kesehatan</t>
  </si>
  <si>
    <t>BPJS Ketenagakerjaan</t>
  </si>
  <si>
    <t>TMT TPA (SESUAI KONTRAK PKWT)</t>
  </si>
  <si>
    <t>TMT TPA (SESUAI KONTRAK PROFESIONAL)</t>
  </si>
  <si>
    <t>MASA KERJA</t>
  </si>
  <si>
    <t>Pendidikan Terakhir</t>
  </si>
  <si>
    <t>Gelar</t>
  </si>
  <si>
    <t>Nama Universitas</t>
  </si>
  <si>
    <t>Fakultas / Prodi</t>
  </si>
  <si>
    <t>Tahun Masuk</t>
  </si>
  <si>
    <t>Tahun Keluar</t>
  </si>
  <si>
    <t>NIM</t>
  </si>
  <si>
    <t>Jenis Pekerjaan</t>
  </si>
  <si>
    <t>TMT Non-Aktif</t>
  </si>
  <si>
    <t>Fasker</t>
  </si>
  <si>
    <t>Masa Kerja 1 Januari 2026
Profesional</t>
  </si>
  <si>
    <t>Masa Kerja 1 Januari 2026
PKWT</t>
  </si>
  <si>
    <t>Akreditasi</t>
  </si>
  <si>
    <t>MADYA.1</t>
  </si>
  <si>
    <t>90.844.538.0-627.000</t>
  </si>
  <si>
    <t>Banyuwangi</t>
  </si>
  <si>
    <t>Sri Umiyati</t>
  </si>
  <si>
    <t>Menikah</t>
  </si>
  <si>
    <t>intan@ittelkom-sby.ac.id</t>
  </si>
  <si>
    <t>namakuintan@telkomuniversity.ac.id</t>
  </si>
  <si>
    <t>Islam</t>
  </si>
  <si>
    <t>Singotrunan</t>
  </si>
  <si>
    <t>Staf</t>
  </si>
  <si>
    <t>Admisi &amp; Marketing</t>
  </si>
  <si>
    <t>S1</t>
  </si>
  <si>
    <t>Universitas Jember</t>
  </si>
  <si>
    <t>Ekonomi dan Bisnis / Akuntansi</t>
  </si>
  <si>
    <t>Intan Diah Pratiwi S.E.</t>
  </si>
  <si>
    <t>P</t>
  </si>
  <si>
    <t>Administrasi</t>
  </si>
  <si>
    <t>MUDA.1</t>
  </si>
  <si>
    <t>89.291.316.1-601.000</t>
  </si>
  <si>
    <t>Bojonegoro</t>
  </si>
  <si>
    <t>ernayuli@ittelkom-sby.ac.id</t>
  </si>
  <si>
    <t>ernayuli@telkomuniversity.ac.id</t>
  </si>
  <si>
    <t>Mori</t>
  </si>
  <si>
    <t>Universitas Negeri Surabaya</t>
  </si>
  <si>
    <t>Fakultas Bahasa dan Seni / Pendidikan Bahasa Inggris</t>
  </si>
  <si>
    <t>Erna Yuli Setyorini S.Pd.</t>
  </si>
  <si>
    <t>teguhsunyotost@ittelkom-sby.ac.id</t>
  </si>
  <si>
    <t>teguhstelusby@telkomuniversity.ac.id</t>
  </si>
  <si>
    <t>Magersari</t>
  </si>
  <si>
    <t>Sidoarjo</t>
  </si>
  <si>
    <t>Institut Teknologi Sepuluh Nopember Surabaya</t>
  </si>
  <si>
    <t>Teknologi Industri / Teknik Mesin</t>
  </si>
  <si>
    <t>Teguh Sunyoto S.T.</t>
  </si>
  <si>
    <t>MADYA.2</t>
  </si>
  <si>
    <t>93.647.108.5-403.000</t>
  </si>
  <si>
    <t>Zulaikha</t>
  </si>
  <si>
    <t>Belum Menikah</t>
  </si>
  <si>
    <t>nurinahw@ittelkom-sby.ac.id</t>
  </si>
  <si>
    <t>nurinahw@telkomuniversity.ac.id</t>
  </si>
  <si>
    <t>Bojong Kulur</t>
  </si>
  <si>
    <t>Bogor</t>
  </si>
  <si>
    <t>Akademik</t>
  </si>
  <si>
    <t>KEP.0648/00/DGS-HC01/YPT/2020</t>
  </si>
  <si>
    <t>Universitas Brawijaya</t>
  </si>
  <si>
    <t>Teknik / Arsitektur</t>
  </si>
  <si>
    <t>Nurina Hendri Wardina S.T.</t>
  </si>
  <si>
    <t>AHLI.2</t>
  </si>
  <si>
    <t>57.637.589.3-008.000</t>
  </si>
  <si>
    <t>Semarang</t>
  </si>
  <si>
    <t>Sumiyem</t>
  </si>
  <si>
    <t>Ari Darmawan</t>
  </si>
  <si>
    <t>Karyawan Swasta</t>
  </si>
  <si>
    <t>fanda@ittelkom-sby.ac.id</t>
  </si>
  <si>
    <t>fansuzan@telkomuniversity.ac.id</t>
  </si>
  <si>
    <t>Kebon Jeruk</t>
  </si>
  <si>
    <t>Jakarta Barat</t>
  </si>
  <si>
    <t>Universitas Mercu Buana Jakarta</t>
  </si>
  <si>
    <t>Magister Teknik Elektro</t>
  </si>
  <si>
    <t>Fanda Lyta Suzanayanti S.T., M.T.</t>
  </si>
  <si>
    <t>Teknisi</t>
  </si>
  <si>
    <t>42.404.054.1-626.000</t>
  </si>
  <si>
    <t>Astutik Maimunah</t>
  </si>
  <si>
    <t>rizaljihadi@ittelkom-sby.ac.id</t>
  </si>
  <si>
    <t>rjihadi@telkomuniversity.ac.id</t>
  </si>
  <si>
    <t>Alasbuluh</t>
  </si>
  <si>
    <t>Politeknik Negeri Banyuwangi</t>
  </si>
  <si>
    <t>Rizal Jihadi A.Md.</t>
  </si>
  <si>
    <t>Laboran/Teknisi</t>
  </si>
  <si>
    <t>amalina@ittelkom-sby.ac.id</t>
  </si>
  <si>
    <t>amalinaberliana@telkomuniversity.ac.id</t>
  </si>
  <si>
    <t>Kutisari</t>
  </si>
  <si>
    <t>Institut Teknologi Telkom Surabaya</t>
  </si>
  <si>
    <t>Fakultas Teknologi Informasi dan Bisnis / Sistem Informasi</t>
  </si>
  <si>
    <t>Amalina Tri Setya Berliana S.Kom.</t>
  </si>
  <si>
    <t>90.380.113.2-652.000</t>
  </si>
  <si>
    <t>Bandar Lampung</t>
  </si>
  <si>
    <t>Marlina Kurniawati</t>
  </si>
  <si>
    <t>ichanadira@ittelkom-sby.ac.id</t>
  </si>
  <si>
    <t>ichanadirakh@telkomuniversity.ac.id</t>
  </si>
  <si>
    <t>Tunggul Wulung</t>
  </si>
  <si>
    <t>Kemahasiswaan</t>
  </si>
  <si>
    <t>KEP.0316/00/DGS-HC01/YPT/2020</t>
  </si>
  <si>
    <t>Universitas Airlangga</t>
  </si>
  <si>
    <t>Psikologi/Profesi Psikologi</t>
  </si>
  <si>
    <t>Nadira Khairunnisa S.Psi.,M.Psi., Psikolog</t>
  </si>
  <si>
    <t>86.144.872.8-604.000</t>
  </si>
  <si>
    <t>Ade Merryana</t>
  </si>
  <si>
    <t>viodella@ittelkom-sby.ac.id</t>
  </si>
  <si>
    <t>viodella@telkomuniversity.ac.id</t>
  </si>
  <si>
    <t>Manukan Kulon</t>
  </si>
  <si>
    <t>1416/SDM16/WRII/XII/2019</t>
  </si>
  <si>
    <t>Universitas Wijaya Putra</t>
  </si>
  <si>
    <t>Ekonomi &amp; Bisnis / Manajemen</t>
  </si>
  <si>
    <t>Viodella Yuscha Viranazya S.M.</t>
  </si>
  <si>
    <t>41.438.076.6-404.000</t>
  </si>
  <si>
    <t>Fanny Tirana</t>
  </si>
  <si>
    <t>bhirawaano@ittelkom-sby.ac.id</t>
  </si>
  <si>
    <t>bhirawaano@telkomuniversity.ac.id</t>
  </si>
  <si>
    <t>Cibadak</t>
  </si>
  <si>
    <t>1425/SDM16/WRII/XII/2019</t>
  </si>
  <si>
    <t>Ekonomi &amp; Bisnis / Ekonomi Islam</t>
  </si>
  <si>
    <t>Bhirawa Anoraga S.EI.</t>
  </si>
  <si>
    <t>96.020.966.6-603.000</t>
  </si>
  <si>
    <t>Sri Utami</t>
  </si>
  <si>
    <t>rafika@ittelkom-sby.ac.id</t>
  </si>
  <si>
    <t>rafikarachmatamia@telkomuniversity.ac.id</t>
  </si>
  <si>
    <t>Wage</t>
  </si>
  <si>
    <t>D4</t>
  </si>
  <si>
    <t>Politeknik Elektronika Negeri Surabaya</t>
  </si>
  <si>
    <t>Rafika Rachmatamia Arief S.ST.</t>
  </si>
  <si>
    <t>90.586.071.4-655.000</t>
  </si>
  <si>
    <t>Jakarta</t>
  </si>
  <si>
    <t>Dewi Zulaikah</t>
  </si>
  <si>
    <t>dewizulfani@ittelkom-sby.ac.id</t>
  </si>
  <si>
    <t>dzulfani@telkomuniversity.ac.id</t>
  </si>
  <si>
    <t>Purwokerto</t>
  </si>
  <si>
    <t>Kediri</t>
  </si>
  <si>
    <t>Kepala Bagian</t>
  </si>
  <si>
    <t>KEP.0315/00/DGS-HC01/YPT/2020</t>
  </si>
  <si>
    <t>Universitas Pembangunan Veteran jawa Timur</t>
  </si>
  <si>
    <t>Ekonomi &amp; Bisnis / Akuntansi</t>
  </si>
  <si>
    <t>Dewi Zulfani S.E.</t>
  </si>
  <si>
    <t>90.544.907.0-657.000</t>
  </si>
  <si>
    <t>Titik Suhartini</t>
  </si>
  <si>
    <t>atikamardanila19@ittelkom-sby.ac.id</t>
  </si>
  <si>
    <t>atikamardhanila@telkomuniversity.ac.id</t>
  </si>
  <si>
    <t>Sekarpuro</t>
  </si>
  <si>
    <t>KEP.0649/00/DGS-HC01/YPT/2020</t>
  </si>
  <si>
    <t>Universitas Negeri Malang</t>
  </si>
  <si>
    <t>Ekonomi / Akuntansi</t>
  </si>
  <si>
    <t>Atika Mardhanila Anam S.E.</t>
  </si>
  <si>
    <t>80.759.371.0-606.000</t>
  </si>
  <si>
    <t>Nur Afifah</t>
  </si>
  <si>
    <t>aulia@ittelkom-sby.ac.id</t>
  </si>
  <si>
    <t>auliaalin@telkomuniversity.ac.id</t>
  </si>
  <si>
    <t>Klampis Ngasem</t>
  </si>
  <si>
    <t>1418/SDM16/WRII/XII/2019</t>
  </si>
  <si>
    <t>Universitas Surabaya</t>
  </si>
  <si>
    <t>Bisnis dan Ekonomika / Akuntansi</t>
  </si>
  <si>
    <t>Aulia 'Alin Yulda S.E.</t>
  </si>
  <si>
    <t>Denpasar</t>
  </si>
  <si>
    <t>citashana@gmail.com</t>
  </si>
  <si>
    <t>citatasha@telkomuniversity.ac.id</t>
  </si>
  <si>
    <t>Akuntansi</t>
  </si>
  <si>
    <t>Cita Tasha Nataniela S.Ak</t>
  </si>
  <si>
    <t>80.687.018.4-602.000</t>
  </si>
  <si>
    <t>Siti Karlina</t>
  </si>
  <si>
    <t>selfinaanggraini@ittelkom-sby.ac.id</t>
  </si>
  <si>
    <t>selfinaanggraini@telkomuniversity.ac.id</t>
  </si>
  <si>
    <t>Wates</t>
  </si>
  <si>
    <t>Laboratorium, Pusat Bahasa dan Perpustakaan</t>
  </si>
  <si>
    <t>KEP.0646/00/DGS-HC01/YPT/2020</t>
  </si>
  <si>
    <t>Politeknik Negeri Malang</t>
  </si>
  <si>
    <t>Teknik Elektro / Jaringan Telekomunikasi Digital</t>
  </si>
  <si>
    <t>Selfina Anggraini S.S.T.</t>
  </si>
  <si>
    <t>MUDA.3</t>
  </si>
  <si>
    <t>90.301.693.9-602.000</t>
  </si>
  <si>
    <t>Hartini</t>
  </si>
  <si>
    <t>ongkygp@ittelkom-sby.ac.id</t>
  </si>
  <si>
    <t>ongkygp@telkomuniversity.ac.id</t>
  </si>
  <si>
    <t>Sambilawang</t>
  </si>
  <si>
    <t>KEP.0643/00/DGS-HC01/YPT/2020</t>
  </si>
  <si>
    <t>D3</t>
  </si>
  <si>
    <t>Institut Teknologi Sepuluh Nopember</t>
  </si>
  <si>
    <t>Teknik Kelistrikan Kapal</t>
  </si>
  <si>
    <t>Ongky Gesha Prasetya A.Md</t>
  </si>
  <si>
    <t>80.603.400.5-608.000</t>
  </si>
  <si>
    <t>Jayapura</t>
  </si>
  <si>
    <t>Ade amelia</t>
  </si>
  <si>
    <t>vindyandriani@ittelkom-sby.ac.id</t>
  </si>
  <si>
    <t>vindyandriani@telkomuniversity.ac.id</t>
  </si>
  <si>
    <t>Barurambat Kota</t>
  </si>
  <si>
    <t>Madura</t>
  </si>
  <si>
    <t>1400/SDM16/WRII/XII/2019</t>
  </si>
  <si>
    <t>Ilmu Sosial &amp; Ilmu Politik / Ilmu Informasi dan Perpustakaan</t>
  </si>
  <si>
    <t>Vindy Andriani Miranti S.IIP.</t>
  </si>
  <si>
    <t>Pustakawan</t>
  </si>
  <si>
    <t>41.213.494.2-602.000</t>
  </si>
  <si>
    <t>MARDIANA</t>
  </si>
  <si>
    <t>rahadian@ittelkom-sby.ac.id</t>
  </si>
  <si>
    <t>rahatelusby@telkomuniversity.ac.id</t>
  </si>
  <si>
    <t>Japan</t>
  </si>
  <si>
    <t>1407/SDM16/WRII/XII/2019</t>
  </si>
  <si>
    <t>Universitas Dian Nuswantoro</t>
  </si>
  <si>
    <t>Ilmu Komputer / Sistem Informasi</t>
  </si>
  <si>
    <t>A12.2009.03783</t>
  </si>
  <si>
    <t>Rahadian Agus Setyawan S.Kom.</t>
  </si>
  <si>
    <t>41.527.019.8-645.000</t>
  </si>
  <si>
    <t>Lamongan</t>
  </si>
  <si>
    <t>Zumaroh</t>
  </si>
  <si>
    <t>ishlahul@ittelkom-sby.ac.id</t>
  </si>
  <si>
    <t>ishlah@telkomuniversity.ac.id</t>
  </si>
  <si>
    <t>Dadapan</t>
  </si>
  <si>
    <t>Universitas Islam Negeri Sunan Ampel Surabaya</t>
  </si>
  <si>
    <t>Pengembangan Masyarakat Islam</t>
  </si>
  <si>
    <t>B92214053</t>
  </si>
  <si>
    <t>Ishlahul Ummah S.Sos.</t>
  </si>
  <si>
    <t>Lumajang</t>
  </si>
  <si>
    <t>Musrifah</t>
  </si>
  <si>
    <t>mdwihariyanto@ittelkom-sby.ac.id</t>
  </si>
  <si>
    <t>mdwihariyanto@telkomuniversity.ac.id</t>
  </si>
  <si>
    <t>Labruk Kidul</t>
  </si>
  <si>
    <t>Lembaga Penelitian dan Pengabdian Masyarakat</t>
  </si>
  <si>
    <t>Fakultas Teknologi Elektro dan Industri Cerdas / Teknik Elektro</t>
  </si>
  <si>
    <t>Muhammad Dwi Hariyanto S.T.</t>
  </si>
  <si>
    <t>chintyatribhuana@telkomuniversity.ac.id</t>
  </si>
  <si>
    <t>Kapasmadya Baru</t>
  </si>
  <si>
    <t>Chintya Tribhuana Utami S.Kom.</t>
  </si>
  <si>
    <t>80.937.888.8-609.000</t>
  </si>
  <si>
    <t>KEDIRI</t>
  </si>
  <si>
    <t>I GUSTI AYU ANJANG SUKESI</t>
  </si>
  <si>
    <t>Dewi Sri Rahayu Sujiati</t>
  </si>
  <si>
    <t>Ibu Rumah Tangga</t>
  </si>
  <si>
    <t>rezarahman@ittelkom-sby.ac.id</t>
  </si>
  <si>
    <t>rezadwir@telkomuniversity.ac.id</t>
  </si>
  <si>
    <t>Pradahkalikendal</t>
  </si>
  <si>
    <t>KEP.0317/00/DGS-HC01/YPT/2020</t>
  </si>
  <si>
    <t>Universitas 17 Agustus 1945 Surabaya (UNTAG)</t>
  </si>
  <si>
    <t>Teknik / Teknik Sipil</t>
  </si>
  <si>
    <t>Reza Dwi Rahman S.T.</t>
  </si>
  <si>
    <t>94.516.564.5-609.000</t>
  </si>
  <si>
    <t>Kus Nanik</t>
  </si>
  <si>
    <t>yordywisnu93@ittelkom-sby.ac.id</t>
  </si>
  <si>
    <t>surabayatzy@telkomuniversity.ac.id</t>
  </si>
  <si>
    <t>Darmo</t>
  </si>
  <si>
    <t>1419/SDM16/WRII/XII/2019</t>
  </si>
  <si>
    <t>Sekolah Tinggi Ilmu Ekonomi Indonesia Surabaya</t>
  </si>
  <si>
    <t>Yordy Wisnu Kusuma S.E.</t>
  </si>
  <si>
    <t>84.385.176.7-618.000</t>
  </si>
  <si>
    <t>Siti Waidah</t>
  </si>
  <si>
    <t>Lucia Istijayanti</t>
  </si>
  <si>
    <t>faizalrahadiansyah92@ittelkom-sby.ac.id</t>
  </si>
  <si>
    <t>faizalrahadiansyah@telkomuniversity.ac.id</t>
  </si>
  <si>
    <t>Dukuh Pakis</t>
  </si>
  <si>
    <t>1291/SDM16/REK/VIII/2020</t>
  </si>
  <si>
    <t>Achmad Faizal Rahadiansyah S.T.</t>
  </si>
  <si>
    <t>46.579.684.5-609.000</t>
  </si>
  <si>
    <t>Gresik</t>
  </si>
  <si>
    <t>Laily fauziah</t>
  </si>
  <si>
    <t>deflyna@ittelkom-sby.ac.id</t>
  </si>
  <si>
    <t>deflyna@telkomuniversity.ac.id</t>
  </si>
  <si>
    <t>Jagir</t>
  </si>
  <si>
    <t>Sumber Daya Manusia</t>
  </si>
  <si>
    <t>1399/SDM16/WRII/XII/2019</t>
  </si>
  <si>
    <t>Defly Nur Amalia Ningrum S.M.</t>
  </si>
  <si>
    <t>93.108.123.6-623.000</t>
  </si>
  <si>
    <t>Blitar</t>
  </si>
  <si>
    <t>Nikmaturohmah</t>
  </si>
  <si>
    <t>faruqhell@ittelkom-sby.ac.id</t>
  </si>
  <si>
    <t>heldianfaruq@telkomuniversity.ac.id</t>
  </si>
  <si>
    <t>Lesanpuro</t>
  </si>
  <si>
    <t>1409/SDM16/WRII/XII/2019</t>
  </si>
  <si>
    <t>Teknik Elektro / Sistem Kelistrikan</t>
  </si>
  <si>
    <t>Faruq Heldian S.S.T.</t>
  </si>
  <si>
    <t>Tuban</t>
  </si>
  <si>
    <t>esakharismaputra@telkomuniversity.ac.id</t>
  </si>
  <si>
    <t>Plumpang</t>
  </si>
  <si>
    <t>Esa Kharisma Putra S.Kom.</t>
  </si>
  <si>
    <t>42.511.094.7-608.000</t>
  </si>
  <si>
    <t>Siti Masni'ah</t>
  </si>
  <si>
    <t>safira@ittelkom-sby.ac.id</t>
  </si>
  <si>
    <t>safirarl@telkomuniversity.ac.id</t>
  </si>
  <si>
    <t>Kalimo'ok</t>
  </si>
  <si>
    <t>Sumenep</t>
  </si>
  <si>
    <t>S1 Bisnis Digital</t>
  </si>
  <si>
    <t>Prodi</t>
  </si>
  <si>
    <t>Universitas Trunojoyo Madura</t>
  </si>
  <si>
    <t>Teknik / Teknik Informatika</t>
  </si>
  <si>
    <t>Safira Rohmatul Laily S.Kom.</t>
  </si>
  <si>
    <t>94.467.657.6-644.000</t>
  </si>
  <si>
    <t>Bangkalan</t>
  </si>
  <si>
    <t>Aminatun</t>
  </si>
  <si>
    <t>firmanhcf@ittelkom-sby.ac.id</t>
  </si>
  <si>
    <t>firmanhcf@telkomuniversity.ac.id</t>
  </si>
  <si>
    <t>Tunjung</t>
  </si>
  <si>
    <t>Pusat Teknologi Informasi</t>
  </si>
  <si>
    <t>1417/SDM16/WRII/XII/2019</t>
  </si>
  <si>
    <t>Universitas Muhammadiyah Malang</t>
  </si>
  <si>
    <t>Firman Hidayat Choirul Fattah S.Kom.</t>
  </si>
  <si>
    <t>41.479.317.4-642.000</t>
  </si>
  <si>
    <t>Endang Sri Wahyuni</t>
  </si>
  <si>
    <t>albysegmansyah@ittelkom-sby.ac.id</t>
  </si>
  <si>
    <t>albysegmansyah@telkomuniversity.ac.id</t>
  </si>
  <si>
    <t>Satuan Penjaminan Mutu dan Perencanaan</t>
  </si>
  <si>
    <t>900/SDM16/WRII/V/2020</t>
  </si>
  <si>
    <t>Universitas Internasional Semen Indonesia</t>
  </si>
  <si>
    <t>Alby Segmansyah S.Kom.</t>
  </si>
  <si>
    <t>78.586.200.4-607.000</t>
  </si>
  <si>
    <t>SURABAYA</t>
  </si>
  <si>
    <t>SETYANINGSIH</t>
  </si>
  <si>
    <t>merrydh@ittelkom-sby.ac.id</t>
  </si>
  <si>
    <t>merrydh@telkomuniversity.ac.id</t>
  </si>
  <si>
    <t>Nginden Jangkungan</t>
  </si>
  <si>
    <t>Sekretariat &amp; Humas</t>
  </si>
  <si>
    <t>KEP.0638/00/DGS-HC01/YPT/2020</t>
  </si>
  <si>
    <t>Merry Dwi Haryani S.ST</t>
  </si>
  <si>
    <t>54.960.515.2-603.000</t>
  </si>
  <si>
    <t>SIDOARJO</t>
  </si>
  <si>
    <t>DJAZILATUN NAILIAH</t>
  </si>
  <si>
    <t>zilda@ittelkom-sby.ac.id</t>
  </si>
  <si>
    <t>zildardp@telkomuniversity.ac.id</t>
  </si>
  <si>
    <t>Sidomojo</t>
  </si>
  <si>
    <t>1413/SDM16/WRII/XII/2019</t>
  </si>
  <si>
    <t>Ilmu Sosial / Ilmu Administrasi Negara</t>
  </si>
  <si>
    <t>Zilda Riyandita Putri S.Sos.</t>
  </si>
  <si>
    <t>86.885.101.5-619.000</t>
  </si>
  <si>
    <t>Nurul Hidayah</t>
  </si>
  <si>
    <t>rizky@ittelkom-sby.ac.id</t>
  </si>
  <si>
    <t>rizkyfrmn@telkomuniversity.ac.id</t>
  </si>
  <si>
    <t>Gading</t>
  </si>
  <si>
    <t>Politeknik UBAYA</t>
  </si>
  <si>
    <t>Bahasa Inggris Bisnis</t>
  </si>
  <si>
    <t>Rizky Firmansyah A.Md.</t>
  </si>
  <si>
    <t>90.041.061.4-657.000</t>
  </si>
  <si>
    <t>Bantul</t>
  </si>
  <si>
    <t>Kamtinah</t>
  </si>
  <si>
    <t>cahyafujiyama@ittelkom-sby.ac.id</t>
  </si>
  <si>
    <t>cahyafujiyama@telkomuniversity.ac.id</t>
  </si>
  <si>
    <t>Ardimulyo</t>
  </si>
  <si>
    <t>Ilmu Sosial dan Ilmu Politik / Ilmu Komunikasi</t>
  </si>
  <si>
    <t>Cahya Restu Fujiyama S.I.Kom.</t>
  </si>
  <si>
    <t>61.148.132.6-652.000</t>
  </si>
  <si>
    <t>priliapp@ittelkom-sby.ac.id</t>
  </si>
  <si>
    <t>priliaputri@telkomuniversity.ac.id</t>
  </si>
  <si>
    <t>Tulusrejo</t>
  </si>
  <si>
    <t>Fakultas Ekonomi dan Bisnis / Manajemen</t>
  </si>
  <si>
    <t>Prilia Putri Pertiwi S.E.</t>
  </si>
  <si>
    <t>08.635.406.5-609.000</t>
  </si>
  <si>
    <t>Enny Sri Rahayu</t>
  </si>
  <si>
    <t>Radhitya Mawardhani</t>
  </si>
  <si>
    <t>rizalpambayun@ittelkom-sby.ac.id</t>
  </si>
  <si>
    <t>rizalp@telkomuniversity.ac.id</t>
  </si>
  <si>
    <t>Siwalankerto</t>
  </si>
  <si>
    <t>1414/SDM16/WRII/XII/2019</t>
  </si>
  <si>
    <t>Universitas Tritunggal Surabaya</t>
  </si>
  <si>
    <t>Hukum / Ilmu Hukum</t>
  </si>
  <si>
    <t>Rizal Pambayun Haryono S.H.</t>
  </si>
  <si>
    <t>TLH</t>
  </si>
  <si>
    <t>PRA MUDA</t>
  </si>
  <si>
    <t>naya@ittelkom-sby.ac.id</t>
  </si>
  <si>
    <t>Jatikerto</t>
  </si>
  <si>
    <t>SMA</t>
  </si>
  <si>
    <t>Ainnaya Nur Akasah -</t>
  </si>
  <si>
    <t>OUTSOURCE</t>
  </si>
  <si>
    <t>Gayungan</t>
  </si>
  <si>
    <t>Muplihatul Aliyah -</t>
  </si>
  <si>
    <t>Diwek</t>
  </si>
  <si>
    <t>Jombang</t>
  </si>
  <si>
    <t>Wisnu Budi Wicaksono -</t>
  </si>
  <si>
    <t>galuh@ittelkom-sby.ac.id</t>
  </si>
  <si>
    <t>Bubutan</t>
  </si>
  <si>
    <t>D1</t>
  </si>
  <si>
    <t>Sekolah Tinggi Manajemen Informatika &amp; Teknik Komputer Surabaya</t>
  </si>
  <si>
    <t>Manajemen Informatika</t>
  </si>
  <si>
    <t>Galuh Bagus Prasetyo A.P.</t>
  </si>
  <si>
    <t>ardityamiftah@gmail.com</t>
  </si>
  <si>
    <t>Berbek</t>
  </si>
  <si>
    <t>Perpustakaan</t>
  </si>
  <si>
    <t>Athika Hafshah A.Md. Lib.</t>
  </si>
  <si>
    <t>41.479.342.2-609.000</t>
  </si>
  <si>
    <t>Pacitan</t>
  </si>
  <si>
    <t>Ninik Widyastuti</t>
  </si>
  <si>
    <t>Fahreza Sani Akbar</t>
  </si>
  <si>
    <t>mardiahresti@ittelkom-sby.ac.id</t>
  </si>
  <si>
    <t>mardiahresti@telkomuniversity.ac.id</t>
  </si>
  <si>
    <t>Kebonsari</t>
  </si>
  <si>
    <t>KEP.0650/00/DGS-HC01/YPT/2020</t>
  </si>
  <si>
    <t>Psikologi / Psikologi</t>
  </si>
  <si>
    <t>Resti Mardiah Kurniasari S.Psi</t>
  </si>
  <si>
    <t>74.188.407.6-609.000</t>
  </si>
  <si>
    <t>ROESMINI WARTI</t>
  </si>
  <si>
    <t>frisdiantinkw@ittelkom-sby.ac.id</t>
  </si>
  <si>
    <t>frisdiantinkw@telkomuniversity.ac.id</t>
  </si>
  <si>
    <t>1408/SDM16/WRII/XII/2019</t>
  </si>
  <si>
    <t>Frisdianti Narulita Kusuma Wardhani S.Ak.</t>
  </si>
  <si>
    <t>41.696.471.6-606.000</t>
  </si>
  <si>
    <t>Martini</t>
  </si>
  <si>
    <t>Nizar Septa Firmansyah</t>
  </si>
  <si>
    <t>lailyhani@ittelkom-sby.ac.id</t>
  </si>
  <si>
    <t>lailyhani@telkomuniversity.ac.id</t>
  </si>
  <si>
    <t>Banyu Urip</t>
  </si>
  <si>
    <t>1412/SDM16/WRII/XII/2019</t>
  </si>
  <si>
    <t>Laily Hani Fatikha Sari S.Psi</t>
  </si>
  <si>
    <t>Universitas Dinamika</t>
  </si>
  <si>
    <t>Desain Komunikasi Visual</t>
  </si>
  <si>
    <t>Furqon Kurniawan S.Ds.</t>
  </si>
  <si>
    <t>Kristen</t>
  </si>
  <si>
    <t>Menanggal</t>
  </si>
  <si>
    <t>Ian Mahendra Putra S.Kom.</t>
  </si>
  <si>
    <t>Taman</t>
  </si>
  <si>
    <t>Mochammad Zulfikar Alfany S.T.</t>
  </si>
  <si>
    <t>Pepelegi</t>
  </si>
  <si>
    <t>Nisrina Salsabilah S.T.</t>
  </si>
  <si>
    <t>Roomo</t>
  </si>
  <si>
    <t>Fakultas Rekayasa Industri / Sistem Informasi</t>
  </si>
  <si>
    <t>Achmad Alvi Rizqi Mutamam S.Kom.</t>
  </si>
  <si>
    <t>61.131.821.3-614.000</t>
  </si>
  <si>
    <t>Katholik</t>
  </si>
  <si>
    <t>Petemon</t>
  </si>
  <si>
    <t>Fakultas Ilmu Sosial dan Hukum / Ilmu Komunikasi</t>
  </si>
  <si>
    <t>Geraldin Dona Caesarina S.I.Kom</t>
  </si>
  <si>
    <t>Ketintang</t>
  </si>
  <si>
    <t>Salman S.Kom</t>
  </si>
  <si>
    <t>Aida Sekar Kinanti Siswanto</t>
  </si>
  <si>
    <t>82599041-8</t>
  </si>
  <si>
    <t>Jl. Danau Poso II G3D-11</t>
  </si>
  <si>
    <t>Sawojajar</t>
  </si>
  <si>
    <t>S1 Rekayasa Perangkat Lunak</t>
  </si>
  <si>
    <t>Universitas Gajayana Malang</t>
  </si>
  <si>
    <t>Aida Sekar Kinanti Siswanto S.Ak.</t>
  </si>
  <si>
    <t>Reynanda Shaquille Purwanto</t>
  </si>
  <si>
    <t>82503092-8</t>
  </si>
  <si>
    <t>3515021806030002</t>
  </si>
  <si>
    <t>Bendotretek, RT/RW 003/001, Bendotretek, Prambon, Sidoarjo</t>
  </si>
  <si>
    <t>Bendotretek</t>
  </si>
  <si>
    <t>Universitas Telkom Kampus Surabaya</t>
  </si>
  <si>
    <t>1202210033</t>
  </si>
  <si>
    <t>Reynanda Shaquille Purwanto, S.Kom.</t>
  </si>
  <si>
    <t>74.675.709.5-626.000</t>
  </si>
  <si>
    <t>Jember</t>
  </si>
  <si>
    <t>Endang Cahyaningsih</t>
  </si>
  <si>
    <t>awangditama@ittelkom-sby.ac.id</t>
  </si>
  <si>
    <t>awangditama@telkomuniversity.ac.id</t>
  </si>
  <si>
    <t>Karangrejo</t>
  </si>
  <si>
    <t>Bangun Rizki Awangditama S.Kom.</t>
  </si>
  <si>
    <t>NO</t>
  </si>
  <si>
    <t>Standar Nisbah</t>
  </si>
  <si>
    <t>2025-2026</t>
  </si>
  <si>
    <t>Realisasi</t>
  </si>
  <si>
    <t>Proyeksi 2526</t>
  </si>
  <si>
    <t>Total</t>
  </si>
  <si>
    <t>ΣDosen</t>
  </si>
  <si>
    <t>Nisbah</t>
  </si>
  <si>
    <t>-Dosen</t>
  </si>
  <si>
    <t>% Lulus</t>
  </si>
  <si>
    <t>Lulus 2425</t>
  </si>
  <si>
    <t>Lulus</t>
  </si>
  <si>
    <t>Proyeksi Akademik/prodi</t>
  </si>
  <si>
    <t>ΣMhs</t>
  </si>
  <si>
    <t>Maba Target</t>
  </si>
  <si>
    <t>Maba Realisasi</t>
  </si>
  <si>
    <t>Maba Pakai</t>
  </si>
  <si>
    <t>ΣMHS</t>
  </si>
  <si>
    <t>+Dosen ROUNDUP</t>
  </si>
  <si>
    <t>Nisbah Target</t>
  </si>
  <si>
    <t>+Dosen ROUNDDOWN</t>
  </si>
  <si>
    <t>PAKAI</t>
  </si>
  <si>
    <t>Capaian 2024</t>
  </si>
  <si>
    <t>Kuota 2025</t>
  </si>
  <si>
    <t>Pendaftar 2025</t>
  </si>
  <si>
    <t>Lulus 2025</t>
  </si>
  <si>
    <t>Registrasi</t>
  </si>
  <si>
    <t>BPP</t>
  </si>
  <si>
    <t>SDP 2.00</t>
  </si>
  <si>
    <t>Asuransi</t>
  </si>
  <si>
    <t>Undur Diri 2025</t>
  </si>
  <si>
    <t>Potensi Reg</t>
  </si>
  <si>
    <t>Kekurangan 2025</t>
  </si>
  <si>
    <t>S1 Data Sains (Kampus Surabaya)</t>
  </si>
  <si>
    <t>S1 Digital Business (Kampus Surabaya)</t>
  </si>
  <si>
    <t>S1 Digital Supply Chain (Kampus Surabaya)</t>
  </si>
  <si>
    <t>S1 Informatika (Kampus Surabaya)</t>
  </si>
  <si>
    <t>S1 Rekayasa Perangkat Lunak (Kampus Surabaya)</t>
  </si>
  <si>
    <t>S1 Sistem Informasi (Kampus Surabaya)</t>
  </si>
  <si>
    <t>S1 Teknik Elektro (Kampus Surabaya)</t>
  </si>
  <si>
    <t>S1 Teknik Industri (Kampus Surabaya)</t>
  </si>
  <si>
    <t>S1 Teknik Komputer (Kampus Surabaya)</t>
  </si>
  <si>
    <t>S1 Teknik Telekomunikasi (Kampus Surabaya)</t>
  </si>
  <si>
    <t>S1 Teknologi Informasi (Kampus Surabaya)</t>
  </si>
  <si>
    <t>Rasio dosen:Mahasiswa</t>
  </si>
  <si>
    <t>Proyeksi Jml Dosen 2026</t>
  </si>
  <si>
    <t>Rencana Target 2026</t>
  </si>
  <si>
    <t>Jumlah S3 ssi Target</t>
  </si>
  <si>
    <t>Jml S3 Eksisting</t>
  </si>
  <si>
    <t>Selisih</t>
  </si>
  <si>
    <t>Proyeksi Lulus 2026</t>
  </si>
  <si>
    <t>Jumlah Penambahan / Proyeksi lulus S3 2026</t>
  </si>
  <si>
    <t>S3 Eksisting + Proyeksi</t>
  </si>
  <si>
    <t>Prosentase Proyeksi S3 : Proyeksi jumlah dosen 2026</t>
  </si>
  <si>
    <t>Jumlah Mahasiswa Registrasi MK TA</t>
  </si>
  <si>
    <t>Mahasiswa Lulus</t>
  </si>
  <si>
    <t>Mahasiswa Tidak Lulus</t>
  </si>
  <si>
    <t>Tingkat Kelulusan (%)</t>
  </si>
  <si>
    <t xml:space="preserve">M. Iskandar R., 
Ubaidillah U., 
Farah Z., 
Khodijah A., 
Faiza H (DB Bt. 4,5,6),
</t>
  </si>
  <si>
    <t>Jumlah L, LK, GB ssi Target</t>
  </si>
  <si>
    <t>Proyeksi kenaikan JAD L, LK, GB 2026</t>
  </si>
  <si>
    <t>Jumlah Penambahan / Proyeksi L, LK, GB 2026</t>
  </si>
  <si>
    <t>L, LK, GB Eksisting + Proyeksi</t>
  </si>
  <si>
    <t>Prosentase Proyeksi L, LK, GB : Proyeksi jumlah dosen 2026</t>
  </si>
  <si>
    <t>L, LK, GB</t>
  </si>
  <si>
    <t>M. Yani, 
M. Nasrullah,
Rizky fenaldo,
Ardian Yusuf,
Tanzilal M.,
Dimas Chaerul,
N. Azizia Gia,
Kharisma Monika</t>
  </si>
  <si>
    <t>Data per 15 November 2025</t>
  </si>
  <si>
    <t>S1 Bisnis Digital - Kampus Surabaya</t>
  </si>
  <si>
    <t>S1 Informatika - Kampus Surabaya</t>
  </si>
  <si>
    <t>S1 Rekayasa Perangkat Lunak - Kampus Surabaya</t>
  </si>
  <si>
    <t>S1 Sains Data - Kampus Surabaya</t>
  </si>
  <si>
    <t>S1 Sistem Informasi - Kampus Surabaya</t>
  </si>
  <si>
    <t>S1 Teknik Logistik - Kampus Surabaya</t>
  </si>
  <si>
    <t>S1 Teknik Elektro - Kampus Surabaya</t>
  </si>
  <si>
    <t>S1 Teknik Komputer - Kampus Surabaya</t>
  </si>
  <si>
    <t>S1 Teknik Industri - Kampus Surabaya</t>
  </si>
  <si>
    <t>S1 Teknologi Informasi - Kampus Surabaya</t>
  </si>
  <si>
    <t>S1 Teknik Telekomunikasi - Kampus Surabaya</t>
  </si>
  <si>
    <t>Prodi/Bagian</t>
  </si>
  <si>
    <t>TMT</t>
  </si>
  <si>
    <t>Tahun Berjalan</t>
  </si>
  <si>
    <t>146​</t>
  </si>
  <si>
    <t>62​</t>
  </si>
  <si>
    <t>182​</t>
  </si>
  <si>
    <t>68​</t>
  </si>
  <si>
    <t>203​</t>
  </si>
  <si>
    <t>72​</t>
  </si>
  <si>
    <t>228​</t>
  </si>
  <si>
    <t>76​</t>
  </si>
  <si>
    <t>252​</t>
  </si>
  <si>
    <t>80​</t>
  </si>
  <si>
    <t>No.</t>
  </si>
  <si>
    <t>JFA</t>
  </si>
  <si>
    <t>Serdos</t>
  </si>
  <si>
    <t>Gender</t>
  </si>
  <si>
    <t>Status Kepegawaian</t>
  </si>
  <si>
    <t>Jumlah Anggota</t>
  </si>
  <si>
    <t>Sub KK</t>
  </si>
  <si>
    <t>Jumlah Sub KK</t>
  </si>
  <si>
    <t>Non-PID</t>
  </si>
  <si>
    <t>%</t>
  </si>
  <si>
    <t>LLKGB</t>
  </si>
  <si>
    <t>Tetap</t>
  </si>
  <si>
    <t>Calon Pegawai Tetap</t>
  </si>
  <si>
    <t>Profesional</t>
  </si>
  <si>
    <t>Perbantuan</t>
  </si>
  <si>
    <t>RRIB</t>
  </si>
  <si>
    <t>SHEA</t>
  </si>
  <si>
    <t>Jumlah</t>
  </si>
  <si>
    <t>MSB</t>
  </si>
  <si>
    <t>RIIB</t>
  </si>
  <si>
    <t>Q-BI</t>
  </si>
  <si>
    <t>SCOUT</t>
  </si>
  <si>
    <t>SME</t>
  </si>
  <si>
    <t>ETHES</t>
  </si>
  <si>
    <t>LSCE</t>
  </si>
  <si>
    <t>Data Analytics &amp; Intelligent Systems (DAIS)</t>
  </si>
  <si>
    <t>Software Development &amp; Fundamentals (SDF)</t>
  </si>
  <si>
    <t>Computing Platform &amp; Interface (CPI)</t>
  </si>
  <si>
    <t>BEE-Basic Electronics</t>
  </si>
  <si>
    <t>PORSCE-Power System and Energy Conversion​</t>
  </si>
  <si>
    <t>CORES-Control, Automation, Robotic and Embedded System​</t>
  </si>
  <si>
    <t>COMMET-Communication Network</t>
  </si>
  <si>
    <t>COS(PI)-Telecommunication and Signal Processing​</t>
  </si>
  <si>
    <t>Persentase</t>
  </si>
  <si>
    <t>Proyeksi</t>
  </si>
  <si>
    <t>Dzul, Granita, Amalia, Yani, Roni</t>
  </si>
  <si>
    <t>CIRCLEST</t>
  </si>
  <si>
    <t>INTEREST</t>
  </si>
  <si>
    <t>Asisten Ahli</t>
  </si>
  <si>
    <t>MOSHEE</t>
  </si>
  <si>
    <t>Lektor</t>
  </si>
  <si>
    <t>Lektor Kepala</t>
  </si>
  <si>
    <t>Guru Besar</t>
  </si>
  <si>
    <t>Kepegawaian</t>
  </si>
  <si>
    <t>Outsource</t>
  </si>
  <si>
    <t>D2</t>
  </si>
  <si>
    <t>Unit</t>
  </si>
  <si>
    <t>Satuan Penjaminan Mutu Dan Perencanaan</t>
  </si>
  <si>
    <t>Lembaga Penelitian Dan Pengabdian Masyarakat</t>
  </si>
  <si>
    <t>Laboratorium, Pusat Bahasa Dan Perpustakaan</t>
  </si>
  <si>
    <t>Logistik Dan Manajemen Aset</t>
  </si>
  <si>
    <t>Total All</t>
  </si>
  <si>
    <t>Total TPA</t>
  </si>
  <si>
    <t>Dosen Struktural</t>
  </si>
  <si>
    <t>A. Dosen Berdasarkan JAD</t>
  </si>
  <si>
    <t>Kampus</t>
  </si>
  <si>
    <t>Tahun</t>
  </si>
  <si>
    <t>*tahun 2025 cut off tgl 16 November 2025</t>
  </si>
  <si>
    <t>NJFA</t>
  </si>
  <si>
    <t>Σ Dosen</t>
  </si>
  <si>
    <t>TUB</t>
  </si>
  <si>
    <t>TUP</t>
  </si>
  <si>
    <t>TUS</t>
  </si>
  <si>
    <t>TUJ</t>
  </si>
  <si>
    <t>B. Dosen Berdasarkan Jenjang Pendidikan</t>
  </si>
  <si>
    <t>C. Dosen Studi Lanjut</t>
  </si>
  <si>
    <t>DN</t>
  </si>
  <si>
    <t>LN</t>
  </si>
  <si>
    <t>PENGAWAKAN POSISI ORGANISASI</t>
  </si>
  <si>
    <t>UNIVERSITAS TELKOM SURABAYA</t>
  </si>
  <si>
    <t>Pengawakan 1081 Sept 2024</t>
  </si>
  <si>
    <t>PEMANGKU</t>
  </si>
  <si>
    <t>FORMASI</t>
  </si>
  <si>
    <t>STATUS FORMASI</t>
  </si>
  <si>
    <t>KEBUTUHAN</t>
  </si>
  <si>
    <t>DIREKTUR UNIVERSITAS TELKOM KAMPUS SURABAYA</t>
  </si>
  <si>
    <t>Prof. Dr. Tri Arief Sardjono, S.T., M.T.</t>
  </si>
  <si>
    <t>KEPALA BAGIAN SEKRETARIAT &amp; HUMAS</t>
  </si>
  <si>
    <t>KEPALA URUSAN SEKRETARIAT</t>
  </si>
  <si>
    <t>TPA dan Struktural</t>
  </si>
  <si>
    <t>STAF SEKRETARIS PIMPINAN</t>
  </si>
  <si>
    <t>Jumlah Formasi</t>
  </si>
  <si>
    <t>KEPALA URUSAN HUMAS</t>
  </si>
  <si>
    <t>Status Formasi</t>
  </si>
  <si>
    <t>STAF HUMAS</t>
  </si>
  <si>
    <t>KEPALA URUSAN LEGAL, KERJASAMA &amp; INTERNATIONAL OFFICE</t>
  </si>
  <si>
    <t>STAF LEGAL DAN PROTOKOLER</t>
  </si>
  <si>
    <t>KEPALA BAGIAN SATUAN PENJAMINAN MUTU DAN PERENCANAAN</t>
  </si>
  <si>
    <t>Muhsin, S.T., M.T., Ph.D.</t>
  </si>
  <si>
    <t>KEPALA URUSAN  PENJAMINAN &amp; ANALISIS MUTU</t>
  </si>
  <si>
    <t>STAF PENJAMINAN &amp; ANALISIS MUTU</t>
  </si>
  <si>
    <t>KEPALA URUSAN PERENCANAAN &amp; PERFORMANSI</t>
  </si>
  <si>
    <t>STAF PERENCANAAN &amp; PERFORMANSI</t>
  </si>
  <si>
    <t>KEPALA URUSAN INTERNAL AUDITOR</t>
  </si>
  <si>
    <t>Mastuty Ayu Ningtyas,S.Kom., M.Kom.</t>
  </si>
  <si>
    <t>STAF INTERNAL AUDITOR</t>
  </si>
  <si>
    <t>WAKIL DIREKTUR BIDANG AKADEMIK DAN RISET</t>
  </si>
  <si>
    <t>Dr. Bambang Lelono Widjiantoro, S.T., M.T.</t>
  </si>
  <si>
    <t>Wakil Direktur</t>
  </si>
  <si>
    <t>KEPALA BAGIAN AKADEMIK</t>
  </si>
  <si>
    <t>Hendy Briantoro, S.ST., M.T., Ph.D.</t>
  </si>
  <si>
    <t>KEPALA URUSAN LAYANAN ADMINISTRASI AKADEMIK</t>
  </si>
  <si>
    <t>STAF ADMINISTRASI AKADEMIK</t>
  </si>
  <si>
    <t>KEPALA URUSAN PENGEMBANGAN AKADEMIK</t>
  </si>
  <si>
    <t>Tita Ayu Rospricilia, S.Kom., M.Kom.</t>
  </si>
  <si>
    <t>STAF PENGEMBANGAN AKADEMIK</t>
  </si>
  <si>
    <t>KEPALA BAGIAN LEMBAGA PENELITIAN DAN PENGABDIAN MASYARAKAT</t>
  </si>
  <si>
    <t>Dr. Susijanto Tri Rasmana, S.Kom., M.T.</t>
  </si>
  <si>
    <t>KEPALA URUSAN PENELITIAN DAN PUBLIKASI</t>
  </si>
  <si>
    <t>Dr. Chaironi Latif, S.Si.</t>
  </si>
  <si>
    <t>STAF PENELITIAN DAN PUBLIKASI</t>
  </si>
  <si>
    <t>KEPALA URUSAN PENGABDIAN MASYARAKAT</t>
  </si>
  <si>
    <t>STAF PENGABDIAN MASYARAKAT</t>
  </si>
  <si>
    <t xml:space="preserve">KEPALA URUSAN TECHNOLOGY TRANSFER OFFICE </t>
  </si>
  <si>
    <t xml:space="preserve">STAF TECHNOLOGY TRANSFER OFFICE </t>
  </si>
  <si>
    <t>KEPALA BAGIAN LABORATORIUM, PUSAT BAHASA DAN PERPUSTAKAAN</t>
  </si>
  <si>
    <t>Ardian Yusuf Wicaksono, S.Kom., M.Kom.</t>
  </si>
  <si>
    <t>KEPALA URUSAN LABORATORIUM</t>
  </si>
  <si>
    <t>STAF LABORATORIUM</t>
  </si>
  <si>
    <t>KEPALA URUSAN PUSAT BAHASA DAN PERPUSTAKAAN</t>
  </si>
  <si>
    <t>Sekar Widyasari Putri, S.A.B., M.Si.</t>
  </si>
  <si>
    <t>STAF PUSAT BAHASA DAN PERPUSTAKAAN</t>
  </si>
  <si>
    <t>WAKIL DIREKTUR BIDANG SUMBER DAYA</t>
  </si>
  <si>
    <t>Agus Sulistya, S.T., M.Sc., Ph.D.</t>
  </si>
  <si>
    <t xml:space="preserve">KEPALA BAGIAN SUMBER DAYA MANUSIA </t>
  </si>
  <si>
    <t>Dahliar Ananda, S.T., M.T.</t>
  </si>
  <si>
    <t>KEPALA URUSAN PELAYANAN SDM</t>
  </si>
  <si>
    <t>STAF PELAYANAN SDM</t>
  </si>
  <si>
    <t>KEPALA URUSAN PENGEMBANGAN SDM</t>
  </si>
  <si>
    <t>STAF PENGEMBANGAN SDM</t>
  </si>
  <si>
    <t>KEPALA BAGIAN KEUANGAN</t>
  </si>
  <si>
    <t>KEPALA URUSAN ANGGARAN DAN PERBENDAHARAAN</t>
  </si>
  <si>
    <t>STAF ANGGARAN DAN PERBENDAHARAAN</t>
  </si>
  <si>
    <t>KEPALA URUSAN AKUNTANSI DAN LAYANAN KEUANGAN</t>
  </si>
  <si>
    <t>STAF AKUNTANSI DAN LAYANAN KEUANGAN</t>
  </si>
  <si>
    <t>KEPALA BAGIAN PUSAT TEKNOLOGI INFORMASI</t>
  </si>
  <si>
    <t>Rizky Fenaldo Maulana, S.Kom., M.Kom.</t>
  </si>
  <si>
    <t>KEPALA URUSAN INFRASTRUKTUR &amp; PLATFORM</t>
  </si>
  <si>
    <t>Muhammad Adib Kamali, S.T., M.Sc.</t>
  </si>
  <si>
    <t>STAF INFRASTRUKTUR &amp; PLATFORM</t>
  </si>
  <si>
    <t>KEPALA URUSAN APLIKASI DAN LAYANAN IT</t>
  </si>
  <si>
    <t>STAF LAYANAN APLIKASI</t>
  </si>
  <si>
    <t>STAF LAYANAN IT</t>
  </si>
  <si>
    <t>KEPALA BAGIAN LOGISTIK DAN MANAJEMEN ASET</t>
  </si>
  <si>
    <t>KEPALA URUSAN LOGISTIK</t>
  </si>
  <si>
    <t>STAF LOGISTIK</t>
  </si>
  <si>
    <t>KEPALA URUSAN MANAJEMEN ASSET</t>
  </si>
  <si>
    <t>STAF MANAJEMEN ASSET</t>
  </si>
  <si>
    <t>WAKIL DIREKTUR BIDANG ADMISI DAN KEMAHASISWAAN</t>
  </si>
  <si>
    <t>Agoes Windarto, S.T.</t>
  </si>
  <si>
    <t>KEPALA BAGIAN ADMISI &amp; MARKETING</t>
  </si>
  <si>
    <t>KEPALA URUSAN ADMISI &amp; DATA</t>
  </si>
  <si>
    <t>Wachda Yuniar Rochmah, S.M., M.M.</t>
  </si>
  <si>
    <t>STAF ADMISI &amp; DATA</t>
  </si>
  <si>
    <t>KEPALA URUSAN MARKETING</t>
  </si>
  <si>
    <t>STAF MARKETING</t>
  </si>
  <si>
    <t>KEPALA BAGIAN KEMAHASISWAAN</t>
  </si>
  <si>
    <t>Muhamad Nasrullah, S.Kom., M.Kom.</t>
  </si>
  <si>
    <t>KEPALA URUSAN AKTIVITAS KEMAHASISWAAN</t>
  </si>
  <si>
    <t>Ahmad Wali Satria Bahari Johan, S.ST., M.Kom.</t>
  </si>
  <si>
    <t>STAF AKTIVITAS KEMAHASISWAAN</t>
  </si>
  <si>
    <t>KEPALA URUSAN PENGEMBANGAN KARIER &amp; KONSELING</t>
  </si>
  <si>
    <t>STAF PENGEMBANGAN KARIER</t>
  </si>
  <si>
    <t>STAF KONSELING</t>
  </si>
  <si>
    <t>KEPALA URUSAN PUSAT LAYANAN</t>
  </si>
  <si>
    <t>STAF PROGRAM STUDI TEKNIK ELEKTRO TUS</t>
  </si>
  <si>
    <t>STAF PROGRAM STUDI TEKNIK TELEKOMUNIKASI TUS</t>
  </si>
  <si>
    <t>STAF PROGRAM STUDI TEKNIK KOMPUTER TUS</t>
  </si>
  <si>
    <t>STAF PROGRAM STUDI TEKNIK INDUSTRI TUS</t>
  </si>
  <si>
    <t>STAF PROGRAM STUDI TEKNIK LOGISTIK TUS</t>
  </si>
  <si>
    <t>STAF PROGRAM STUDI TEKNOLOGI INFORMASI TUS</t>
  </si>
  <si>
    <t>STAF PROGRAM STUDI SISTEM INFORMASI TUS</t>
  </si>
  <si>
    <t>STAF PROGRAM STUDI REKAYASA PERANGKAT LUNAK TUS</t>
  </si>
  <si>
    <t>STAF PROGRAM STUDI INFORMATIKA TUS</t>
  </si>
  <si>
    <t>STAF PROGRAM STUDI SAINS DATA TUS</t>
  </si>
  <si>
    <t>STAF PROGRAM STUDI BISNIS DIGITAL TUS</t>
  </si>
  <si>
    <t>KOORDINATOR KELOMPOK KEAHLIAN TEKNIK ELEKTRO KAMPUS SURABAYA</t>
  </si>
  <si>
    <t>Anifatul Faricha, S.T., M.Sc. Ph.D</t>
  </si>
  <si>
    <t>KOORDINATOR KELOMPOK KEAHLIAN REKAYASA INDUSTRI KAMPUS SURABAYA</t>
  </si>
  <si>
    <t>KOORDINATOR KELOMPOK KEAHLIAN INFORMATIKA KAMPUS SURABAYA</t>
  </si>
  <si>
    <t>Philip Tobianto Daely, S.T., M.Eng. Ph.D</t>
  </si>
  <si>
    <t>HEAD OF COE PRATAMA TUS - INSTITUTE CONNECTIVITY AND CONVERGENCE FOR SMART LIVING</t>
  </si>
  <si>
    <t>Abduh Sayid Albana, S.T., M.T., M.Sc., Ph.D.</t>
  </si>
  <si>
    <t>HEAD OF COE PRATAMA TUS - INSTITUTE INTELLIGENT BUSINESS AND SUSTAINABLE ECONOMY</t>
  </si>
  <si>
    <t>Dr. Helmy Widyantara, S.Kom., M.Eng.</t>
  </si>
  <si>
    <t>HEAD OF COE PRATAMA TUS - INSTITUTE DIGITAL WEALTH, SOCIAL AND WELLNESS</t>
  </si>
  <si>
    <t>Dimas Adiputra, B.Sc., M.Phil, Ph.D.</t>
  </si>
  <si>
    <t>KETUA PROGRAM STUDI TEKNIK ELEKTRO TUS</t>
  </si>
  <si>
    <t>Dr. Isa Hafidz, S.T., M.T.</t>
  </si>
  <si>
    <t>Ketua Program Studi</t>
  </si>
  <si>
    <t>SEKRETARIS PROGRAM STUDI TEKNIK ELEKTRO TUS</t>
  </si>
  <si>
    <t>Sekprodi</t>
  </si>
  <si>
    <t>DOSEN PROGRAM STUDI TEKNIK ELEKTRO (S1)</t>
  </si>
  <si>
    <t>Moch. Iskandar Riansyah, S.T., M.T.</t>
  </si>
  <si>
    <t>Lora Khaula Amifia, S.Pd., M.Eng.</t>
  </si>
  <si>
    <t>Rifki Dwi Putranto, S.T., M.T.</t>
  </si>
  <si>
    <t>KETUA PROGRAM STUDI TEKNIK TELEKOMUNIKASI (S1)</t>
  </si>
  <si>
    <t xml:space="preserve">Dr. Fannush Shofi Akbar, S.ST. </t>
  </si>
  <si>
    <t>SEKRETARIS PROGRAM STUDI TEKNIK TELEKOMUNIKASI TUS</t>
  </si>
  <si>
    <t>DOSEN PROGRAM STUDI TEKNIK TELEKOMUNIKASI (S1)</t>
  </si>
  <si>
    <t>Ir. Tri Agus Djoko Kuntjoro, M.T.</t>
  </si>
  <si>
    <t>Walid Maulana Hadiansyah, S.T., M.T.</t>
  </si>
  <si>
    <t>Muhsin, S.T., M.T.</t>
  </si>
  <si>
    <t>Nilla Rachmaningrum, S.T., M.T.</t>
  </si>
  <si>
    <t>Hamzah Ulinuha Mustakim, S.T., M.T.</t>
  </si>
  <si>
    <t>Risdilah Mimma Untsa, S.ST., M.T.</t>
  </si>
  <si>
    <t>Arrizky Ayu Faradila Purnomo, S.T., M.T.</t>
  </si>
  <si>
    <t>KETUA PROGRAM STUDI TEKNIK KOMPUTER (S1)</t>
  </si>
  <si>
    <t>Dr. Muhammad Yanuar Hariyawan, S.T., M.T.</t>
  </si>
  <si>
    <t>SEKRETARIS PROGRAM STUDI TEKNIK KOMPUTER TUS</t>
  </si>
  <si>
    <t>DOSEN PROGRAM STUDI TEKNIK KOMPUTER (S1)</t>
  </si>
  <si>
    <t>Ubaidillah Umar, S.ST., M.T.</t>
  </si>
  <si>
    <t>Dwi Edi Setyawan, S.T., M.T.</t>
  </si>
  <si>
    <t>Ardiansyah Al Farouq, S.St., M.T.</t>
  </si>
  <si>
    <t>Mohamad Yani, S.St., M.Phil.</t>
  </si>
  <si>
    <t>Pangestu Widodo, S.T., M.Kom.</t>
  </si>
  <si>
    <t>Eka Sari Oktarina, S.Kom., M.Eng.</t>
  </si>
  <si>
    <t>KETUA PROGRAM STUDI TEKNIK INDUSTRI (S1)</t>
  </si>
  <si>
    <t>Ayu Endah Wahyuni, S.T., M.T.</t>
  </si>
  <si>
    <t>SEKRETARIS PROGRAM STUDI TEKNIK INDUSTRI TUS</t>
  </si>
  <si>
    <t>DOSEN PROGRAM STUDI TEKNIK INDUSTRI (S1)</t>
  </si>
  <si>
    <t>Rahaditya Dimas Prihadianto, S.T., M.T.</t>
  </si>
  <si>
    <t>Wahyu Andy Prastyabudi, S.Kom., M.Sc.</t>
  </si>
  <si>
    <t>Rizqa Amelia Zunaidi, S.T., M.T.</t>
  </si>
  <si>
    <t>Benazir Imam Arif Muttaqin, S.T., M.T.</t>
  </si>
  <si>
    <t>Silvi Istiqomah, S.T., M.T.</t>
  </si>
  <si>
    <t>Huki Chandra, S.T., M.Sc.</t>
  </si>
  <si>
    <t>Paramaditya Arismawati, S.T., M.T.</t>
  </si>
  <si>
    <t>Aufar Fikri Dimyati, S.T., M.T.</t>
  </si>
  <si>
    <t>KETUA PROGRAM STUDI TEKNIK LOGISTIK (S1)</t>
  </si>
  <si>
    <t>Nisa Isrofi, S.T., M.T.</t>
  </si>
  <si>
    <t>SEKRETARIS PROGRAM STUDI TEKNIK LOGISTIK TUS</t>
  </si>
  <si>
    <t>DOSEN PROGRAM STUDI TEKNIK LOGISTIK (S1)</t>
  </si>
  <si>
    <t>Desita Nur Rachmaniar, S.T., M.Sc.</t>
  </si>
  <si>
    <t>Granita Hajar, S.T., M.T.</t>
  </si>
  <si>
    <t>KETUA PROGRAM STUDI TEKNOLOGI INFORMASI (S1)</t>
  </si>
  <si>
    <t>Bernadus Anggo Seno Aji, S.Kom., M.Kom.</t>
  </si>
  <si>
    <t>SEKRETARIS PROGRAM STUDI TEKNOLOGI INFORMASI TUS</t>
  </si>
  <si>
    <t>DOSEN PROGRAM STUDI TEKNOLOGI INFORMASI (S1)</t>
  </si>
  <si>
    <t>Khodijah Amiroh, S.ST., M.T.</t>
  </si>
  <si>
    <t>Oktavia Ayu Permata, S.T., M.T.</t>
  </si>
  <si>
    <t>Yohanes Setiawan, S.Si., M.Kom.</t>
  </si>
  <si>
    <t>Mustafa Kamal, S.Kom., M.Kom.</t>
  </si>
  <si>
    <t>Farah Zakiyah Rahmanti, S.ST., M.T</t>
  </si>
  <si>
    <t>KETUA PROGRAM STUDI SISTEM INFORMASI (S1)</t>
  </si>
  <si>
    <t>Mochamad Nizar Palefi Ma'ady, S.Kom., M.Kom., M.IM.</t>
  </si>
  <si>
    <t>SEKRETARIS PROGRAM STUDI SISTEM INFORMASI TUS</t>
  </si>
  <si>
    <t>DOSEN PROGRAM STUDI SISTEM INFORMASI (S1)</t>
  </si>
  <si>
    <t>Hawwin Mardhiana, S.Kom., M.Kom</t>
  </si>
  <si>
    <t>Ully Asfari, S.Kom., M.Kom.</t>
  </si>
  <si>
    <t>Yupit Sudianto, S.Kom., M.Kom.</t>
  </si>
  <si>
    <t>Noerma Pudji Istyanto, S.Kom., M.Kom.</t>
  </si>
  <si>
    <t>Anfazul Faridatul Azizah, S.Kom., M.Kom.</t>
  </si>
  <si>
    <t>Rokhmatul Insani, S.T., M.T.</t>
  </si>
  <si>
    <t>Aris Kusumawati, S.Kom., M.Kom.</t>
  </si>
  <si>
    <t>Purnama Anaking, S.Kom., M.Kom.</t>
  </si>
  <si>
    <t>Sri Hidayati, S.Si., M.Stat.</t>
  </si>
  <si>
    <t>Raulia Riski, S.Kom., M.M.S., M.Kom.</t>
  </si>
  <si>
    <t>Alifiansyah Arrizqy Hidayat, S.Kom., M.Kom.</t>
  </si>
  <si>
    <t>Berlian Rahmy Lidiawaty, S.ST., M.MT.</t>
  </si>
  <si>
    <t>Rosyid Abdillah, S.Si., M.Kom.</t>
  </si>
  <si>
    <t>Anisa Dzulkarnain, S.Kom., M.Kom.</t>
  </si>
  <si>
    <t>Arip Ramadan, S.Si., M.Stat.</t>
  </si>
  <si>
    <t>Affifiana Prisyanti, S.Kom., M.Kom.</t>
  </si>
  <si>
    <t>Anita Hakim Nasution, S.T., M.T.</t>
  </si>
  <si>
    <t>Adzanil Rachmadi Putra, S.Kom., M.Kom.</t>
  </si>
  <si>
    <t>Muhammad Ilham Alhari, S.Kom., M.Kom.</t>
  </si>
  <si>
    <t>KETUA PROGRAM STUDI REKAYASA PERANGKAT LUNAK (S1)</t>
  </si>
  <si>
    <t>Fidi Wincoko Putro, S.ST., M.Kom.</t>
  </si>
  <si>
    <t>SEKRETARIS PROGRAM STUDI REKAYASA PERANGKAT LUNAK TUS</t>
  </si>
  <si>
    <t>DOSEN PROGRAM STUDI REKAYASA PERANGKAT LUNAK (S1)</t>
  </si>
  <si>
    <t>Mohammad Sholik, S.Kom., M.Kom.</t>
  </si>
  <si>
    <t>Dewi Rahmawati, S.Kom., M.Kom.</t>
  </si>
  <si>
    <t>Billy Montolalu, S.Kom., M.Kom.</t>
  </si>
  <si>
    <t>Achmad Muzakki, S.Kom., M.Kom.</t>
  </si>
  <si>
    <t>Arni Muarifah Amri, S.T., M.T.</t>
  </si>
  <si>
    <t>KETUA PROGRAM STUDI INFORMATIKA (S1)</t>
  </si>
  <si>
    <t>Muhammad Dzulfikar Fauzi, S.Kom., M.Cs.</t>
  </si>
  <si>
    <t>SEKRETARIS PROGRAM STUDI INFORMATIKA TUS</t>
  </si>
  <si>
    <t>DOSEN PROGRAM STUDI INFORMATIKA (S1)</t>
  </si>
  <si>
    <t>Kharisma Monika Dian Pertiwi, S.Kom., M.Kom.</t>
  </si>
  <si>
    <t>Vessa Rizky Oktavia, S.Kom., M.Kom.</t>
  </si>
  <si>
    <t>Alqis Rausanfita, S.Kom., M.Kom.</t>
  </si>
  <si>
    <t>Daud Muhajir, S.Kom., M.Kom.</t>
  </si>
  <si>
    <t>Dr. Dyah Putri Rahmawati, S.Stat.</t>
  </si>
  <si>
    <t>Fandisya Rahman, S.Kom., M.Kom.</t>
  </si>
  <si>
    <t>Pima Hani Safitri, S.Kom., M.Kom.</t>
  </si>
  <si>
    <t>Tanzilal Mustaqim, S.Kom., M.Kom.</t>
  </si>
  <si>
    <t>Dimas Chaerul Ekty Saputra, S.Kom., M.Sc.</t>
  </si>
  <si>
    <t>KETUA PROGRAM STUDI SAINS DATA (S1)</t>
  </si>
  <si>
    <t>Moh. Hamim Zajuli Al Faroby, S.Si., M.Mat.</t>
  </si>
  <si>
    <t>SEKRETARIS PROGRAM STUDI SAINS DATA TUS</t>
  </si>
  <si>
    <t>DOSEN PROGRAM STUDI SAINS DATA (S1)</t>
  </si>
  <si>
    <t>Amalia Nur Alifah, S.Si., M.Si.</t>
  </si>
  <si>
    <t>Regita Putri Permata, S.Stat., M.Stat.</t>
  </si>
  <si>
    <t>Rifdatun Ni'mah, S.Si., M.Si.</t>
  </si>
  <si>
    <t>KETUA PROGRAM STUDI BISNIS DIGITAL (S1)</t>
  </si>
  <si>
    <t>Caesareano Lafado Yesa, S.M.B., M.M.</t>
  </si>
  <si>
    <t>SEKRETARIS PROGRAM STUDI BISNIS DIGITAL TUS</t>
  </si>
  <si>
    <t>DOSEN PROGRAM STUDI BISNIS DIGITAL (S1)</t>
  </si>
  <si>
    <t>Dominggo Bayu Baskara, S.T., M.MT.</t>
  </si>
  <si>
    <t>Darlin Aulia, S.E., M.Ak.</t>
  </si>
  <si>
    <t>Titus Kristanto, S.Kom., M.Kom.</t>
  </si>
  <si>
    <t>Adisya Resti Rahmadanti, S.M., M.A.B.</t>
  </si>
  <si>
    <t>Krisnayanti Aditasari, S.M., M.MT.</t>
  </si>
  <si>
    <t>N. Azizia Gia Mutiarasari, S.M., MBA.</t>
  </si>
  <si>
    <t>Rudi Harianto, S.E., M.A.</t>
  </si>
  <si>
    <t>Bambang Agus Sumantri, S.IP., M.M.</t>
  </si>
  <si>
    <t>Wahyu Eka Kiswardhani</t>
  </si>
  <si>
    <t>Kelompok keahlian TelU</t>
  </si>
  <si>
    <t>Fakultas TelU</t>
  </si>
  <si>
    <t>Email Domain TelU</t>
  </si>
  <si>
    <t>Intelligent Communications and Networks (ICON)</t>
  </si>
  <si>
    <t>ORO</t>
  </si>
  <si>
    <t>Fakultas Teknik Elektro</t>
  </si>
  <si>
    <t>triagusdjokokuntjoro@telkomuniversity.ac.id</t>
  </si>
  <si>
    <t>Control, Elektronics, and Intelligent Systems (CEIS)</t>
  </si>
  <si>
    <t>DWZ</t>
  </si>
  <si>
    <t>dwiedi@telkomuniversity.ac.id</t>
  </si>
  <si>
    <t>ISC</t>
  </si>
  <si>
    <t>riansyah@telkomuniversity.ac.id</t>
  </si>
  <si>
    <t>Moch. Iskandar Riansyah, S.ST., M.T.</t>
  </si>
  <si>
    <t>Tangerang</t>
  </si>
  <si>
    <t>Communication and Information Technology Infrastructure (CITI)</t>
  </si>
  <si>
    <t>DIJ</t>
  </si>
  <si>
    <t>dijaamirah@telkomuniversity.ac.id</t>
  </si>
  <si>
    <t>DIV</t>
  </si>
  <si>
    <t>dimasze@telkomuniversity.ac.id</t>
  </si>
  <si>
    <t xml:space="preserve"> Dimas Adiputra, B.Sc., M.Phil., Ph.D.</t>
  </si>
  <si>
    <t>IHF</t>
  </si>
  <si>
    <t>isahafidz@telkomuniversity.ac.id</t>
  </si>
  <si>
    <t>WMH</t>
  </si>
  <si>
    <t>wmhadiansyah@telkomuniversity.ac.id</t>
  </si>
  <si>
    <t>Data Science and Intelligent Systems (DSIS)</t>
  </si>
  <si>
    <t>FZK</t>
  </si>
  <si>
    <t>farahzakiyah@telkomuniversity.ac.id</t>
  </si>
  <si>
    <t>Farah Zakiyah Rahmanti, S.ST., M.T.</t>
  </si>
  <si>
    <t>Ngawi</t>
  </si>
  <si>
    <t>CAP</t>
  </si>
  <si>
    <t>helmywidyantara@telkomuniversity.ac.id</t>
  </si>
  <si>
    <t>Madiun</t>
  </si>
  <si>
    <t>Enterprise and Industrial System (EINS)</t>
  </si>
  <si>
    <t>WAY</t>
  </si>
  <si>
    <t>wahyuandy@telkomuniversity.ac.id</t>
  </si>
  <si>
    <t>Software Engineering and Algorithm (SEAL)</t>
  </si>
  <si>
    <t>fidiwputro@telkomuniversity.ac.id</t>
  </si>
  <si>
    <t>Medan</t>
  </si>
  <si>
    <t>Ketua KK</t>
  </si>
  <si>
    <t>PHI</t>
  </si>
  <si>
    <t>ptdaely@telkomuniversity.ac.id</t>
  </si>
  <si>
    <t>Philip Tobianto Daely, S.T., M.Eng., Ph.D.</t>
  </si>
  <si>
    <t>Sustainable Material, Instrumentation, Energy, and Computation (SMART)</t>
  </si>
  <si>
    <t>EVE</t>
  </si>
  <si>
    <t>faricha@telkomuniversity.ac.id</t>
  </si>
  <si>
    <t>Anifatul Faricha, S.T., M.Sc., Ph.D</t>
  </si>
  <si>
    <t>HHH</t>
  </si>
  <si>
    <t>mohammadsholik@telkomuniversity.ac.id</t>
  </si>
  <si>
    <t>Cybernetics</t>
  </si>
  <si>
    <t>AFC</t>
  </si>
  <si>
    <t>anfazulazizah@telkomuniversity.ac.id</t>
  </si>
  <si>
    <t>ZAH</t>
  </si>
  <si>
    <t>hamzahmustakim@telkomuniversity.ac.id</t>
  </si>
  <si>
    <t>MIX</t>
  </si>
  <si>
    <t>mohamadyani@telkomuniversity.ac.id</t>
  </si>
  <si>
    <t>Mohamad Yani, S.ST., M.Phil., Ph.D.</t>
  </si>
  <si>
    <t>Karanganyar</t>
  </si>
  <si>
    <t>MCN</t>
  </si>
  <si>
    <t>mmuhsin@telkomuniversity.ac.id</t>
  </si>
  <si>
    <t>Muhsin, S.T., M.T., Ph. D.</t>
  </si>
  <si>
    <t>nrachmaningrum@telkomuniversity.ac.id</t>
  </si>
  <si>
    <t>Benteng</t>
  </si>
  <si>
    <t>Arliyanti Nurdin, S.T., M.T.</t>
  </si>
  <si>
    <t>Sampang</t>
  </si>
  <si>
    <t>NOE</t>
  </si>
  <si>
    <t>totonsiplho@telkomuniversity.ac.id</t>
  </si>
  <si>
    <t>loraamifia@telkomuniversity.ac.id</t>
  </si>
  <si>
    <t>Sanggau</t>
  </si>
  <si>
    <t>ullyas@telkomuniversity.ac.id</t>
  </si>
  <si>
    <t>Signal Processing, Information Security, and Computer Engineering (SPICE)</t>
  </si>
  <si>
    <t>ubaidillahumar@telkomuniversity.ac.id</t>
  </si>
  <si>
    <t>OAP</t>
  </si>
  <si>
    <t>oktapermata@telkomuniversity.ac.id</t>
  </si>
  <si>
    <t>Strategy, Human, Entrepreneurship &amp; Economy (SHEE)</t>
  </si>
  <si>
    <t>DBB</t>
  </si>
  <si>
    <t>dominggobayu@telkomuniversity.ac.id</t>
  </si>
  <si>
    <t>billymontolalu@telkomuniversity.ac.id</t>
  </si>
  <si>
    <t>YPT</t>
  </si>
  <si>
    <t>yufidu@telkomuniversity.ac.id</t>
  </si>
  <si>
    <t>DWX</t>
  </si>
  <si>
    <t>dewirahmawati@telkomuniversity.ac.id</t>
  </si>
  <si>
    <t>Dr. Dewi Rahmawati, S.Kom., M.Kom.</t>
  </si>
  <si>
    <t>ADQ</t>
  </si>
  <si>
    <t>farouq@telkomuniversity.ac.id</t>
  </si>
  <si>
    <t>Ardiansyah Al Farouq, S.ST., M.T.</t>
  </si>
  <si>
    <t>CAK</t>
  </si>
  <si>
    <t>ardianyw@telkomuniversity.ac.id</t>
  </si>
  <si>
    <t>RDV</t>
  </si>
  <si>
    <t>rdprihadian@telkomuniversity.ac.id</t>
  </si>
  <si>
    <t>Engineering Management System</t>
  </si>
  <si>
    <t>ZQA</t>
  </si>
  <si>
    <t>rizqazunaidi@telkomuniversity.ac.id</t>
  </si>
  <si>
    <t>ICT Business Management (IBM)</t>
  </si>
  <si>
    <t>tituskristanto@telkomuniversity.ac.id</t>
  </si>
  <si>
    <t>pangestuw@telkomuniversity.ac.id</t>
  </si>
  <si>
    <t>Pekalongan</t>
  </si>
  <si>
    <t>EXE</t>
  </si>
  <si>
    <t>abduhalbana@telkomuniversity.ac.id</t>
  </si>
  <si>
    <t>Magetan</t>
  </si>
  <si>
    <t>MAE</t>
  </si>
  <si>
    <t>hawwinmardhiana@telkomuniversity.ac.id</t>
  </si>
  <si>
    <t>Hawwin Mardhiana, S.Kom., M.Kom.</t>
  </si>
  <si>
    <t>Sukoharjo</t>
  </si>
  <si>
    <t>Production and Manufacturing System</t>
  </si>
  <si>
    <t>imambenazir@telkomuniversity.ac.id</t>
  </si>
  <si>
    <t>Grobogan</t>
  </si>
  <si>
    <t>BOS</t>
  </si>
  <si>
    <t>bernadusanggosenoaji@telkomuniversity.ac.id</t>
  </si>
  <si>
    <t>RTL</t>
  </si>
  <si>
    <t>rokhmatul@telkomuniversity.ac.id</t>
  </si>
  <si>
    <t>Magelang</t>
  </si>
  <si>
    <t>AGX</t>
  </si>
  <si>
    <t>sulistya@telkomuniversity.ac.id</t>
  </si>
  <si>
    <t>Agus Sulistya, S.T., M.Sc., Ph.D</t>
  </si>
  <si>
    <t>RLL</t>
  </si>
  <si>
    <t>risdilah@telkomuniversity.ac.id</t>
  </si>
  <si>
    <t>SUZ</t>
  </si>
  <si>
    <t>susijanto@telkomuniversity.ac.id</t>
  </si>
  <si>
    <t>AYV</t>
  </si>
  <si>
    <t>ayuendah@telkomuniversity.ac.id</t>
  </si>
  <si>
    <t>RLH</t>
  </si>
  <si>
    <t>emnasrul@telkomuniversity.ac.id</t>
  </si>
  <si>
    <t>SSQ</t>
  </si>
  <si>
    <t>sekarwidyasariputri@telkomuniversity.ac.id</t>
  </si>
  <si>
    <t>Ponorogo</t>
  </si>
  <si>
    <t>OGA</t>
  </si>
  <si>
    <t>rizayoga@telkomuniversity.ac.id</t>
  </si>
  <si>
    <t>Riza Akhsani Setyo Prayoga, S.Kom., M.MT.</t>
  </si>
  <si>
    <t>AWQ</t>
  </si>
  <si>
    <t>ahmadsatria@telkomuniversity.ac.id</t>
  </si>
  <si>
    <t>MDX</t>
  </si>
  <si>
    <t>dzulfikarf@telkomuniversity.ac.id</t>
  </si>
  <si>
    <t>KMP</t>
  </si>
  <si>
    <t>kharismamonikadp@telkomuniversity.ac.id</t>
  </si>
  <si>
    <t>RZO</t>
  </si>
  <si>
    <t>rizkyfenaldo@telkomuniversity.ac.id</t>
  </si>
  <si>
    <t>Kudus</t>
  </si>
  <si>
    <t>MAC</t>
  </si>
  <si>
    <t>amalialifah@telkomuniversity.ac.id</t>
  </si>
  <si>
    <t>HEF</t>
  </si>
  <si>
    <t>helisyahnf@telkomuniversity.ac.id</t>
  </si>
  <si>
    <t>Dr. Helisyah Nur Fadhilah, S.Si., M.Mat.</t>
  </si>
  <si>
    <t>OBY</t>
  </si>
  <si>
    <t>alfarobymhz@telkomuniversity.ac.id</t>
  </si>
  <si>
    <t>AFX</t>
  </si>
  <si>
    <t>Ahmad Faisal Dahlan, S.T., M.Eng.</t>
  </si>
  <si>
    <t>DEZ</t>
  </si>
  <si>
    <t>desitanurr@telkomuniversity.ac.id</t>
  </si>
  <si>
    <t>GRN</t>
  </si>
  <si>
    <t>granita@telkomuniversity.ac.id</t>
  </si>
  <si>
    <t>NSX</t>
  </si>
  <si>
    <t>nisaisrofi@telkomuniversity.ac.id</t>
  </si>
  <si>
    <t>FSX</t>
  </si>
  <si>
    <t>fannushakbar@telkomuniversity.ac.id</t>
  </si>
  <si>
    <t>Dr. Fannush Shofi Akbar, S.ST.</t>
  </si>
  <si>
    <t>AUV</t>
  </si>
  <si>
    <t>auliannisa@telkomuniversity.ac.id</t>
  </si>
  <si>
    <t>Aulia Rahma Annisa, S.ST., M.T.</t>
  </si>
  <si>
    <t>KUZ</t>
  </si>
  <si>
    <t>ariskusumawati@telkomuniversity.ac.id</t>
  </si>
  <si>
    <t>NZR</t>
  </si>
  <si>
    <t>mnizarpm@telkomuniversity.ac.id</t>
  </si>
  <si>
    <t>PAK</t>
  </si>
  <si>
    <t>purnamaanaking@telkomuniversity.ac.id</t>
  </si>
  <si>
    <t>KYA</t>
  </si>
  <si>
    <t>kyafara@telkomuniversity.ac.id</t>
  </si>
  <si>
    <t>Arrizky Ayu Faradila Purnama, S.T., M.T.</t>
  </si>
  <si>
    <t>GIT</t>
  </si>
  <si>
    <t>regitapermata@telkomuniversity.ac.id</t>
  </si>
  <si>
    <t>NIC</t>
  </si>
  <si>
    <t>rifdatun@telkomuniversity.ac.id</t>
  </si>
  <si>
    <t>Bunyu</t>
  </si>
  <si>
    <t>RFX</t>
  </si>
  <si>
    <t>Rifa Atul Izza Asyari, S.T., M.Sc.</t>
  </si>
  <si>
    <t>MDB</t>
  </si>
  <si>
    <t>adibmkamali@telkomuniversity.ac.id</t>
  </si>
  <si>
    <t>Muhammad Adib Kamali, S.T., M.Eng.</t>
  </si>
  <si>
    <t>Manggarai</t>
  </si>
  <si>
    <t>IKI</t>
  </si>
  <si>
    <t>riskiraulia@telkomuniversity.ac.id</t>
  </si>
  <si>
    <t>Raulia Riski, S.Kom., M.Kom., M.M.S.</t>
  </si>
  <si>
    <t>SRX</t>
  </si>
  <si>
    <t>srihidayatisi@telkomuniversity.ac.id</t>
  </si>
  <si>
    <t>FZS</t>
  </si>
  <si>
    <t>Fauzan Nusyura, S.T., M.T.</t>
  </si>
  <si>
    <t>CNO</t>
  </si>
  <si>
    <t>anofado@telkomuniversity.ac.id</t>
  </si>
  <si>
    <t>ZAC</t>
  </si>
  <si>
    <t>achmadmuzakki@telkomuniversity.ac.id</t>
  </si>
  <si>
    <t>CEO</t>
  </si>
  <si>
    <t>silviistiqomah@telkomuniversity.ac.id</t>
  </si>
  <si>
    <t>Finance and Accounting Studies (FAS)</t>
  </si>
  <si>
    <t>DAQ</t>
  </si>
  <si>
    <t>darlinaulia@telkomuniversity.ac.id</t>
  </si>
  <si>
    <t>Darlin Aulia, S. E., M.S.Ak.</t>
  </si>
  <si>
    <t>Klaten</t>
  </si>
  <si>
    <t>perdanasuteja@telkomuniversity.ac.id</t>
  </si>
  <si>
    <t>Perdana Suteja Putra, S.T., M.T.</t>
  </si>
  <si>
    <t>Probolinggo</t>
  </si>
  <si>
    <t>NDZ</t>
  </si>
  <si>
    <t>Nanda Iryani, S.T., M.T.</t>
  </si>
  <si>
    <t>Cilacap</t>
  </si>
  <si>
    <t>Wakil Direktur Bidang Admisi dan Kemahasiswaan</t>
  </si>
  <si>
    <t>AWX</t>
  </si>
  <si>
    <t>agoeswindarto@telkomuniversity.ac.id</t>
  </si>
  <si>
    <t>Agoes Windarto, S.T., M.M.</t>
  </si>
  <si>
    <t>ARX</t>
  </si>
  <si>
    <t>adzrachmadhip@telkomuniversity.ac.id</t>
  </si>
  <si>
    <t>Adzanil Rachmadhi Putra, S.Kom., M.Kom.</t>
  </si>
  <si>
    <t>APX</t>
  </si>
  <si>
    <t>affifiana@telkomuniversity.ac.id</t>
  </si>
  <si>
    <t>AQH</t>
  </si>
  <si>
    <t>deandrys@telkomuniversity.ac.id</t>
  </si>
  <si>
    <t>Pamekasan</t>
  </si>
  <si>
    <t>AZQ</t>
  </si>
  <si>
    <t>anisadzulkarnain@telkomuniversity.ac.id</t>
  </si>
  <si>
    <t>AXA</t>
  </si>
  <si>
    <t>anitahakimnst@telkomuniversity.ac.id</t>
  </si>
  <si>
    <t>Ciamis</t>
  </si>
  <si>
    <t>RMV</t>
  </si>
  <si>
    <t>aripramadan@telkomuniversity.ac.id</t>
  </si>
  <si>
    <t>wachdayuniarr@telkomuniversity.ac.id</t>
  </si>
  <si>
    <t>MFL</t>
  </si>
  <si>
    <t>mustafakamal@telkomuniversity.ac.id</t>
  </si>
  <si>
    <t>YOH</t>
  </si>
  <si>
    <t>yohanessetiawan@telkomuniversity.ac.id</t>
  </si>
  <si>
    <t>ROX</t>
  </si>
  <si>
    <t>rosyidabdillah@telkomuniversity.ac.id</t>
  </si>
  <si>
    <t>vessarizky@telkomuniversity.ac.id</t>
  </si>
  <si>
    <t>ALQ</t>
  </si>
  <si>
    <t>alqisfita@telkomuniversity.ac.id</t>
  </si>
  <si>
    <t>Surakarta</t>
  </si>
  <si>
    <t>RIX</t>
  </si>
  <si>
    <t>rifkidwi@telkomuniversity.ac.id</t>
  </si>
  <si>
    <t>Pekanbaru</t>
  </si>
  <si>
    <t>hukichandra@telkomuniversity.ac.id</t>
  </si>
  <si>
    <t>TRL</t>
  </si>
  <si>
    <t>titaayu@telkomuniversity.ac.id</t>
  </si>
  <si>
    <t>ananda@telkomuniversity.ac.id</t>
  </si>
  <si>
    <t>Pasuruan</t>
  </si>
  <si>
    <t>HBO</t>
  </si>
  <si>
    <t>hendybr@telkomuniversity.ac.id</t>
  </si>
  <si>
    <t>berlianerel@telkomuniversity.ac.id</t>
  </si>
  <si>
    <t>MYX</t>
  </si>
  <si>
    <t>myanuar@telkomuniversity.ac.id</t>
  </si>
  <si>
    <t>Yogyakarta</t>
  </si>
  <si>
    <t>CLF</t>
  </si>
  <si>
    <t>chaironi@telkomuniversity.ac.id</t>
  </si>
  <si>
    <t>AUX</t>
  </si>
  <si>
    <t>aufarfd@telkomuniversity.ac.id</t>
  </si>
  <si>
    <t>Sragen</t>
  </si>
  <si>
    <t>LHA</t>
  </si>
  <si>
    <t>ilhamalhari@telkomuniversity.ac.id</t>
  </si>
  <si>
    <t>Bandung</t>
  </si>
  <si>
    <t>NTI</t>
  </si>
  <si>
    <t>adisyaresti@telkomuniversity.ac.id</t>
  </si>
  <si>
    <t>Bantaeng</t>
  </si>
  <si>
    <t>NIE</t>
  </si>
  <si>
    <t>arnyrivah@telkomuniversity.ac.id</t>
  </si>
  <si>
    <t>MHJ</t>
  </si>
  <si>
    <t>daudmuhajir@telkomuniversity.ac.id</t>
  </si>
  <si>
    <t>DPH</t>
  </si>
  <si>
    <t>dyahputri@telkomuniversity.ac.id</t>
  </si>
  <si>
    <t>ORN</t>
  </si>
  <si>
    <t>ekasario@telkomuniversity.ac.id</t>
  </si>
  <si>
    <t>KNY</t>
  </si>
  <si>
    <t>krisnaaditasari@telkomuniversity.ac.id</t>
  </si>
  <si>
    <t>PIM</t>
  </si>
  <si>
    <t>phanisafitri@telkomuniversity.ac.id</t>
  </si>
  <si>
    <t>tanzilal@telkomuniversity.ac.id</t>
  </si>
  <si>
    <t>MUN</t>
  </si>
  <si>
    <t>mastutyayu@telkomuniversity.ac.id</t>
  </si>
  <si>
    <t>Mastuty Ayu Ningtyas, S.Kom., M.MT.</t>
  </si>
  <si>
    <t>PAM</t>
  </si>
  <si>
    <t>paramadityaars@telkomuniversity.ac.id</t>
  </si>
  <si>
    <t>TAF</t>
  </si>
  <si>
    <t>sardjonotriarief@telkomuniversity.ac.id</t>
  </si>
  <si>
    <t xml:space="preserve"> </t>
  </si>
  <si>
    <t>BLW</t>
  </si>
  <si>
    <t>bambanglelono@telkomuniversity.ac.id</t>
  </si>
  <si>
    <t>FND</t>
  </si>
  <si>
    <t>fandisya@telkomuniversity.ac.id</t>
  </si>
  <si>
    <t>RHO</t>
  </si>
  <si>
    <t>rudiharianto@telkomuniversity.ac.id</t>
  </si>
  <si>
    <t>Brebes</t>
  </si>
  <si>
    <t>AGM</t>
  </si>
  <si>
    <t>naziziagia@telkomuniversity.ac.id</t>
  </si>
  <si>
    <t>N. Azizia Gia Mutiarasari, S.M., MBA</t>
  </si>
  <si>
    <t>DCE</t>
  </si>
  <si>
    <t>dimaschaerulekty@telkomuniversity.ac.id</t>
  </si>
  <si>
    <t>BSG</t>
  </si>
  <si>
    <t>bambangagussumantri@telkomuniversity.ac.id</t>
  </si>
  <si>
    <t>Dr.M. Bambang Agus Sumantri, S.IP., M.M.</t>
  </si>
  <si>
    <t>Alon Jala Tirta Segara, S.Kom., M.Kom.</t>
  </si>
  <si>
    <t>Padang</t>
  </si>
  <si>
    <t>Muhammad Farhansyah Mondari, S.M., M.M.</t>
  </si>
  <si>
    <t>Rizqi Ramadhan, S.T., M.Kom.</t>
  </si>
  <si>
    <t>Rohmah Hidayah, S.Tr.T., M.T.</t>
  </si>
  <si>
    <t>Cirebon</t>
  </si>
  <si>
    <t>Salsabila Putri Indah Sari, S.T., M.T.</t>
  </si>
  <si>
    <t>qoriafiatafiddina@telkomuniversity.ac.id</t>
  </si>
  <si>
    <t>Qori Afiata Fiddina, S.Mat., M.Mat.</t>
  </si>
  <si>
    <t>Bengkulu</t>
  </si>
  <si>
    <t>rafikadamayanti@telkomuniversity.ac.id</t>
  </si>
  <si>
    <t>Rafika Damayanti Sururin Nufus, S.Mat., M.Si.</t>
  </si>
  <si>
    <t>nuchailaainiyah@telkomuniversity.ac.id</t>
  </si>
  <si>
    <t>Nuchaila Ainiyah, S.Mat., M.Mat.</t>
  </si>
  <si>
    <t>Karang Anyar</t>
  </si>
  <si>
    <t>faisalzaidanpradana@telkomuniversity.ac.id</t>
  </si>
  <si>
    <t>Faisal Zaidan Pradana, S.Aktr., M.Si.</t>
  </si>
  <si>
    <t>Kulon Progo</t>
  </si>
  <si>
    <t>affifahmutiara@telkomuniversity.ac.id</t>
  </si>
  <si>
    <t>Affifah Mutiara Pertiwi, S.Kom., M.Cs.</t>
  </si>
  <si>
    <t>Bone</t>
  </si>
  <si>
    <t>karinafitriwulandari@telkomuniversity.ac.id</t>
  </si>
  <si>
    <t>Karina Fitriwulandari Ilham, S.Kom., M.Kom.</t>
  </si>
  <si>
    <t>Kode Dosen</t>
  </si>
  <si>
    <t>Studi Lanjut</t>
  </si>
  <si>
    <t>Kelompok Keahlian</t>
  </si>
  <si>
    <t>Ketua COE</t>
  </si>
  <si>
    <t>ORO (TDK)</t>
  </si>
  <si>
    <t>Wakil Direktur 3</t>
  </si>
  <si>
    <t>Wakil Direktur 2</t>
  </si>
  <si>
    <t>Keprofesian</t>
  </si>
  <si>
    <t>Harga</t>
  </si>
  <si>
    <t>Pengguna Aset</t>
  </si>
  <si>
    <t>Status Pendanaan</t>
  </si>
  <si>
    <t>Item</t>
  </si>
  <si>
    <t>Merk</t>
  </si>
  <si>
    <t>Type</t>
  </si>
  <si>
    <t>Serial number</t>
  </si>
  <si>
    <t>Posisi saat ini</t>
  </si>
  <si>
    <t>CAPEX</t>
  </si>
  <si>
    <t>Laptop</t>
  </si>
  <si>
    <t>Admisi</t>
  </si>
  <si>
    <t>Lenovo</t>
  </si>
  <si>
    <t>IdeaPad 3</t>
  </si>
  <si>
    <t>Hilang</t>
  </si>
  <si>
    <t>Dimas</t>
  </si>
  <si>
    <t>OPEX</t>
  </si>
  <si>
    <t>Wadek FTEIC</t>
  </si>
  <si>
    <t>HP</t>
  </si>
  <si>
    <t>HP 14s-fq2002AU</t>
  </si>
  <si>
    <t>5CD1042W3W</t>
  </si>
  <si>
    <t>User</t>
  </si>
  <si>
    <t>Al Farouq</t>
  </si>
  <si>
    <t>Studi lanjut</t>
  </si>
  <si>
    <t>5CD223FKZ2</t>
  </si>
  <si>
    <t>Reza</t>
  </si>
  <si>
    <t>logam</t>
  </si>
  <si>
    <t>5CD223FL35</t>
  </si>
  <si>
    <t>Atika</t>
  </si>
  <si>
    <t>5CD223FL3Q</t>
  </si>
  <si>
    <t>Hani</t>
  </si>
  <si>
    <t>SDM</t>
  </si>
  <si>
    <t>5CD2309NM1</t>
  </si>
  <si>
    <t>Ayu</t>
  </si>
  <si>
    <t>SPMIA</t>
  </si>
  <si>
    <t>5CD2309NNK</t>
  </si>
  <si>
    <t>Fina</t>
  </si>
  <si>
    <t>Laboran FTEIC</t>
  </si>
  <si>
    <t>5CD2309NNV</t>
  </si>
  <si>
    <t>Merry</t>
  </si>
  <si>
    <t>LPPM</t>
  </si>
  <si>
    <t>5CD2309NS2</t>
  </si>
  <si>
    <t>Alby</t>
  </si>
  <si>
    <t>5CD2309NWY</t>
  </si>
  <si>
    <t>Ongky</t>
  </si>
  <si>
    <t>Laboran FTIB</t>
  </si>
  <si>
    <t>5CD2309NY3</t>
  </si>
  <si>
    <t>Bhirawa</t>
  </si>
  <si>
    <t>KMH</t>
  </si>
  <si>
    <t>5CD2309NYG</t>
  </si>
  <si>
    <t>Prily</t>
  </si>
  <si>
    <t>5CD2309NZ4</t>
  </si>
  <si>
    <t>Awang</t>
  </si>
  <si>
    <t>Puti</t>
  </si>
  <si>
    <t>5CD2309NZ5</t>
  </si>
  <si>
    <t>Dikembalikan ke PUTI</t>
  </si>
  <si>
    <t>Dina</t>
  </si>
  <si>
    <t>BLA</t>
  </si>
  <si>
    <t>5CD2309NZ6</t>
  </si>
  <si>
    <t>Defly</t>
  </si>
  <si>
    <t>5CD2309NZ8</t>
  </si>
  <si>
    <t>Rere</t>
  </si>
  <si>
    <t>5CD2309NZF</t>
  </si>
  <si>
    <t>Yanuar</t>
  </si>
  <si>
    <t>Kaprodi TK</t>
  </si>
  <si>
    <t>5CD2309NZH</t>
  </si>
  <si>
    <t>Rizal</t>
  </si>
  <si>
    <t>Sekpim</t>
  </si>
  <si>
    <t>5CD2309P05</t>
  </si>
  <si>
    <t>Intan</t>
  </si>
  <si>
    <t>5CD2309P0M</t>
  </si>
  <si>
    <t>Safira</t>
  </si>
  <si>
    <t>5CD2309P12</t>
  </si>
  <si>
    <t>Fanda</t>
  </si>
  <si>
    <t>5CD2309POF</t>
  </si>
  <si>
    <t>Yordy</t>
  </si>
  <si>
    <t>5CD2309POX</t>
  </si>
  <si>
    <t>Lora</t>
  </si>
  <si>
    <t>Ketua KK TE</t>
  </si>
  <si>
    <t>5CD2309PVC</t>
  </si>
  <si>
    <t>Sepertinya sudah dikembalikan</t>
  </si>
  <si>
    <t>Ayu Endah</t>
  </si>
  <si>
    <t>Kaprodi TI</t>
  </si>
  <si>
    <t>5CD2374D6K</t>
  </si>
  <si>
    <t>Zulfikar</t>
  </si>
  <si>
    <t>Kaprodi IF</t>
  </si>
  <si>
    <t>5CD2374D76</t>
  </si>
  <si>
    <t>Fani</t>
  </si>
  <si>
    <t>5CD2374D87</t>
  </si>
  <si>
    <t>Obi</t>
  </si>
  <si>
    <t>Kaprodi DS</t>
  </si>
  <si>
    <t>5CD2374DB5</t>
  </si>
  <si>
    <t>PC AIO</t>
  </si>
  <si>
    <t>All-In-One 24-d11000d PC</t>
  </si>
  <si>
    <t>MP20V7HE</t>
  </si>
  <si>
    <t>Muhammad Nasrullah</t>
  </si>
  <si>
    <t>ASUS</t>
  </si>
  <si>
    <t>Vivobook M1403Q</t>
  </si>
  <si>
    <t>NBN0CV14T900485</t>
  </si>
  <si>
    <t>NBN0CV14T943487</t>
  </si>
  <si>
    <t>PF1AXN5M</t>
  </si>
  <si>
    <t>IdeaPad Slim 3 14IAH8</t>
  </si>
  <si>
    <t>PF4YXB9S</t>
  </si>
  <si>
    <t>R1N0CV017095019</t>
  </si>
  <si>
    <t>R1N0CV11H900046</t>
  </si>
  <si>
    <t>R1N0CV11H916043</t>
  </si>
  <si>
    <t>Pusat Teknologi Infomasi</t>
  </si>
  <si>
    <t>R1N0CV11H94604B</t>
  </si>
  <si>
    <t>Tablet</t>
  </si>
  <si>
    <t>Samsung</t>
  </si>
  <si>
    <t>Galaxy S9 FE Plus 5G SM-X616B</t>
  </si>
  <si>
    <t>X616BGSMH</t>
  </si>
  <si>
    <t>Wadir 1</t>
  </si>
  <si>
    <t>SM-X616B</t>
  </si>
  <si>
    <t>Wadir 3</t>
  </si>
  <si>
    <t>Firman</t>
  </si>
  <si>
    <t>PuTI</t>
  </si>
  <si>
    <t>Apple</t>
  </si>
  <si>
    <t>Macbook</t>
  </si>
  <si>
    <t>Adib</t>
  </si>
  <si>
    <t>R1N0CV017084016</t>
  </si>
  <si>
    <t>Agus Sulistya S.T., M.Sc., Ph.D</t>
  </si>
  <si>
    <t>Wadir 2</t>
  </si>
  <si>
    <t>Zenbook 14X OLED</t>
  </si>
  <si>
    <t>Amira</t>
  </si>
  <si>
    <t>Resign, Diproses SDM</t>
  </si>
  <si>
    <t>Aulia</t>
  </si>
  <si>
    <t>Kabag SPMIA</t>
  </si>
  <si>
    <t>Okta</t>
  </si>
  <si>
    <t>KK (IT)</t>
  </si>
  <si>
    <t>PF24Y752</t>
  </si>
  <si>
    <t>Galuh Bagus</t>
  </si>
  <si>
    <t>Laboran</t>
  </si>
  <si>
    <t>Faizal</t>
  </si>
  <si>
    <t>MSI</t>
  </si>
  <si>
    <t>K2102N0070478</t>
  </si>
  <si>
    <t>Prodi / Unit</t>
  </si>
  <si>
    <t>Bisnis Digital</t>
  </si>
  <si>
    <t>Direktorat TUS</t>
  </si>
  <si>
    <t>Center of Excellence</t>
  </si>
  <si>
    <t>2024-2025</t>
  </si>
  <si>
    <t>Untuk laptri 2, jumlah dosen masih 112. Adisya dan Affifiana belum terhitung mundur</t>
  </si>
  <si>
    <t>2026-2027</t>
  </si>
  <si>
    <t>2027-2028</t>
  </si>
  <si>
    <t>2028-2029</t>
  </si>
  <si>
    <t>2029-2030</t>
  </si>
  <si>
    <t>2030-2031</t>
  </si>
  <si>
    <t>2031-2032</t>
  </si>
  <si>
    <t>2032-2033</t>
  </si>
  <si>
    <t>2033-2034</t>
  </si>
  <si>
    <t>2034-2035</t>
  </si>
  <si>
    <t>2035-2036</t>
  </si>
  <si>
    <t>Prodi A</t>
  </si>
  <si>
    <t>Jumlah Dosen 2024-2025 Ganjil</t>
  </si>
  <si>
    <t>NDTPS</t>
  </si>
  <si>
    <t>NDTT</t>
  </si>
  <si>
    <t>NDT</t>
  </si>
  <si>
    <t>PDTT</t>
  </si>
  <si>
    <t>A</t>
  </si>
  <si>
    <t>B</t>
  </si>
  <si>
    <t>NILAI</t>
  </si>
  <si>
    <t>Jumlah dosen tetap yang ditugaskan sebagai pengampu mata kuliah dengan bidang keahlian yang sesuai dengan kompetensi inti program studi yang diakreditasi</t>
  </si>
  <si>
    <t>Jumlah dosen tidak tetap yang ditugaskan sebagai pengampu mata kuliah di program studi yang diakreditasi</t>
  </si>
  <si>
    <t>Jumlah dosen tetap yang ditugaskan sebagai pengampu mata kuliah di program studi yang diakreditasi</t>
  </si>
  <si>
    <t>NDS3</t>
  </si>
  <si>
    <t>PDS3</t>
  </si>
  <si>
    <t>Nilai</t>
  </si>
  <si>
    <t>Jumlah DTPS yang berpendidikan doktor/doktor terapan</t>
  </si>
  <si>
    <t>(NDS3/NDTPS)*100%</t>
  </si>
  <si>
    <t>PGBLKL</t>
  </si>
  <si>
    <t>TBIB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</si>
</sst>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[$-421]dd\ mmmm\ yyyy;@"/>
    <numFmt numFmtId="166" formatCode="0.0%"/>
    <numFmt numFmtId="167" formatCode="0.0"/>
  </numFmts>
  <fonts count="5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  <font>
      <sz val="14"/>
      <color rgb="FF000000"/>
      <name val="&quot;Arial Narrow&quot;"/>
    </font>
    <font>
      <i/>
      <sz val="14"/>
      <color rgb="FF000000"/>
      <name val="Arial Narrow"/>
      <family val="2"/>
    </font>
    <font>
      <sz val="11"/>
      <color rgb="FF000000"/>
      <name val="Calibri"/>
      <family val="2"/>
    </font>
    <font>
      <sz val="14"/>
      <color theme="1"/>
      <name val="Arial Narrow"/>
      <family val="2"/>
    </font>
    <font>
      <sz val="11"/>
      <color theme="1"/>
      <name val="Calibri"/>
      <family val="2"/>
    </font>
    <font>
      <b/>
      <sz val="14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0"/>
      <color theme="1"/>
      <name val="Arial Narrow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 Narrow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4"/>
      <color theme="1"/>
      <name val="Arial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  <charset val="1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Aptos Narrow"/>
      <family val="2"/>
    </font>
    <font>
      <sz val="10"/>
      <color rgb="FF000000"/>
      <name val="Arial Narrow"/>
      <family val="2"/>
    </font>
    <font>
      <b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sz val="11"/>
      <color theme="1"/>
      <name val="Aptos Narrow"/>
      <scheme val="minor"/>
    </font>
    <font>
      <b/>
      <sz val="14"/>
      <color theme="1"/>
      <name val="Arial"/>
      <family val="2"/>
    </font>
    <font>
      <b/>
      <sz val="14"/>
      <color rgb="FF222222"/>
      <name val="Google Sans"/>
      <charset val="1"/>
    </font>
    <font>
      <sz val="14"/>
      <color theme="1"/>
      <name val="Arial"/>
      <family val="2"/>
    </font>
    <font>
      <sz val="12"/>
      <color rgb="FF000000"/>
      <name val="Arial Narrow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sz val="16"/>
      <color rgb="FF000000"/>
      <name val="Arial"/>
      <family val="2"/>
    </font>
    <font>
      <u/>
      <sz val="14"/>
      <color rgb="FF000000"/>
      <name val="Arial Narrow"/>
      <family val="2"/>
    </font>
    <font>
      <sz val="14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Aptos Narrow"/>
      <family val="2"/>
    </font>
    <font>
      <sz val="14"/>
      <color rgb="FF000000"/>
      <name val="Arial Narrow"/>
      <charset val="1"/>
    </font>
    <font>
      <b/>
      <sz val="9"/>
      <color theme="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D4D4D4"/>
        <bgColor rgb="FFD4D4D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ED2471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4D4D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0B3B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8">
    <xf numFmtId="0" fontId="0" fillId="0" borderId="0" xfId="0"/>
    <xf numFmtId="0" fontId="7" fillId="0" borderId="7" xfId="0" applyFont="1" applyBorder="1" applyAlignment="1">
      <alignment readingOrder="1"/>
    </xf>
    <xf numFmtId="0" fontId="8" fillId="0" borderId="10" xfId="0" applyFont="1" applyBorder="1" applyAlignment="1">
      <alignment readingOrder="1"/>
    </xf>
    <xf numFmtId="0" fontId="10" fillId="13" borderId="1" xfId="0" applyFont="1" applyFill="1" applyBorder="1" applyAlignment="1">
      <alignment horizontal="center"/>
    </xf>
    <xf numFmtId="0" fontId="10" fillId="13" borderId="1" xfId="0" applyFont="1" applyFill="1" applyBorder="1"/>
    <xf numFmtId="0" fontId="10" fillId="14" borderId="1" xfId="0" applyFont="1" applyFill="1" applyBorder="1" applyAlignment="1">
      <alignment horizontal="center"/>
    </xf>
    <xf numFmtId="0" fontId="10" fillId="14" borderId="1" xfId="0" applyFont="1" applyFill="1" applyBorder="1"/>
    <xf numFmtId="0" fontId="10" fillId="1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0" fillId="15" borderId="1" xfId="0" applyNumberFormat="1" applyFont="1" applyFill="1" applyBorder="1" applyAlignment="1">
      <alignment horizontal="center"/>
    </xf>
    <xf numFmtId="0" fontId="10" fillId="0" borderId="0" xfId="0" applyFont="1"/>
    <xf numFmtId="0" fontId="14" fillId="16" borderId="1" xfId="0" applyFont="1" applyFill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1" fontId="12" fillId="14" borderId="1" xfId="0" applyNumberFormat="1" applyFont="1" applyFill="1" applyBorder="1"/>
    <xf numFmtId="9" fontId="12" fillId="14" borderId="1" xfId="0" applyNumberFormat="1" applyFont="1" applyFill="1" applyBorder="1"/>
    <xf numFmtId="0" fontId="12" fillId="0" borderId="0" xfId="0" applyFont="1" applyAlignment="1">
      <alignment horizontal="center"/>
    </xf>
    <xf numFmtId="0" fontId="14" fillId="16" borderId="1" xfId="0" applyFont="1" applyFill="1" applyBorder="1" applyAlignment="1">
      <alignment horizontal="left"/>
    </xf>
    <xf numFmtId="0" fontId="10" fillId="0" borderId="1" xfId="0" applyFont="1" applyBorder="1"/>
    <xf numFmtId="0" fontId="12" fillId="0" borderId="1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8" fillId="17" borderId="1" xfId="0" applyFont="1" applyFill="1" applyBorder="1" applyAlignment="1">
      <alignment readingOrder="1"/>
    </xf>
    <xf numFmtId="10" fontId="15" fillId="17" borderId="1" xfId="0" applyNumberFormat="1" applyFont="1" applyFill="1" applyBorder="1" applyAlignment="1">
      <alignment readingOrder="1"/>
    </xf>
    <xf numFmtId="0" fontId="19" fillId="17" borderId="1" xfId="0" applyFont="1" applyFill="1" applyBorder="1" applyAlignment="1">
      <alignment readingOrder="1"/>
    </xf>
    <xf numFmtId="10" fontId="19" fillId="17" borderId="1" xfId="0" applyNumberFormat="1" applyFont="1" applyFill="1" applyBorder="1" applyAlignment="1">
      <alignment readingOrder="1"/>
    </xf>
    <xf numFmtId="0" fontId="16" fillId="17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20" fillId="0" borderId="1" xfId="0" applyFont="1" applyBorder="1" applyAlignment="1">
      <alignment horizontal="center" vertical="center"/>
    </xf>
    <xf numFmtId="10" fontId="20" fillId="17" borderId="1" xfId="0" applyNumberFormat="1" applyFont="1" applyFill="1" applyBorder="1" applyAlignment="1">
      <alignment horizontal="center" vertical="center"/>
    </xf>
    <xf numFmtId="10" fontId="20" fillId="17" borderId="15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readingOrder="1"/>
    </xf>
    <xf numFmtId="0" fontId="22" fillId="17" borderId="1" xfId="0" applyFont="1" applyFill="1" applyBorder="1"/>
    <xf numFmtId="0" fontId="23" fillId="17" borderId="1" xfId="0" applyFont="1" applyFill="1" applyBorder="1"/>
    <xf numFmtId="0" fontId="22" fillId="17" borderId="1" xfId="0" applyFont="1" applyFill="1" applyBorder="1" applyAlignment="1">
      <alignment readingOrder="1"/>
    </xf>
    <xf numFmtId="0" fontId="24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8" fillId="19" borderId="1" xfId="0" applyFont="1" applyFill="1" applyBorder="1" applyAlignment="1">
      <alignment horizontal="center" readingOrder="1"/>
    </xf>
    <xf numFmtId="0" fontId="15" fillId="19" borderId="1" xfId="0" applyFont="1" applyFill="1" applyBorder="1" applyAlignment="1">
      <alignment horizontal="center" readingOrder="1"/>
    </xf>
    <xf numFmtId="0" fontId="15" fillId="20" borderId="1" xfId="0" applyFont="1" applyFill="1" applyBorder="1" applyAlignment="1">
      <alignment horizontal="center" vertical="center" wrapText="1" readingOrder="1"/>
    </xf>
    <xf numFmtId="0" fontId="19" fillId="20" borderId="1" xfId="0" applyFont="1" applyFill="1" applyBorder="1" applyAlignment="1">
      <alignment horizontal="center" vertical="center" readingOrder="1"/>
    </xf>
    <xf numFmtId="0" fontId="18" fillId="20" borderId="1" xfId="0" applyFont="1" applyFill="1" applyBorder="1" applyAlignment="1">
      <alignment horizontal="center" readingOrder="1"/>
    </xf>
    <xf numFmtId="0" fontId="17" fillId="20" borderId="1" xfId="0" applyFont="1" applyFill="1" applyBorder="1" applyAlignment="1">
      <alignment horizontal="center" readingOrder="1"/>
    </xf>
    <xf numFmtId="0" fontId="15" fillId="20" borderId="1" xfId="0" applyFont="1" applyFill="1" applyBorder="1" applyAlignment="1">
      <alignment horizontal="center" readingOrder="1"/>
    </xf>
    <xf numFmtId="0" fontId="16" fillId="21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readingOrder="1"/>
    </xf>
    <xf numFmtId="0" fontId="16" fillId="22" borderId="1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6" fillId="23" borderId="15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20" fillId="23" borderId="15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 vertical="center" readingOrder="1"/>
    </xf>
    <xf numFmtId="0" fontId="21" fillId="24" borderId="15" xfId="0" applyFont="1" applyFill="1" applyBorder="1" applyAlignment="1">
      <alignment horizontal="center" vertical="center" readingOrder="1"/>
    </xf>
    <xf numFmtId="0" fontId="16" fillId="24" borderId="1" xfId="0" applyFont="1" applyFill="1" applyBorder="1" applyAlignment="1">
      <alignment horizontal="center"/>
    </xf>
    <xf numFmtId="0" fontId="16" fillId="24" borderId="15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5" xfId="0" applyFont="1" applyFill="1" applyBorder="1" applyAlignment="1">
      <alignment horizontal="center"/>
    </xf>
    <xf numFmtId="0" fontId="18" fillId="25" borderId="1" xfId="0" applyFont="1" applyFill="1" applyBorder="1" applyAlignment="1">
      <alignment horizontal="center" readingOrder="1"/>
    </xf>
    <xf numFmtId="0" fontId="15" fillId="25" borderId="1" xfId="0" applyFont="1" applyFill="1" applyBorder="1" applyAlignment="1">
      <alignment horizontal="center" readingOrder="1"/>
    </xf>
    <xf numFmtId="0" fontId="24" fillId="0" borderId="15" xfId="0" applyFont="1" applyBorder="1" applyAlignment="1">
      <alignment horizontal="center"/>
    </xf>
    <xf numFmtId="0" fontId="21" fillId="22" borderId="1" xfId="0" applyFont="1" applyFill="1" applyBorder="1" applyAlignment="1">
      <alignment horizontal="center" vertical="center" readingOrder="1"/>
    </xf>
    <xf numFmtId="0" fontId="24" fillId="27" borderId="1" xfId="0" applyFont="1" applyFill="1" applyBorder="1" applyAlignment="1">
      <alignment horizontal="center" vertical="center"/>
    </xf>
    <xf numFmtId="0" fontId="24" fillId="27" borderId="15" xfId="0" applyFont="1" applyFill="1" applyBorder="1" applyAlignment="1">
      <alignment horizontal="center" vertical="center"/>
    </xf>
    <xf numFmtId="0" fontId="24" fillId="28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4" fillId="29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0" borderId="1" xfId="0" applyFill="1" applyBorder="1" applyAlignment="1">
      <alignment horizontal="left"/>
    </xf>
    <xf numFmtId="0" fontId="24" fillId="26" borderId="1" xfId="0" applyFont="1" applyFill="1" applyBorder="1" applyAlignment="1">
      <alignment horizontal="center"/>
    </xf>
    <xf numFmtId="0" fontId="24" fillId="31" borderId="1" xfId="0" applyFont="1" applyFill="1" applyBorder="1" applyAlignment="1">
      <alignment horizontal="center"/>
    </xf>
    <xf numFmtId="0" fontId="24" fillId="32" borderId="1" xfId="0" applyFont="1" applyFill="1" applyBorder="1" applyAlignment="1">
      <alignment horizontal="center"/>
    </xf>
    <xf numFmtId="0" fontId="26" fillId="33" borderId="0" xfId="0" applyFont="1" applyFill="1"/>
    <xf numFmtId="0" fontId="27" fillId="0" borderId="0" xfId="0" applyFont="1"/>
    <xf numFmtId="0" fontId="27" fillId="0" borderId="0" xfId="0" applyFont="1" applyAlignment="1">
      <alignment horizontal="center"/>
    </xf>
    <xf numFmtId="0" fontId="25" fillId="34" borderId="1" xfId="0" applyFont="1" applyFill="1" applyBorder="1" applyAlignment="1">
      <alignment horizontal="center"/>
    </xf>
    <xf numFmtId="0" fontId="27" fillId="34" borderId="1" xfId="0" applyFont="1" applyFill="1" applyBorder="1" applyAlignment="1">
      <alignment horizontal="center"/>
    </xf>
    <xf numFmtId="0" fontId="25" fillId="34" borderId="15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left"/>
    </xf>
    <xf numFmtId="0" fontId="27" fillId="0" borderId="1" xfId="0" applyFont="1" applyBorder="1"/>
    <xf numFmtId="0" fontId="27" fillId="3" borderId="1" xfId="0" applyFont="1" applyFill="1" applyBorder="1" applyAlignment="1">
      <alignment horizontal="center"/>
    </xf>
    <xf numFmtId="0" fontId="27" fillId="3" borderId="15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6" fillId="0" borderId="1" xfId="0" applyFont="1" applyBorder="1"/>
    <xf numFmtId="0" fontId="27" fillId="3" borderId="0" xfId="0" applyFont="1" applyFill="1"/>
    <xf numFmtId="0" fontId="27" fillId="3" borderId="15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/>
    </xf>
    <xf numFmtId="0" fontId="26" fillId="0" borderId="0" xfId="0" applyFont="1"/>
    <xf numFmtId="0" fontId="27" fillId="0" borderId="0" xfId="0" applyFont="1" applyAlignment="1">
      <alignment horizontal="left"/>
    </xf>
    <xf numFmtId="0" fontId="26" fillId="3" borderId="15" xfId="0" applyFont="1" applyFill="1" applyBorder="1" applyAlignment="1">
      <alignment horizontal="center"/>
    </xf>
    <xf numFmtId="0" fontId="27" fillId="33" borderId="15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7" fillId="33" borderId="15" xfId="0" applyFont="1" applyFill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33" borderId="1" xfId="0" applyFont="1" applyFill="1" applyBorder="1" applyAlignment="1">
      <alignment horizontal="left"/>
    </xf>
    <xf numFmtId="0" fontId="26" fillId="33" borderId="15" xfId="0" applyFont="1" applyFill="1" applyBorder="1" applyAlignment="1">
      <alignment horizontal="center"/>
    </xf>
    <xf numFmtId="0" fontId="28" fillId="0" borderId="1" xfId="0" applyFont="1" applyBorder="1"/>
    <xf numFmtId="0" fontId="27" fillId="33" borderId="1" xfId="0" applyFont="1" applyFill="1" applyBorder="1" applyAlignment="1">
      <alignment horizontal="center"/>
    </xf>
    <xf numFmtId="0" fontId="25" fillId="33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readingOrder="1"/>
    </xf>
    <xf numFmtId="0" fontId="27" fillId="0" borderId="7" xfId="0" applyFont="1" applyBorder="1" applyAlignment="1">
      <alignment readingOrder="1"/>
    </xf>
    <xf numFmtId="0" fontId="13" fillId="0" borderId="1" xfId="0" applyFont="1" applyBorder="1"/>
    <xf numFmtId="0" fontId="14" fillId="0" borderId="1" xfId="0" applyFont="1" applyBorder="1" applyAlignment="1">
      <alignment vertical="top"/>
    </xf>
    <xf numFmtId="9" fontId="12" fillId="0" borderId="1" xfId="0" applyNumberFormat="1" applyFont="1" applyBorder="1"/>
    <xf numFmtId="1" fontId="12" fillId="0" borderId="1" xfId="0" applyNumberFormat="1" applyFont="1" applyBorder="1"/>
    <xf numFmtId="0" fontId="14" fillId="0" borderId="1" xfId="0" applyFont="1" applyBorder="1" applyAlignment="1">
      <alignment horizontal="left"/>
    </xf>
    <xf numFmtId="0" fontId="10" fillId="21" borderId="1" xfId="0" applyFont="1" applyFill="1" applyBorder="1" applyAlignment="1">
      <alignment horizontal="center"/>
    </xf>
    <xf numFmtId="1" fontId="12" fillId="18" borderId="1" xfId="0" applyNumberFormat="1" applyFont="1" applyFill="1" applyBorder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9" fillId="2" borderId="1" xfId="0" applyFont="1" applyFill="1" applyBorder="1" applyAlignment="1">
      <alignment wrapText="1"/>
    </xf>
    <xf numFmtId="0" fontId="29" fillId="2" borderId="2" xfId="0" applyFont="1" applyFill="1" applyBorder="1" applyAlignment="1">
      <alignment wrapText="1"/>
    </xf>
    <xf numFmtId="0" fontId="30" fillId="0" borderId="3" xfId="0" applyFont="1" applyBorder="1"/>
    <xf numFmtId="0" fontId="30" fillId="0" borderId="4" xfId="0" applyFont="1" applyBorder="1"/>
    <xf numFmtId="0" fontId="31" fillId="0" borderId="0" xfId="0" applyFont="1"/>
    <xf numFmtId="0" fontId="30" fillId="3" borderId="4" xfId="0" applyFont="1" applyFill="1" applyBorder="1"/>
    <xf numFmtId="0" fontId="30" fillId="0" borderId="5" xfId="0" applyFont="1" applyBorder="1"/>
    <xf numFmtId="0" fontId="30" fillId="7" borderId="4" xfId="0" applyFont="1" applyFill="1" applyBorder="1"/>
    <xf numFmtId="0" fontId="30" fillId="0" borderId="6" xfId="0" applyFont="1" applyBorder="1"/>
    <xf numFmtId="0" fontId="30" fillId="6" borderId="4" xfId="0" applyFont="1" applyFill="1" applyBorder="1"/>
    <xf numFmtId="164" fontId="31" fillId="0" borderId="0" xfId="0" applyNumberFormat="1" applyFont="1"/>
    <xf numFmtId="164" fontId="0" fillId="0" borderId="0" xfId="0" applyNumberFormat="1"/>
    <xf numFmtId="0" fontId="10" fillId="13" borderId="1" xfId="0" quotePrefix="1" applyFont="1" applyFill="1" applyBorder="1" applyAlignment="1">
      <alignment horizontal="center"/>
    </xf>
    <xf numFmtId="0" fontId="32" fillId="0" borderId="0" xfId="0" applyFont="1"/>
    <xf numFmtId="0" fontId="7" fillId="0" borderId="1" xfId="0" applyFont="1" applyBorder="1" applyAlignment="1">
      <alignment readingOrder="1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1" fontId="12" fillId="0" borderId="1" xfId="0" applyNumberFormat="1" applyFont="1" applyBorder="1" applyAlignment="1">
      <alignment horizontal="center"/>
    </xf>
    <xf numFmtId="10" fontId="18" fillId="20" borderId="1" xfId="0" applyNumberFormat="1" applyFont="1" applyFill="1" applyBorder="1" applyAlignment="1">
      <alignment horizontal="center" readingOrder="1"/>
    </xf>
    <xf numFmtId="0" fontId="19" fillId="0" borderId="18" xfId="0" applyFont="1" applyBorder="1" applyAlignment="1">
      <alignment readingOrder="1"/>
    </xf>
    <xf numFmtId="0" fontId="19" fillId="0" borderId="8" xfId="0" applyFont="1" applyBorder="1" applyAlignment="1">
      <alignment readingOrder="1"/>
    </xf>
    <xf numFmtId="0" fontId="19" fillId="0" borderId="9" xfId="0" applyFont="1" applyBorder="1" applyAlignment="1">
      <alignment readingOrder="1"/>
    </xf>
    <xf numFmtId="0" fontId="17" fillId="0" borderId="19" xfId="0" applyFont="1" applyBorder="1" applyAlignment="1">
      <alignment readingOrder="1"/>
    </xf>
    <xf numFmtId="0" fontId="17" fillId="0" borderId="11" xfId="0" applyFont="1" applyBorder="1" applyAlignment="1">
      <alignment readingOrder="1"/>
    </xf>
    <xf numFmtId="0" fontId="17" fillId="0" borderId="11" xfId="0" quotePrefix="1" applyFont="1" applyBorder="1" applyAlignment="1">
      <alignment readingOrder="1"/>
    </xf>
    <xf numFmtId="0" fontId="17" fillId="0" borderId="12" xfId="0" applyFont="1" applyBorder="1" applyAlignment="1">
      <alignment readingOrder="1"/>
    </xf>
    <xf numFmtId="0" fontId="0" fillId="0" borderId="1" xfId="0" applyBorder="1"/>
    <xf numFmtId="0" fontId="7" fillId="35" borderId="10" xfId="0" applyFont="1" applyFill="1" applyBorder="1" applyAlignment="1">
      <alignment readingOrder="1"/>
    </xf>
    <xf numFmtId="14" fontId="0" fillId="0" borderId="0" xfId="0" applyNumberFormat="1"/>
    <xf numFmtId="14" fontId="3" fillId="0" borderId="1" xfId="0" applyNumberFormat="1" applyFont="1" applyBorder="1"/>
    <xf numFmtId="14" fontId="3" fillId="8" borderId="1" xfId="0" applyNumberFormat="1" applyFont="1" applyFill="1" applyBorder="1"/>
    <xf numFmtId="0" fontId="3" fillId="8" borderId="1" xfId="0" applyFont="1" applyFill="1" applyBorder="1"/>
    <xf numFmtId="0" fontId="3" fillId="3" borderId="1" xfId="0" applyFont="1" applyFill="1" applyBorder="1"/>
    <xf numFmtId="0" fontId="3" fillId="0" borderId="1" xfId="0" quotePrefix="1" applyFont="1" applyBorder="1"/>
    <xf numFmtId="14" fontId="3" fillId="0" borderId="1" xfId="0" applyNumberFormat="1" applyFont="1" applyBorder="1" applyAlignment="1">
      <alignment wrapText="1"/>
    </xf>
    <xf numFmtId="0" fontId="1" fillId="0" borderId="1" xfId="1" applyFill="1" applyBorder="1" applyAlignment="1"/>
    <xf numFmtId="0" fontId="3" fillId="8" borderId="1" xfId="0" quotePrefix="1" applyFont="1" applyFill="1" applyBorder="1"/>
    <xf numFmtId="0" fontId="1" fillId="0" borderId="1" xfId="1" applyBorder="1"/>
    <xf numFmtId="0" fontId="3" fillId="9" borderId="1" xfId="0" applyFont="1" applyFill="1" applyBorder="1"/>
    <xf numFmtId="0" fontId="6" fillId="0" borderId="1" xfId="0" applyFont="1" applyBorder="1"/>
    <xf numFmtId="0" fontId="3" fillId="9" borderId="1" xfId="0" quotePrefix="1" applyFont="1" applyFill="1" applyBorder="1"/>
    <xf numFmtId="0" fontId="3" fillId="10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2" fillId="0" borderId="0" xfId="0" applyFont="1"/>
    <xf numFmtId="0" fontId="36" fillId="0" borderId="1" xfId="0" applyFont="1" applyBorder="1"/>
    <xf numFmtId="166" fontId="16" fillId="21" borderId="1" xfId="0" applyNumberFormat="1" applyFont="1" applyFill="1" applyBorder="1" applyAlignment="1">
      <alignment horizontal="center" vertical="center"/>
    </xf>
    <xf numFmtId="0" fontId="10" fillId="0" borderId="0" xfId="0" quotePrefix="1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8" fillId="0" borderId="1" xfId="0" applyFont="1" applyBorder="1"/>
    <xf numFmtId="0" fontId="3" fillId="3" borderId="1" xfId="0" quotePrefix="1" applyFont="1" applyFill="1" applyBorder="1"/>
    <xf numFmtId="0" fontId="39" fillId="0" borderId="1" xfId="0" applyFont="1" applyBorder="1"/>
    <xf numFmtId="0" fontId="7" fillId="12" borderId="1" xfId="0" applyFont="1" applyFill="1" applyBorder="1" applyAlignment="1">
      <alignment readingOrder="1"/>
    </xf>
    <xf numFmtId="14" fontId="7" fillId="0" borderId="1" xfId="0" applyNumberFormat="1" applyFont="1" applyBorder="1" applyAlignment="1">
      <alignment readingOrder="1"/>
    </xf>
    <xf numFmtId="1" fontId="7" fillId="0" borderId="1" xfId="0" applyNumberFormat="1" applyFont="1" applyBorder="1" applyAlignment="1">
      <alignment readingOrder="1"/>
    </xf>
    <xf numFmtId="0" fontId="8" fillId="0" borderId="1" xfId="0" applyFont="1" applyBorder="1" applyAlignment="1">
      <alignment readingOrder="1"/>
    </xf>
    <xf numFmtId="0" fontId="7" fillId="12" borderId="1" xfId="0" quotePrefix="1" applyFont="1" applyFill="1" applyBorder="1" applyAlignment="1">
      <alignment horizontal="right" readingOrder="1"/>
    </xf>
    <xf numFmtId="0" fontId="1" fillId="0" borderId="1" xfId="1" applyBorder="1" applyAlignment="1">
      <alignment readingOrder="1"/>
    </xf>
    <xf numFmtId="0" fontId="7" fillId="12" borderId="1" xfId="0" applyFont="1" applyFill="1" applyBorder="1" applyAlignment="1">
      <alignment horizontal="right" readingOrder="1"/>
    </xf>
    <xf numFmtId="0" fontId="7" fillId="0" borderId="1" xfId="0" quotePrefix="1" applyFont="1" applyBorder="1" applyAlignment="1">
      <alignment readingOrder="1"/>
    </xf>
    <xf numFmtId="1" fontId="8" fillId="0" borderId="1" xfId="0" applyNumberFormat="1" applyFont="1" applyBorder="1" applyAlignment="1">
      <alignment readingOrder="1"/>
    </xf>
    <xf numFmtId="14" fontId="8" fillId="0" borderId="1" xfId="0" applyNumberFormat="1" applyFont="1" applyBorder="1" applyAlignment="1">
      <alignment readingOrder="1"/>
    </xf>
    <xf numFmtId="0" fontId="7" fillId="35" borderId="1" xfId="0" applyFont="1" applyFill="1" applyBorder="1" applyAlignment="1">
      <alignment readingOrder="1"/>
    </xf>
    <xf numFmtId="0" fontId="8" fillId="35" borderId="1" xfId="0" applyFont="1" applyFill="1" applyBorder="1" applyAlignment="1">
      <alignment readingOrder="1"/>
    </xf>
    <xf numFmtId="1" fontId="8" fillId="35" borderId="1" xfId="0" applyNumberFormat="1" applyFont="1" applyFill="1" applyBorder="1" applyAlignment="1">
      <alignment readingOrder="1"/>
    </xf>
    <xf numFmtId="1" fontId="0" fillId="0" borderId="1" xfId="0" applyNumberFormat="1" applyBorder="1"/>
    <xf numFmtId="0" fontId="22" fillId="0" borderId="1" xfId="0" applyFont="1" applyBorder="1"/>
    <xf numFmtId="0" fontId="37" fillId="0" borderId="1" xfId="0" applyFont="1" applyBorder="1" applyAlignment="1">
      <alignment wrapText="1" readingOrder="1"/>
    </xf>
    <xf numFmtId="0" fontId="0" fillId="35" borderId="0" xfId="0" applyFill="1"/>
    <xf numFmtId="0" fontId="40" fillId="2" borderId="1" xfId="0" applyFont="1" applyFill="1" applyBorder="1" applyAlignment="1">
      <alignment wrapText="1"/>
    </xf>
    <xf numFmtId="0" fontId="40" fillId="2" borderId="14" xfId="0" applyFont="1" applyFill="1" applyBorder="1" applyAlignment="1">
      <alignment wrapText="1"/>
    </xf>
    <xf numFmtId="0" fontId="41" fillId="0" borderId="1" xfId="0" applyFont="1" applyBorder="1"/>
    <xf numFmtId="0" fontId="41" fillId="0" borderId="15" xfId="0" applyFont="1" applyBorder="1"/>
    <xf numFmtId="0" fontId="42" fillId="0" borderId="1" xfId="0" applyFont="1" applyBorder="1"/>
    <xf numFmtId="0" fontId="42" fillId="0" borderId="15" xfId="0" applyFont="1" applyBorder="1"/>
    <xf numFmtId="0" fontId="41" fillId="0" borderId="0" xfId="0" applyFont="1"/>
    <xf numFmtId="0" fontId="41" fillId="0" borderId="1" xfId="0" quotePrefix="1" applyFont="1" applyBorder="1"/>
    <xf numFmtId="0" fontId="41" fillId="21" borderId="1" xfId="0" applyFont="1" applyFill="1" applyBorder="1"/>
    <xf numFmtId="0" fontId="43" fillId="36" borderId="10" xfId="0" applyFont="1" applyFill="1" applyBorder="1" applyAlignment="1">
      <alignment readingOrder="1"/>
    </xf>
    <xf numFmtId="0" fontId="44" fillId="37" borderId="7" xfId="0" applyFont="1" applyFill="1" applyBorder="1" applyAlignment="1">
      <alignment readingOrder="1"/>
    </xf>
    <xf numFmtId="0" fontId="45" fillId="0" borderId="10" xfId="0" applyFont="1" applyBorder="1" applyAlignment="1">
      <alignment readingOrder="1"/>
    </xf>
    <xf numFmtId="0" fontId="43" fillId="37" borderId="7" xfId="0" applyFont="1" applyFill="1" applyBorder="1" applyAlignment="1">
      <alignment readingOrder="1"/>
    </xf>
    <xf numFmtId="0" fontId="46" fillId="0" borderId="24" xfId="0" applyFont="1" applyBorder="1" applyAlignment="1">
      <alignment wrapText="1"/>
    </xf>
    <xf numFmtId="0" fontId="46" fillId="0" borderId="24" xfId="0" applyFont="1" applyBorder="1"/>
    <xf numFmtId="0" fontId="46" fillId="38" borderId="24" xfId="0" applyFont="1" applyFill="1" applyBorder="1" applyAlignment="1">
      <alignment wrapText="1"/>
    </xf>
    <xf numFmtId="0" fontId="46" fillId="38" borderId="24" xfId="0" applyFont="1" applyFill="1" applyBorder="1"/>
    <xf numFmtId="0" fontId="43" fillId="36" borderId="23" xfId="0" applyFont="1" applyFill="1" applyBorder="1" applyAlignment="1">
      <alignment readingOrder="1"/>
    </xf>
    <xf numFmtId="0" fontId="43" fillId="36" borderId="4" xfId="0" applyFont="1" applyFill="1" applyBorder="1" applyAlignment="1">
      <alignment readingOrder="1"/>
    </xf>
    <xf numFmtId="0" fontId="43" fillId="37" borderId="17" xfId="0" applyFont="1" applyFill="1" applyBorder="1" applyAlignment="1">
      <alignment readingOrder="1"/>
    </xf>
    <xf numFmtId="0" fontId="46" fillId="0" borderId="0" xfId="0" applyFont="1" applyAlignment="1">
      <alignment wrapText="1"/>
    </xf>
    <xf numFmtId="0" fontId="46" fillId="38" borderId="0" xfId="0" applyFont="1" applyFill="1" applyAlignment="1">
      <alignment wrapText="1"/>
    </xf>
    <xf numFmtId="0" fontId="10" fillId="15" borderId="1" xfId="0" applyFont="1" applyFill="1" applyBorder="1" applyAlignment="1">
      <alignment horizontal="center" wrapText="1"/>
    </xf>
    <xf numFmtId="0" fontId="48" fillId="0" borderId="1" xfId="0" applyFont="1" applyBorder="1"/>
    <xf numFmtId="0" fontId="14" fillId="16" borderId="1" xfId="0" applyFont="1" applyFill="1" applyBorder="1" applyAlignment="1">
      <alignment vertical="center"/>
    </xf>
    <xf numFmtId="0" fontId="14" fillId="16" borderId="1" xfId="0" applyFont="1" applyFill="1" applyBorder="1" applyAlignment="1">
      <alignment horizontal="left" vertical="center"/>
    </xf>
    <xf numFmtId="0" fontId="10" fillId="40" borderId="1" xfId="0" applyFont="1" applyFill="1" applyBorder="1" applyAlignment="1">
      <alignment horizontal="center"/>
    </xf>
    <xf numFmtId="0" fontId="10" fillId="40" borderId="1" xfId="0" applyFont="1" applyFill="1" applyBorder="1" applyAlignment="1">
      <alignment horizontal="center" vertical="center"/>
    </xf>
    <xf numFmtId="1" fontId="12" fillId="40" borderId="1" xfId="0" applyNumberFormat="1" applyFont="1" applyFill="1" applyBorder="1"/>
    <xf numFmtId="2" fontId="10" fillId="40" borderId="1" xfId="0" applyNumberFormat="1" applyFont="1" applyFill="1" applyBorder="1" applyAlignment="1">
      <alignment horizontal="center"/>
    </xf>
    <xf numFmtId="1" fontId="10" fillId="40" borderId="1" xfId="0" applyNumberFormat="1" applyFont="1" applyFill="1" applyBorder="1" applyAlignment="1">
      <alignment horizontal="center" wrapText="1"/>
    </xf>
    <xf numFmtId="1" fontId="10" fillId="40" borderId="1" xfId="0" applyNumberFormat="1" applyFont="1" applyFill="1" applyBorder="1" applyAlignment="1">
      <alignment horizontal="center"/>
    </xf>
    <xf numFmtId="0" fontId="47" fillId="39" borderId="1" xfId="0" applyFont="1" applyFill="1" applyBorder="1"/>
    <xf numFmtId="0" fontId="47" fillId="41" borderId="1" xfId="0" applyFont="1" applyFill="1" applyBorder="1"/>
    <xf numFmtId="0" fontId="47" fillId="41" borderId="1" xfId="0" applyFont="1" applyFill="1" applyBorder="1" applyAlignment="1">
      <alignment wrapText="1"/>
    </xf>
    <xf numFmtId="0" fontId="10" fillId="15" borderId="1" xfId="0" quotePrefix="1" applyFont="1" applyFill="1" applyBorder="1" applyAlignment="1">
      <alignment horizontal="center" wrapText="1"/>
    </xf>
    <xf numFmtId="167" fontId="10" fillId="15" borderId="1" xfId="0" quotePrefix="1" applyNumberFormat="1" applyFont="1" applyFill="1" applyBorder="1" applyAlignment="1">
      <alignment horizontal="center" wrapText="1"/>
    </xf>
    <xf numFmtId="0" fontId="7" fillId="35" borderId="25" xfId="0" applyFont="1" applyFill="1" applyBorder="1" applyAlignment="1">
      <alignment readingOrder="1"/>
    </xf>
    <xf numFmtId="0" fontId="8" fillId="12" borderId="1" xfId="0" applyFont="1" applyFill="1" applyBorder="1" applyAlignment="1">
      <alignment readingOrder="1"/>
    </xf>
    <xf numFmtId="3" fontId="7" fillId="0" borderId="1" xfId="0" applyNumberFormat="1" applyFont="1" applyBorder="1" applyAlignment="1">
      <alignment readingOrder="1"/>
    </xf>
    <xf numFmtId="14" fontId="7" fillId="35" borderId="1" xfId="0" applyNumberFormat="1" applyFont="1" applyFill="1" applyBorder="1" applyAlignment="1">
      <alignment readingOrder="1"/>
    </xf>
    <xf numFmtId="1" fontId="7" fillId="35" borderId="1" xfId="0" applyNumberFormat="1" applyFont="1" applyFill="1" applyBorder="1" applyAlignment="1">
      <alignment readingOrder="1"/>
    </xf>
    <xf numFmtId="0" fontId="7" fillId="35" borderId="1" xfId="0" applyFont="1" applyFill="1" applyBorder="1" applyAlignment="1">
      <alignment horizontal="right" readingOrder="1"/>
    </xf>
    <xf numFmtId="0" fontId="9" fillId="0" borderId="14" xfId="0" applyFont="1" applyBorder="1" applyAlignment="1">
      <alignment horizontal="center" vertical="center" readingOrder="1"/>
    </xf>
    <xf numFmtId="0" fontId="9" fillId="0" borderId="28" xfId="0" applyFont="1" applyBorder="1" applyAlignment="1">
      <alignment horizontal="center" vertical="center" readingOrder="1"/>
    </xf>
    <xf numFmtId="1" fontId="9" fillId="0" borderId="28" xfId="0" applyNumberFormat="1" applyFont="1" applyBorder="1" applyAlignment="1">
      <alignment horizontal="center" vertical="center" readingOrder="1"/>
    </xf>
    <xf numFmtId="0" fontId="9" fillId="0" borderId="28" xfId="0" applyFont="1" applyBorder="1" applyAlignment="1">
      <alignment horizontal="center" vertical="center" wrapText="1" readingOrder="1"/>
    </xf>
    <xf numFmtId="0" fontId="8" fillId="0" borderId="29" xfId="0" applyFont="1" applyBorder="1" applyAlignment="1">
      <alignment horizontal="center" vertical="center" readingOrder="1"/>
    </xf>
    <xf numFmtId="0" fontId="9" fillId="0" borderId="29" xfId="0" applyFont="1" applyBorder="1" applyAlignment="1">
      <alignment horizontal="center" vertical="center" readingOrder="1"/>
    </xf>
    <xf numFmtId="0" fontId="9" fillId="42" borderId="1" xfId="0" applyFont="1" applyFill="1" applyBorder="1" applyAlignment="1">
      <alignment wrapText="1" readingOrder="1"/>
    </xf>
    <xf numFmtId="0" fontId="7" fillId="0" borderId="7" xfId="0" applyFont="1" applyBorder="1" applyAlignment="1">
      <alignment wrapText="1" readingOrder="1"/>
    </xf>
    <xf numFmtId="0" fontId="7" fillId="43" borderId="7" xfId="0" applyFont="1" applyFill="1" applyBorder="1" applyAlignment="1">
      <alignment wrapText="1" readingOrder="1"/>
    </xf>
    <xf numFmtId="0" fontId="7" fillId="11" borderId="7" xfId="0" applyFont="1" applyFill="1" applyBorder="1" applyAlignment="1">
      <alignment wrapText="1" readingOrder="1"/>
    </xf>
    <xf numFmtId="0" fontId="7" fillId="12" borderId="7" xfId="0" applyFont="1" applyFill="1" applyBorder="1" applyAlignment="1">
      <alignment wrapText="1" readingOrder="1"/>
    </xf>
    <xf numFmtId="0" fontId="7" fillId="37" borderId="7" xfId="0" applyFont="1" applyFill="1" applyBorder="1" applyAlignment="1">
      <alignment wrapText="1" readingOrder="1"/>
    </xf>
    <xf numFmtId="0" fontId="9" fillId="42" borderId="30" xfId="0" applyFont="1" applyFill="1" applyBorder="1" applyAlignment="1">
      <alignment wrapText="1" readingOrder="1"/>
    </xf>
    <xf numFmtId="0" fontId="8" fillId="11" borderId="7" xfId="0" applyFont="1" applyFill="1" applyBorder="1" applyAlignment="1">
      <alignment wrapText="1" readingOrder="1"/>
    </xf>
    <xf numFmtId="0" fontId="8" fillId="0" borderId="7" xfId="0" applyFont="1" applyBorder="1" applyAlignment="1">
      <alignment wrapText="1" readingOrder="1"/>
    </xf>
    <xf numFmtId="0" fontId="7" fillId="0" borderId="10" xfId="0" applyFont="1" applyBorder="1" applyAlignment="1">
      <alignment wrapText="1" readingOrder="1"/>
    </xf>
    <xf numFmtId="0" fontId="7" fillId="11" borderId="10" xfId="0" applyFont="1" applyFill="1" applyBorder="1" applyAlignment="1">
      <alignment wrapText="1" readingOrder="1"/>
    </xf>
    <xf numFmtId="0" fontId="8" fillId="11" borderId="10" xfId="0" applyFont="1" applyFill="1" applyBorder="1" applyAlignment="1">
      <alignment wrapText="1" readingOrder="1"/>
    </xf>
    <xf numFmtId="0" fontId="8" fillId="0" borderId="10" xfId="0" applyFont="1" applyBorder="1" applyAlignment="1">
      <alignment wrapText="1" readingOrder="1"/>
    </xf>
    <xf numFmtId="0" fontId="7" fillId="0" borderId="10" xfId="0" quotePrefix="1" applyFont="1" applyBorder="1" applyAlignment="1">
      <alignment wrapText="1" readingOrder="1"/>
    </xf>
    <xf numFmtId="0" fontId="7" fillId="21" borderId="10" xfId="0" applyFont="1" applyFill="1" applyBorder="1" applyAlignment="1">
      <alignment wrapText="1" readingOrder="1"/>
    </xf>
    <xf numFmtId="0" fontId="7" fillId="11" borderId="10" xfId="0" quotePrefix="1" applyFont="1" applyFill="1" applyBorder="1" applyAlignment="1">
      <alignment wrapText="1" readingOrder="1"/>
    </xf>
    <xf numFmtId="0" fontId="8" fillId="21" borderId="10" xfId="0" applyFont="1" applyFill="1" applyBorder="1" applyAlignment="1">
      <alignment wrapText="1" readingOrder="1"/>
    </xf>
    <xf numFmtId="0" fontId="21" fillId="0" borderId="30" xfId="0" applyFont="1" applyBorder="1" applyAlignment="1">
      <alignment readingOrder="1"/>
    </xf>
    <xf numFmtId="0" fontId="21" fillId="0" borderId="1" xfId="0" applyFont="1" applyBorder="1" applyAlignment="1">
      <alignment wrapText="1" readingOrder="1"/>
    </xf>
    <xf numFmtId="0" fontId="8" fillId="21" borderId="10" xfId="0" applyFont="1" applyFill="1" applyBorder="1" applyAlignment="1">
      <alignment readingOrder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readingOrder="1"/>
    </xf>
    <xf numFmtId="0" fontId="7" fillId="12" borderId="0" xfId="0" applyFont="1" applyFill="1" applyAlignment="1">
      <alignment readingOrder="1"/>
    </xf>
    <xf numFmtId="0" fontId="7" fillId="35" borderId="0" xfId="0" applyFont="1" applyFill="1" applyAlignment="1">
      <alignment readingOrder="1"/>
    </xf>
    <xf numFmtId="0" fontId="9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wrapText="1" readingOrder="1"/>
    </xf>
    <xf numFmtId="14" fontId="0" fillId="0" borderId="0" xfId="0" applyNumberFormat="1" applyAlignment="1">
      <alignment horizontal="center" vertical="center"/>
    </xf>
    <xf numFmtId="14" fontId="3" fillId="0" borderId="0" xfId="0" applyNumberFormat="1" applyFont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8" fillId="35" borderId="1" xfId="0" applyNumberFormat="1" applyFont="1" applyFill="1" applyBorder="1" applyAlignment="1">
      <alignment readingOrder="1"/>
    </xf>
    <xf numFmtId="0" fontId="24" fillId="18" borderId="1" xfId="0" applyFont="1" applyFill="1" applyBorder="1" applyAlignment="1">
      <alignment horizontal="center" vertical="center" wrapText="1"/>
    </xf>
    <xf numFmtId="0" fontId="24" fillId="32" borderId="3" xfId="0" applyFont="1" applyFill="1" applyBorder="1" applyAlignment="1">
      <alignment horizontal="center" vertical="center" wrapText="1"/>
    </xf>
    <xf numFmtId="0" fontId="24" fillId="44" borderId="3" xfId="0" applyFont="1" applyFill="1" applyBorder="1" applyAlignment="1">
      <alignment horizontal="center" vertical="center" wrapText="1"/>
    </xf>
    <xf numFmtId="0" fontId="24" fillId="4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" fontId="0" fillId="0" borderId="31" xfId="0" applyNumberFormat="1" applyBorder="1" applyAlignment="1">
      <alignment horizontal="center"/>
    </xf>
    <xf numFmtId="0" fontId="10" fillId="14" borderId="1" xfId="0" applyFont="1" applyFill="1" applyBorder="1" applyAlignment="1">
      <alignment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5" fontId="7" fillId="0" borderId="1" xfId="0" applyNumberFormat="1" applyFont="1" applyBorder="1" applyAlignment="1">
      <alignment vertical="center" readingOrder="1"/>
    </xf>
    <xf numFmtId="15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1" fontId="3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9" borderId="1" xfId="0" quotePrefix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3" borderId="1" xfId="0" quotePrefix="1" applyFont="1" applyFill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165" fontId="1" fillId="0" borderId="1" xfId="1" applyNumberFormat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1" fillId="0" borderId="1" xfId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14" fontId="3" fillId="8" borderId="1" xfId="0" applyNumberFormat="1" applyFont="1" applyFill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1" fillId="0" borderId="1" xfId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3" fillId="21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8" borderId="1" xfId="0" quotePrefix="1" applyFont="1" applyFill="1" applyBorder="1" applyAlignment="1">
      <alignment vertical="center"/>
    </xf>
    <xf numFmtId="15" fontId="7" fillId="11" borderId="1" xfId="0" applyNumberFormat="1" applyFont="1" applyFill="1" applyBorder="1" applyAlignment="1">
      <alignment vertical="center" readingOrder="1"/>
    </xf>
    <xf numFmtId="0" fontId="3" fillId="8" borderId="1" xfId="0" quotePrefix="1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 readingOrder="1"/>
    </xf>
    <xf numFmtId="0" fontId="5" fillId="0" borderId="1" xfId="0" quotePrefix="1" applyFont="1" applyBorder="1" applyAlignment="1">
      <alignment vertical="center"/>
    </xf>
    <xf numFmtId="15" fontId="3" fillId="8" borderId="1" xfId="0" applyNumberFormat="1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20" fillId="23" borderId="15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 vertical="center"/>
    </xf>
    <xf numFmtId="10" fontId="16" fillId="18" borderId="1" xfId="0" applyNumberFormat="1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 wrapText="1" readingOrder="1"/>
    </xf>
    <xf numFmtId="0" fontId="24" fillId="0" borderId="15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0" fillId="0" borderId="1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3" xfId="0" applyBorder="1" applyAlignment="1">
      <alignment vertical="top"/>
    </xf>
    <xf numFmtId="0" fontId="49" fillId="0" borderId="1" xfId="0" applyFont="1" applyBorder="1" applyAlignment="1">
      <alignment wrapText="1"/>
    </xf>
    <xf numFmtId="0" fontId="3" fillId="0" borderId="1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Alignment="1">
      <alignment wrapText="1"/>
    </xf>
    <xf numFmtId="15" fontId="0" fillId="0" borderId="1" xfId="0" applyNumberForma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1" fillId="0" borderId="0" xfId="1"/>
    <xf numFmtId="0" fontId="21" fillId="22" borderId="3" xfId="0" applyFont="1" applyFill="1" applyBorder="1" applyAlignment="1">
      <alignment horizontal="center" vertical="center" readingOrder="1"/>
    </xf>
    <xf numFmtId="0" fontId="20" fillId="22" borderId="3" xfId="0" applyFont="1" applyFill="1" applyBorder="1" applyAlignment="1">
      <alignment horizontal="center" vertical="center"/>
    </xf>
    <xf numFmtId="0" fontId="3" fillId="9" borderId="1" xfId="0" quotePrefix="1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10" fillId="0" borderId="1" xfId="0" applyFont="1" applyBorder="1" applyAlignment="1">
      <alignment readingOrder="1"/>
    </xf>
    <xf numFmtId="14" fontId="10" fillId="0" borderId="1" xfId="0" applyNumberFormat="1" applyFont="1" applyBorder="1" applyAlignment="1">
      <alignment readingOrder="1"/>
    </xf>
    <xf numFmtId="0" fontId="51" fillId="0" borderId="1" xfId="0" applyFont="1" applyBorder="1" applyAlignment="1">
      <alignment readingOrder="1"/>
    </xf>
    <xf numFmtId="0" fontId="0" fillId="0" borderId="0" xfId="0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1" fillId="24" borderId="15" xfId="0" applyFont="1" applyFill="1" applyBorder="1" applyAlignment="1">
      <alignment horizontal="center" vertical="center" wrapText="1" readingOrder="1"/>
    </xf>
    <xf numFmtId="0" fontId="10" fillId="1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1" xfId="0" quotePrefix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quotePrefix="1" applyFont="1" applyFill="1" applyBorder="1" applyAlignment="1">
      <alignment horizontal="center" vertical="center" wrapText="1"/>
    </xf>
    <xf numFmtId="1" fontId="12" fillId="40" borderId="1" xfId="0" applyNumberFormat="1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vertical="top"/>
    </xf>
    <xf numFmtId="0" fontId="53" fillId="0" borderId="0" xfId="0" applyFont="1"/>
    <xf numFmtId="0" fontId="33" fillId="0" borderId="0" xfId="0" applyFont="1" applyAlignment="1">
      <alignment wrapText="1"/>
    </xf>
    <xf numFmtId="0" fontId="53" fillId="45" borderId="4" xfId="0" applyFont="1" applyFill="1" applyBorder="1" applyAlignment="1">
      <alignment wrapText="1"/>
    </xf>
    <xf numFmtId="0" fontId="53" fillId="45" borderId="5" xfId="0" applyFont="1" applyFill="1" applyBorder="1" applyAlignment="1">
      <alignment wrapText="1"/>
    </xf>
    <xf numFmtId="0" fontId="33" fillId="0" borderId="4" xfId="0" applyFont="1" applyBorder="1" applyAlignment="1">
      <alignment wrapText="1"/>
    </xf>
    <xf numFmtId="0" fontId="33" fillId="0" borderId="33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3" fillId="0" borderId="3" xfId="0" applyFont="1" applyBorder="1" applyAlignment="1">
      <alignment wrapText="1"/>
    </xf>
    <xf numFmtId="0" fontId="53" fillId="45" borderId="3" xfId="0" applyFont="1" applyFill="1" applyBorder="1" applyAlignment="1">
      <alignment wrapText="1"/>
    </xf>
    <xf numFmtId="0" fontId="53" fillId="0" borderId="0" xfId="0" applyFont="1" applyAlignment="1">
      <alignment wrapText="1"/>
    </xf>
    <xf numFmtId="0" fontId="53" fillId="0" borderId="3" xfId="0" applyFont="1" applyBorder="1" applyAlignment="1">
      <alignment wrapText="1"/>
    </xf>
    <xf numFmtId="0" fontId="53" fillId="0" borderId="26" xfId="0" applyFont="1" applyBorder="1" applyAlignment="1">
      <alignment wrapText="1"/>
    </xf>
    <xf numFmtId="0" fontId="16" fillId="0" borderId="0" xfId="0" applyFont="1" applyAlignment="1">
      <alignment wrapText="1"/>
    </xf>
    <xf numFmtId="10" fontId="16" fillId="0" borderId="0" xfId="0" applyNumberFormat="1" applyFont="1" applyAlignment="1">
      <alignment horizontal="center" vertical="center" wrapText="1"/>
    </xf>
    <xf numFmtId="2" fontId="11" fillId="40" borderId="1" xfId="0" applyNumberFormat="1" applyFont="1" applyFill="1" applyBorder="1" applyAlignment="1">
      <alignment horizontal="center"/>
    </xf>
    <xf numFmtId="0" fontId="7" fillId="0" borderId="14" xfId="0" applyFont="1" applyBorder="1" applyAlignment="1">
      <alignment readingOrder="1"/>
    </xf>
    <xf numFmtId="14" fontId="10" fillId="0" borderId="14" xfId="0" applyNumberFormat="1" applyFont="1" applyBorder="1" applyAlignment="1">
      <alignment readingOrder="1"/>
    </xf>
    <xf numFmtId="1" fontId="0" fillId="35" borderId="0" xfId="0" applyNumberFormat="1" applyFill="1"/>
    <xf numFmtId="0" fontId="7" fillId="35" borderId="27" xfId="0" applyFont="1" applyFill="1" applyBorder="1" applyAlignment="1">
      <alignment readingOrder="1"/>
    </xf>
    <xf numFmtId="15" fontId="0" fillId="35" borderId="0" xfId="0" applyNumberFormat="1" applyFill="1"/>
    <xf numFmtId="0" fontId="7" fillId="35" borderId="11" xfId="0" applyFont="1" applyFill="1" applyBorder="1" applyAlignment="1">
      <alignment readingOrder="1"/>
    </xf>
    <xf numFmtId="0" fontId="8" fillId="35" borderId="10" xfId="0" applyFont="1" applyFill="1" applyBorder="1" applyAlignment="1">
      <alignment readingOrder="1"/>
    </xf>
    <xf numFmtId="14" fontId="7" fillId="35" borderId="10" xfId="0" applyNumberFormat="1" applyFont="1" applyFill="1" applyBorder="1" applyAlignment="1">
      <alignment readingOrder="1"/>
    </xf>
    <xf numFmtId="1" fontId="7" fillId="35" borderId="10" xfId="0" applyNumberFormat="1" applyFont="1" applyFill="1" applyBorder="1" applyAlignment="1">
      <alignment readingOrder="1"/>
    </xf>
    <xf numFmtId="0" fontId="1" fillId="35" borderId="10" xfId="1" applyFill="1" applyBorder="1" applyAlignment="1">
      <alignment readingOrder="1"/>
    </xf>
    <xf numFmtId="0" fontId="8" fillId="35" borderId="11" xfId="0" applyFont="1" applyFill="1" applyBorder="1" applyAlignment="1">
      <alignment readingOrder="1"/>
    </xf>
    <xf numFmtId="0" fontId="6" fillId="0" borderId="0" xfId="0" applyFont="1" applyAlignment="1">
      <alignment wrapText="1"/>
    </xf>
    <xf numFmtId="0" fontId="6" fillId="0" borderId="24" xfId="0" applyFont="1" applyBorder="1" applyAlignment="1">
      <alignment wrapText="1"/>
    </xf>
    <xf numFmtId="0" fontId="6" fillId="0" borderId="31" xfId="0" applyFont="1" applyBorder="1" applyAlignment="1">
      <alignment wrapText="1"/>
    </xf>
    <xf numFmtId="0" fontId="6" fillId="0" borderId="34" xfId="0" applyFont="1" applyBorder="1" applyAlignment="1">
      <alignment wrapText="1"/>
    </xf>
    <xf numFmtId="1" fontId="10" fillId="40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/>
    <xf numFmtId="0" fontId="7" fillId="0" borderId="0" xfId="0" applyFont="1"/>
    <xf numFmtId="0" fontId="7" fillId="0" borderId="14" xfId="0" applyFont="1" applyBorder="1"/>
    <xf numFmtId="0" fontId="7" fillId="0" borderId="14" xfId="0" applyFont="1" applyBorder="1" applyAlignment="1">
      <alignment horizontal="right"/>
    </xf>
    <xf numFmtId="14" fontId="7" fillId="0" borderId="14" xfId="0" applyNumberFormat="1" applyFont="1" applyBorder="1" applyAlignment="1">
      <alignment readingOrder="1"/>
    </xf>
    <xf numFmtId="1" fontId="7" fillId="0" borderId="14" xfId="0" applyNumberFormat="1" applyFont="1" applyBorder="1" applyAlignment="1">
      <alignment readingOrder="1"/>
    </xf>
    <xf numFmtId="1" fontId="7" fillId="0" borderId="14" xfId="0" applyNumberFormat="1" applyFont="1" applyBorder="1"/>
    <xf numFmtId="0" fontId="7" fillId="0" borderId="1" xfId="0" quotePrefix="1" applyFont="1" applyBorder="1" applyAlignment="1">
      <alignment horizontal="right"/>
    </xf>
    <xf numFmtId="1" fontId="7" fillId="0" borderId="1" xfId="0" quotePrefix="1" applyNumberFormat="1" applyFont="1" applyBorder="1" applyAlignment="1">
      <alignment readingOrder="1"/>
    </xf>
    <xf numFmtId="1" fontId="7" fillId="0" borderId="1" xfId="0" quotePrefix="1" applyNumberFormat="1" applyFont="1" applyBorder="1" applyAlignment="1">
      <alignment horizontal="right" wrapText="1"/>
    </xf>
    <xf numFmtId="0" fontId="7" fillId="0" borderId="1" xfId="0" quotePrefix="1" applyFont="1" applyBorder="1" applyAlignment="1">
      <alignment horizontal="right" readingOrder="1"/>
    </xf>
    <xf numFmtId="0" fontId="7" fillId="35" borderId="3" xfId="0" applyFont="1" applyFill="1" applyBorder="1"/>
    <xf numFmtId="0" fontId="7" fillId="35" borderId="3" xfId="0" applyFont="1" applyFill="1" applyBorder="1" applyAlignment="1">
      <alignment horizontal="right"/>
    </xf>
    <xf numFmtId="0" fontId="7" fillId="35" borderId="26" xfId="0" applyFont="1" applyFill="1" applyBorder="1"/>
    <xf numFmtId="0" fontId="7" fillId="35" borderId="1" xfId="0" applyFont="1" applyFill="1" applyBorder="1"/>
    <xf numFmtId="0" fontId="7" fillId="35" borderId="0" xfId="0" applyFont="1" applyFill="1"/>
    <xf numFmtId="0" fontId="7" fillId="35" borderId="1" xfId="0" applyFont="1" applyFill="1" applyBorder="1" applyAlignment="1">
      <alignment horizontal="right"/>
    </xf>
    <xf numFmtId="0" fontId="7" fillId="35" borderId="15" xfId="0" applyFont="1" applyFill="1" applyBorder="1"/>
    <xf numFmtId="0" fontId="17" fillId="0" borderId="1" xfId="0" applyFont="1" applyBorder="1"/>
    <xf numFmtId="0" fontId="12" fillId="0" borderId="11" xfId="0" applyFont="1" applyBorder="1" applyAlignment="1">
      <alignment readingOrder="1"/>
    </xf>
    <xf numFmtId="0" fontId="12" fillId="0" borderId="19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12" fillId="0" borderId="13" xfId="0" applyFont="1" applyBorder="1" applyAlignment="1">
      <alignment readingOrder="1"/>
    </xf>
    <xf numFmtId="0" fontId="12" fillId="0" borderId="20" xfId="0" applyFont="1" applyBorder="1" applyAlignment="1">
      <alignment readingOrder="1"/>
    </xf>
    <xf numFmtId="0" fontId="12" fillId="0" borderId="10" xfId="0" applyFont="1" applyBorder="1" applyAlignment="1">
      <alignment readingOrder="1"/>
    </xf>
    <xf numFmtId="15" fontId="7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54" fillId="0" borderId="0" xfId="0" applyFont="1"/>
    <xf numFmtId="0" fontId="54" fillId="0" borderId="0" xfId="0" applyFont="1" applyAlignment="1">
      <alignment wrapText="1"/>
    </xf>
    <xf numFmtId="0" fontId="3" fillId="0" borderId="1" xfId="0" quotePrefix="1" applyFont="1" applyBorder="1" applyAlignment="1">
      <alignment vertical="center" wrapText="1"/>
    </xf>
    <xf numFmtId="1" fontId="10" fillId="0" borderId="0" xfId="0" applyNumberFormat="1" applyFont="1"/>
    <xf numFmtId="10" fontId="10" fillId="0" borderId="0" xfId="0" applyNumberFormat="1" applyFont="1"/>
    <xf numFmtId="167" fontId="10" fillId="0" borderId="0" xfId="0" applyNumberFormat="1" applyFont="1"/>
    <xf numFmtId="0" fontId="24" fillId="44" borderId="26" xfId="0" applyFont="1" applyFill="1" applyBorder="1" applyAlignment="1">
      <alignment horizontal="center" vertical="center" wrapText="1"/>
    </xf>
    <xf numFmtId="0" fontId="24" fillId="44" borderId="0" xfId="0" applyFont="1" applyFill="1" applyAlignment="1">
      <alignment horizontal="center" vertical="center" wrapText="1"/>
    </xf>
    <xf numFmtId="0" fontId="10" fillId="0" borderId="1" xfId="0" quotePrefix="1" applyFont="1" applyBorder="1" applyAlignment="1">
      <alignment wrapText="1"/>
    </xf>
    <xf numFmtId="0" fontId="55" fillId="46" borderId="1" xfId="0" applyFont="1" applyFill="1" applyBorder="1" applyAlignment="1">
      <alignment horizontal="center" vertical="center" wrapText="1"/>
    </xf>
    <xf numFmtId="1" fontId="55" fillId="46" borderId="1" xfId="0" applyNumberFormat="1" applyFont="1" applyFill="1" applyBorder="1" applyAlignment="1">
      <alignment horizontal="center" vertical="center"/>
    </xf>
    <xf numFmtId="167" fontId="55" fillId="46" borderId="1" xfId="0" applyNumberFormat="1" applyFont="1" applyFill="1" applyBorder="1" applyAlignment="1">
      <alignment horizontal="center" vertical="center"/>
    </xf>
    <xf numFmtId="0" fontId="55" fillId="46" borderId="1" xfId="0" applyFont="1" applyFill="1" applyBorder="1" applyAlignment="1">
      <alignment horizontal="center" vertical="center"/>
    </xf>
    <xf numFmtId="0" fontId="55" fillId="46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10" fontId="10" fillId="0" borderId="1" xfId="0" quotePrefix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9" fontId="10" fillId="0" borderId="0" xfId="0" applyNumberFormat="1" applyFont="1"/>
    <xf numFmtId="0" fontId="11" fillId="14" borderId="1" xfId="0" applyFont="1" applyFill="1" applyBorder="1" applyAlignment="1">
      <alignment horizontal="center" vertical="center"/>
    </xf>
    <xf numFmtId="0" fontId="52" fillId="15" borderId="15" xfId="0" applyFont="1" applyFill="1" applyBorder="1" applyAlignment="1">
      <alignment horizontal="center" vertical="center"/>
    </xf>
    <xf numFmtId="0" fontId="52" fillId="15" borderId="16" xfId="0" applyFont="1" applyFill="1" applyBorder="1" applyAlignment="1">
      <alignment horizontal="center" vertical="center"/>
    </xf>
    <xf numFmtId="0" fontId="52" fillId="15" borderId="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9" fillId="0" borderId="14" xfId="0" applyFont="1" applyBorder="1" applyAlignment="1">
      <alignment horizontal="left" vertical="top"/>
    </xf>
    <xf numFmtId="0" fontId="39" fillId="0" borderId="21" xfId="0" applyFont="1" applyBorder="1" applyAlignment="1">
      <alignment horizontal="left" vertical="top"/>
    </xf>
    <xf numFmtId="0" fontId="39" fillId="0" borderId="3" xfId="0" applyFont="1" applyBorder="1" applyAlignment="1">
      <alignment horizontal="left" vertical="top"/>
    </xf>
    <xf numFmtId="0" fontId="39" fillId="0" borderId="14" xfId="0" applyFont="1" applyBorder="1" applyAlignment="1">
      <alignment horizontal="left" vertical="top" wrapText="1"/>
    </xf>
    <xf numFmtId="0" fontId="39" fillId="0" borderId="21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20" fillId="22" borderId="1" xfId="0" applyFont="1" applyFill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20" fillId="23" borderId="15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center" vertical="center"/>
    </xf>
    <xf numFmtId="0" fontId="20" fillId="24" borderId="14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readingOrder="1"/>
    </xf>
    <xf numFmtId="0" fontId="20" fillId="21" borderId="1" xfId="0" applyFont="1" applyFill="1" applyBorder="1" applyAlignment="1">
      <alignment horizontal="center" vertical="center"/>
    </xf>
    <xf numFmtId="10" fontId="16" fillId="18" borderId="1" xfId="0" applyNumberFormat="1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 wrapText="1" readingOrder="1"/>
    </xf>
    <xf numFmtId="0" fontId="15" fillId="25" borderId="1" xfId="0" applyFont="1" applyFill="1" applyBorder="1" applyAlignment="1">
      <alignment horizontal="center" vertical="center" wrapText="1" readingOrder="1"/>
    </xf>
    <xf numFmtId="0" fontId="15" fillId="19" borderId="1" xfId="0" applyFont="1" applyFill="1" applyBorder="1" applyAlignment="1">
      <alignment horizontal="center" vertical="center" wrapText="1" readingOrder="1"/>
    </xf>
    <xf numFmtId="0" fontId="15" fillId="20" borderId="15" xfId="0" applyFont="1" applyFill="1" applyBorder="1" applyAlignment="1">
      <alignment horizontal="center" vertical="center" wrapText="1" readingOrder="1"/>
    </xf>
    <xf numFmtId="0" fontId="15" fillId="20" borderId="16" xfId="0" applyFont="1" applyFill="1" applyBorder="1" applyAlignment="1">
      <alignment horizontal="center" vertical="center" wrapText="1" readingOrder="1"/>
    </xf>
    <xf numFmtId="0" fontId="15" fillId="20" borderId="2" xfId="0" applyFont="1" applyFill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24" fillId="0" borderId="1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26" borderId="14" xfId="0" applyFont="1" applyFill="1" applyBorder="1" applyAlignment="1">
      <alignment horizontal="center" vertical="center"/>
    </xf>
    <xf numFmtId="0" fontId="24" fillId="26" borderId="3" xfId="0" applyFont="1" applyFill="1" applyBorder="1" applyAlignment="1">
      <alignment horizontal="center" vertical="center"/>
    </xf>
    <xf numFmtId="0" fontId="24" fillId="19" borderId="15" xfId="0" applyFont="1" applyFill="1" applyBorder="1" applyAlignment="1">
      <alignment horizontal="center" vertical="center"/>
    </xf>
    <xf numFmtId="0" fontId="24" fillId="19" borderId="16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center" vertical="center"/>
    </xf>
    <xf numFmtId="0" fontId="24" fillId="20" borderId="15" xfId="0" applyFont="1" applyFill="1" applyBorder="1" applyAlignment="1">
      <alignment horizontal="center" vertical="center"/>
    </xf>
    <xf numFmtId="0" fontId="24" fillId="20" borderId="16" xfId="0" applyFont="1" applyFill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24" fillId="26" borderId="32" xfId="0" applyFont="1" applyFill="1" applyBorder="1" applyAlignment="1">
      <alignment horizontal="center" vertical="center"/>
    </xf>
    <xf numFmtId="0" fontId="53" fillId="45" borderId="16" xfId="0" applyFont="1" applyFill="1" applyBorder="1" applyAlignment="1">
      <alignment wrapText="1"/>
    </xf>
    <xf numFmtId="0" fontId="53" fillId="45" borderId="2" xfId="0" applyFont="1" applyFill="1" applyBorder="1" applyAlignment="1">
      <alignment wrapText="1"/>
    </xf>
    <xf numFmtId="0" fontId="33" fillId="0" borderId="0" xfId="0" applyFont="1" applyAlignment="1">
      <alignment wrapText="1"/>
    </xf>
    <xf numFmtId="0" fontId="53" fillId="45" borderId="32" xfId="0" applyFont="1" applyFill="1" applyBorder="1" applyAlignment="1">
      <alignment wrapText="1"/>
    </xf>
    <xf numFmtId="0" fontId="53" fillId="45" borderId="23" xfId="0" applyFont="1" applyFill="1" applyBorder="1" applyAlignment="1">
      <alignment wrapText="1"/>
    </xf>
    <xf numFmtId="0" fontId="53" fillId="45" borderId="26" xfId="0" applyFont="1" applyFill="1" applyBorder="1" applyAlignment="1">
      <alignment wrapText="1"/>
    </xf>
    <xf numFmtId="0" fontId="53" fillId="45" borderId="15" xfId="0" applyFont="1" applyFill="1" applyBorder="1" applyAlignment="1">
      <alignment wrapText="1"/>
    </xf>
    <xf numFmtId="0" fontId="53" fillId="45" borderId="14" xfId="0" applyFont="1" applyFill="1" applyBorder="1" applyAlignment="1">
      <alignment wrapText="1"/>
    </xf>
    <xf numFmtId="0" fontId="53" fillId="45" borderId="21" xfId="0" applyFont="1" applyFill="1" applyBorder="1" applyAlignment="1">
      <alignment wrapText="1"/>
    </xf>
    <xf numFmtId="0" fontId="53" fillId="45" borderId="3" xfId="0" applyFont="1" applyFill="1" applyBorder="1" applyAlignment="1">
      <alignment wrapText="1"/>
    </xf>
    <xf numFmtId="0" fontId="25" fillId="0" borderId="0" xfId="0" applyFont="1" applyAlignment="1">
      <alignment horizontal="center"/>
    </xf>
    <xf numFmtId="0" fontId="43" fillId="36" borderId="14" xfId="0" applyFont="1" applyFill="1" applyBorder="1" applyAlignment="1">
      <alignment readingOrder="1"/>
    </xf>
    <xf numFmtId="0" fontId="43" fillId="36" borderId="3" xfId="0" applyFont="1" applyFill="1" applyBorder="1" applyAlignment="1">
      <alignment readingOrder="1"/>
    </xf>
    <xf numFmtId="0" fontId="43" fillId="36" borderId="23" xfId="0" applyFont="1" applyFill="1" applyBorder="1" applyAlignment="1">
      <alignment horizontal="center" readingOrder="1"/>
    </xf>
    <xf numFmtId="0" fontId="43" fillId="36" borderId="0" xfId="0" applyFont="1" applyFill="1" applyAlignment="1">
      <alignment horizontal="center" readingOrder="1"/>
    </xf>
    <xf numFmtId="0" fontId="12" fillId="15" borderId="15" xfId="0" applyFont="1" applyFill="1" applyBorder="1" applyAlignment="1">
      <alignment horizontal="center"/>
    </xf>
    <xf numFmtId="0" fontId="12" fillId="15" borderId="16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0" fillId="13" borderId="14" xfId="0" applyFont="1" applyFill="1" applyBorder="1" applyAlignment="1">
      <alignment horizontal="center" wrapText="1"/>
    </xf>
    <xf numFmtId="0" fontId="10" fillId="13" borderId="3" xfId="0" applyFont="1" applyFill="1" applyBorder="1" applyAlignment="1">
      <alignment horizontal="center" wrapText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3" fillId="0" borderId="1" xfId="0" applyFont="1" applyBorder="1" applyAlignment="1"/>
  </cellXfs>
  <cellStyles count="2">
    <cellStyle name="Hyperlink" xfId="1" builtinId="8"/>
    <cellStyle name="Normal" xfId="0" builtinId="0"/>
  </cellStyles>
  <dxfs count="2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ED24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Pegawai Aktif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'Rekap Jumlah Pegawai'!$AC$7</c:f>
              <c:strCache>
                <c:ptCount val="1"/>
                <c:pt idx="0">
                  <c:v>Dosen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'Rekap Jumlah Pegawai'!$AD$6:$AO$6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'Rekap Jumlah Pegawai'!$AD$7:$AO$7</c:f>
              <c:numCache>
                <c:formatCode>General</c:formatCode>
                <c:ptCount val="12"/>
                <c:pt idx="0">
                  <c:v>107</c:v>
                </c:pt>
                <c:pt idx="1">
                  <c:v>110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115</c:v>
                </c:pt>
                <c:pt idx="8">
                  <c:v>115</c:v>
                </c:pt>
                <c:pt idx="9">
                  <c:v>115</c:v>
                </c:pt>
                <c:pt idx="10">
                  <c:v>115</c:v>
                </c:pt>
                <c:pt idx="11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B-4DEC-B20B-8F268B367F88}"/>
            </c:ext>
          </c:extLst>
        </c:ser>
        <c:ser>
          <c:idx val="1"/>
          <c:order val="1"/>
          <c:tx>
            <c:strRef>
              <c:f>'Rekap Jumlah Pegawai'!$AC$8</c:f>
              <c:strCache>
                <c:ptCount val="1"/>
                <c:pt idx="0">
                  <c:v>TPA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'Rekap Jumlah Pegawai'!$AD$6:$AO$6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'Rekap Jumlah Pegawai'!$AD$8:$AO$8</c:f>
              <c:numCache>
                <c:formatCode>General</c:formatCode>
                <c:ptCount val="12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CB-4DEC-B20B-8F268B36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932743"/>
        <c:axId val="626971655"/>
      </c:lineChart>
      <c:catAx>
        <c:axId val="626932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71655"/>
        <c:crosses val="autoZero"/>
        <c:auto val="1"/>
        <c:lblAlgn val="ctr"/>
        <c:lblOffset val="100"/>
        <c:noMultiLvlLbl val="0"/>
      </c:catAx>
      <c:valAx>
        <c:axId val="62697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3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Pegawai 2018-2025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Dosen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'Rekap Jumlah Pegawai'!$AP$6:$AW$6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'Rekap Jumlah Pegawai'!$AP$7:$AW$7</c:f>
              <c:numCache>
                <c:formatCode>General</c:formatCode>
                <c:ptCount val="8"/>
                <c:pt idx="0">
                  <c:v>39</c:v>
                </c:pt>
                <c:pt idx="1">
                  <c:v>40</c:v>
                </c:pt>
                <c:pt idx="2">
                  <c:v>57</c:v>
                </c:pt>
                <c:pt idx="3">
                  <c:v>58</c:v>
                </c:pt>
                <c:pt idx="4">
                  <c:v>88</c:v>
                </c:pt>
                <c:pt idx="5">
                  <c:v>102</c:v>
                </c:pt>
                <c:pt idx="6">
                  <c:v>105</c:v>
                </c:pt>
                <c:pt idx="7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B-4E44-8DA7-BC793D4EC3E4}"/>
            </c:ext>
          </c:extLst>
        </c:ser>
        <c:ser>
          <c:idx val="1"/>
          <c:order val="1"/>
          <c:tx>
            <c:v>TPA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'Rekap Jumlah Pegawai'!$AP$6:$AW$6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'Rekap Jumlah Pegawai'!$AP$8:$AW$8</c:f>
              <c:numCache>
                <c:formatCode>General</c:formatCode>
                <c:ptCount val="8"/>
                <c:pt idx="0">
                  <c:v>9</c:v>
                </c:pt>
                <c:pt idx="1">
                  <c:v>11</c:v>
                </c:pt>
                <c:pt idx="2">
                  <c:v>23</c:v>
                </c:pt>
                <c:pt idx="3">
                  <c:v>27</c:v>
                </c:pt>
                <c:pt idx="4">
                  <c:v>38</c:v>
                </c:pt>
                <c:pt idx="5">
                  <c:v>43</c:v>
                </c:pt>
                <c:pt idx="6">
                  <c:v>52</c:v>
                </c:pt>
                <c:pt idx="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4B-4E44-8DA7-BC793D4EC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002184"/>
        <c:axId val="1982087176"/>
      </c:lineChart>
      <c:catAx>
        <c:axId val="198200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87176"/>
        <c:crosses val="autoZero"/>
        <c:auto val="1"/>
        <c:lblAlgn val="ctr"/>
        <c:lblOffset val="100"/>
        <c:noMultiLvlLbl val="0"/>
      </c:catAx>
      <c:valAx>
        <c:axId val="198208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02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Proyeksi Sumber Daya Manusia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Dosen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'Rekap Jumlah Pegawai'!$AP$7:$BB$7</c:f>
              <c:numCache>
                <c:formatCode>General</c:formatCode>
                <c:ptCount val="13"/>
                <c:pt idx="0">
                  <c:v>39</c:v>
                </c:pt>
                <c:pt idx="1">
                  <c:v>40</c:v>
                </c:pt>
                <c:pt idx="2">
                  <c:v>57</c:v>
                </c:pt>
                <c:pt idx="3">
                  <c:v>58</c:v>
                </c:pt>
                <c:pt idx="4">
                  <c:v>88</c:v>
                </c:pt>
                <c:pt idx="5">
                  <c:v>102</c:v>
                </c:pt>
                <c:pt idx="6">
                  <c:v>105</c:v>
                </c:pt>
                <c:pt idx="7">
                  <c:v>115</c:v>
                </c:pt>
                <c:pt idx="8">
                  <c:v>146</c:v>
                </c:pt>
                <c:pt idx="9">
                  <c:v>182</c:v>
                </c:pt>
                <c:pt idx="10">
                  <c:v>203</c:v>
                </c:pt>
                <c:pt idx="11">
                  <c:v>228</c:v>
                </c:pt>
                <c:pt idx="12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B-40FF-83BC-06ED86E68083}"/>
            </c:ext>
          </c:extLst>
        </c:ser>
        <c:ser>
          <c:idx val="1"/>
          <c:order val="1"/>
          <c:tx>
            <c:v>TPA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'Rekap Jumlah Pegawai'!$AP$8:$BB$8</c:f>
              <c:numCache>
                <c:formatCode>General</c:formatCode>
                <c:ptCount val="13"/>
                <c:pt idx="0">
                  <c:v>9</c:v>
                </c:pt>
                <c:pt idx="1">
                  <c:v>11</c:v>
                </c:pt>
                <c:pt idx="2">
                  <c:v>23</c:v>
                </c:pt>
                <c:pt idx="3">
                  <c:v>27</c:v>
                </c:pt>
                <c:pt idx="4">
                  <c:v>38</c:v>
                </c:pt>
                <c:pt idx="5">
                  <c:v>43</c:v>
                </c:pt>
                <c:pt idx="6">
                  <c:v>52</c:v>
                </c:pt>
                <c:pt idx="7">
                  <c:v>52</c:v>
                </c:pt>
                <c:pt idx="8">
                  <c:v>62</c:v>
                </c:pt>
                <c:pt idx="9">
                  <c:v>68</c:v>
                </c:pt>
                <c:pt idx="10">
                  <c:v>72</c:v>
                </c:pt>
                <c:pt idx="11">
                  <c:v>76</c:v>
                </c:pt>
                <c:pt idx="1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1B-40FF-83BC-06ED86E68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06792"/>
        <c:axId val="68417032"/>
      </c:lineChart>
      <c:catAx>
        <c:axId val="68406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7032"/>
        <c:crosses val="autoZero"/>
        <c:auto val="1"/>
        <c:lblAlgn val="ctr"/>
        <c:lblOffset val="100"/>
        <c:noMultiLvlLbl val="0"/>
      </c:catAx>
      <c:valAx>
        <c:axId val="6841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Pendidikan Dosen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'Reporting 1'!$D$1:$D$2</c:f>
              <c:strCache>
                <c:ptCount val="2"/>
                <c:pt idx="0">
                  <c:v>Pendidikan</c:v>
                </c:pt>
                <c:pt idx="1">
                  <c:v>S2</c:v>
                </c:pt>
              </c:strCache>
            </c:strRef>
          </c:tx>
          <c:spPr>
            <a:solidFill>
              <a:srgbClr val="DAE9F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'Reporting 1'!$B$3:$B$13</c:f>
              <c:strCache>
                <c:ptCount val="11"/>
                <c:pt idx="0">
                  <c:v>Informatika</c:v>
                </c:pt>
                <c:pt idx="1">
                  <c:v>Digital Bisnis</c:v>
                </c:pt>
                <c:pt idx="2">
                  <c:v>Sains Data</c:v>
                </c:pt>
                <c:pt idx="3">
                  <c:v>Teknik Logistik</c:v>
                </c:pt>
                <c:pt idx="4">
                  <c:v>Teknik Komputer</c:v>
                </c:pt>
                <c:pt idx="5">
                  <c:v>Teknologi Informasi</c:v>
                </c:pt>
                <c:pt idx="6">
                  <c:v>Rekayasa Perangkat Lunak</c:v>
                </c:pt>
                <c:pt idx="7">
                  <c:v>Teknik Telekomunikasi</c:v>
                </c:pt>
                <c:pt idx="8">
                  <c:v>Sistem Informasi</c:v>
                </c:pt>
                <c:pt idx="9">
                  <c:v>Teknik Industri</c:v>
                </c:pt>
                <c:pt idx="10">
                  <c:v>Teknik Elektro</c:v>
                </c:pt>
              </c:strCache>
            </c:strRef>
          </c:cat>
          <c:val>
            <c:numRef>
              <c:f>'Reporting 1'!$D$3:$D$13</c:f>
              <c:numCache>
                <c:formatCode>General</c:formatCode>
                <c:ptCount val="11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19</c:v>
                </c:pt>
                <c:pt idx="9">
                  <c:v>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AB-4371-87A1-664240333471}"/>
            </c:ext>
          </c:extLst>
        </c:ser>
        <c:ser>
          <c:idx val="2"/>
          <c:order val="1"/>
          <c:tx>
            <c:strRef>
              <c:f>'Reporting 1'!$E$1:$E$2</c:f>
              <c:strCache>
                <c:ptCount val="2"/>
                <c:pt idx="0">
                  <c:v>Pendidikan</c:v>
                </c:pt>
                <c:pt idx="1">
                  <c:v>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'Reporting 1'!$B$3:$B$13</c:f>
              <c:strCache>
                <c:ptCount val="11"/>
                <c:pt idx="0">
                  <c:v>Informatika</c:v>
                </c:pt>
                <c:pt idx="1">
                  <c:v>Digital Bisnis</c:v>
                </c:pt>
                <c:pt idx="2">
                  <c:v>Sains Data</c:v>
                </c:pt>
                <c:pt idx="3">
                  <c:v>Teknik Logistik</c:v>
                </c:pt>
                <c:pt idx="4">
                  <c:v>Teknik Komputer</c:v>
                </c:pt>
                <c:pt idx="5">
                  <c:v>Teknologi Informasi</c:v>
                </c:pt>
                <c:pt idx="6">
                  <c:v>Rekayasa Perangkat Lunak</c:v>
                </c:pt>
                <c:pt idx="7">
                  <c:v>Teknik Telekomunikasi</c:v>
                </c:pt>
                <c:pt idx="8">
                  <c:v>Sistem Informasi</c:v>
                </c:pt>
                <c:pt idx="9">
                  <c:v>Teknik Industri</c:v>
                </c:pt>
                <c:pt idx="10">
                  <c:v>Teknik Elektro</c:v>
                </c:pt>
              </c:strCache>
            </c:strRef>
          </c:cat>
          <c:val>
            <c:numRef>
              <c:f>'Reporting 1'!$E$3:$E$13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AB-4371-87A1-66424033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66670855"/>
        <c:axId val="1566672903"/>
      </c:barChart>
      <c:catAx>
        <c:axId val="1566670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72903"/>
        <c:crosses val="autoZero"/>
        <c:auto val="1"/>
        <c:lblAlgn val="ctr"/>
        <c:lblOffset val="100"/>
        <c:noMultiLvlLbl val="0"/>
      </c:catAx>
      <c:valAx>
        <c:axId val="1566672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70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Anggota COE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'Reporting 1'!$Z$18</c:f>
              <c:strCache>
                <c:ptCount val="1"/>
                <c:pt idx="0">
                  <c:v>Jumlah Anggota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2C-455B-9A8B-8EC5DBCF60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2C-455B-9A8B-8EC5DBCF60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2C-455B-9A8B-8EC5DBCF60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'Reporting 1'!$X$19:$X$21</c:f>
              <c:strCache>
                <c:ptCount val="3"/>
                <c:pt idx="0">
                  <c:v>CIRCLEST</c:v>
                </c:pt>
                <c:pt idx="1">
                  <c:v>INTEREST</c:v>
                </c:pt>
                <c:pt idx="2">
                  <c:v>MOSHEE</c:v>
                </c:pt>
              </c:strCache>
            </c:strRef>
          </c:cat>
          <c:val>
            <c:numRef>
              <c:f>'Reporting 1'!$Z$19:$Z$21</c:f>
              <c:numCache>
                <c:formatCode>General</c:formatCode>
                <c:ptCount val="3"/>
                <c:pt idx="0">
                  <c:v>34</c:v>
                </c:pt>
                <c:pt idx="1">
                  <c:v>41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1-431F-A083-61C57EA8C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Anggota KK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'Reporting 1'!$AF$2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A7-42BF-A69A-EA246451D8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A7-42BF-A69A-EA246451D8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A7-42BF-A69A-EA246451D8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'Reporting 1'!$AE$3:$AE$5</c:f>
              <c:strCache>
                <c:ptCount val="3"/>
                <c:pt idx="0">
                  <c:v>RIIB</c:v>
                </c:pt>
                <c:pt idx="1">
                  <c:v>SCOUT</c:v>
                </c:pt>
                <c:pt idx="2">
                  <c:v>ETHES</c:v>
                </c:pt>
              </c:strCache>
            </c:strRef>
          </c:cat>
          <c:val>
            <c:numRef>
              <c:f>'Reporting 1'!$AF$3:$AF$5</c:f>
              <c:numCache>
                <c:formatCode>General</c:formatCode>
                <c:ptCount val="3"/>
                <c:pt idx="0">
                  <c:v>40</c:v>
                </c:pt>
                <c:pt idx="1">
                  <c:v>47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9-488B-862B-2C06381E8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6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JAD TUS</a:t>
            </a:r>
          </a:p>
        </c:rich>
      </c:tx>
      <c:layout>
        <c:manualLayout>
          <c:xMode val="edge"/>
          <c:yMode val="edge"/>
          <c:x val="0.41406515713856074"/>
          <c:y val="2.88764105902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5A-4D7C-81F6-7FF3ECCC1C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5A-4D7C-81F6-7FF3ECCC1C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5A-4D7C-81F6-7FF3ECCC1C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5A-4D7C-81F6-7FF3ECCC1C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5A-4D7C-81F6-7FF3ECCC1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'Reporting 1'!$M$20:$M$24</c:f>
              <c:strCache>
                <c:ptCount val="5"/>
                <c:pt idx="0">
                  <c:v>NJAD</c:v>
                </c:pt>
                <c:pt idx="1">
                  <c:v>Asisten Ahli</c:v>
                </c:pt>
                <c:pt idx="2">
                  <c:v>Lektor</c:v>
                </c:pt>
                <c:pt idx="3">
                  <c:v>Lektor Kepala</c:v>
                </c:pt>
                <c:pt idx="4">
                  <c:v>Guru Besar</c:v>
                </c:pt>
              </c:strCache>
            </c:strRef>
          </c:cat>
          <c:val>
            <c:numRef>
              <c:f>'Reporting 1'!$N$20:$N$24</c:f>
              <c:numCache>
                <c:formatCode>General</c:formatCode>
                <c:ptCount val="5"/>
                <c:pt idx="0">
                  <c:v>27</c:v>
                </c:pt>
                <c:pt idx="1">
                  <c:v>56</c:v>
                </c:pt>
                <c:pt idx="2">
                  <c:v>35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B-429A-8B28-22493091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Dosen dan TPA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'Reporting 2'!$B$3:$B$4</c:f>
              <c:strCache>
                <c:ptCount val="2"/>
                <c:pt idx="0">
                  <c:v>Dosen</c:v>
                </c:pt>
                <c:pt idx="1">
                  <c:v>TPA</c:v>
                </c:pt>
              </c:strCache>
            </c:strRef>
          </c:cat>
          <c:val>
            <c:numRef>
              <c:f>'Reporting 2'!$C$3:$C$4</c:f>
              <c:numCache>
                <c:formatCode>General</c:formatCode>
                <c:ptCount val="2"/>
                <c:pt idx="0">
                  <c:v>120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8-4F48-86E6-2BD379E0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323655"/>
        <c:axId val="247329799"/>
      </c:barChart>
      <c:catAx>
        <c:axId val="247323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29799"/>
        <c:crosses val="autoZero"/>
        <c:auto val="1"/>
        <c:lblAlgn val="ctr"/>
        <c:lblOffset val="100"/>
        <c:noMultiLvlLbl val="0"/>
      </c:catAx>
      <c:valAx>
        <c:axId val="24732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2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613057742782158"/>
          <c:y val="0.89451713982529524"/>
          <c:w val="0.1277388451443569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Jenis Kepegawaian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'Reporting 2'!$Y$3</c:f>
              <c:strCache>
                <c:ptCount val="1"/>
                <c:pt idx="0">
                  <c:v>Dosen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'Reporting 2'!$Z$2:$AC$2</c:f>
              <c:strCache>
                <c:ptCount val="4"/>
                <c:pt idx="0">
                  <c:v>Tetap</c:v>
                </c:pt>
                <c:pt idx="1">
                  <c:v>Calon Pegawai Tetap</c:v>
                </c:pt>
                <c:pt idx="2">
                  <c:v>Profesional</c:v>
                </c:pt>
                <c:pt idx="3">
                  <c:v>Perbantuan</c:v>
                </c:pt>
              </c:strCache>
            </c:strRef>
          </c:cat>
          <c:val>
            <c:numRef>
              <c:f>'Reporting 2'!$Z$3:$AC$3</c:f>
              <c:numCache>
                <c:formatCode>General</c:formatCode>
                <c:ptCount val="4"/>
                <c:pt idx="0">
                  <c:v>60</c:v>
                </c:pt>
                <c:pt idx="1">
                  <c:v>0</c:v>
                </c:pt>
                <c:pt idx="2">
                  <c:v>58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4-4D5D-B4D7-2BA2B88CE39C}"/>
            </c:ext>
          </c:extLst>
        </c:ser>
        <c:ser>
          <c:idx val="1"/>
          <c:order val="1"/>
          <c:tx>
            <c:strRef>
              <c:f>'Reporting 2'!$Y$4</c:f>
              <c:strCache>
                <c:ptCount val="1"/>
                <c:pt idx="0">
                  <c:v>TPA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'Reporting 2'!$Z$2:$AC$2</c:f>
              <c:strCache>
                <c:ptCount val="4"/>
                <c:pt idx="0">
                  <c:v>Tetap</c:v>
                </c:pt>
                <c:pt idx="1">
                  <c:v>Calon Pegawai Tetap</c:v>
                </c:pt>
                <c:pt idx="2">
                  <c:v>Profesional</c:v>
                </c:pt>
                <c:pt idx="3">
                  <c:v>Perbantuan</c:v>
                </c:pt>
              </c:strCache>
            </c:strRef>
          </c:cat>
          <c:val>
            <c:numRef>
              <c:f>'Reporting 2'!$Z$4:$AC$4</c:f>
              <c:numCache>
                <c:formatCode>General</c:formatCode>
                <c:ptCount val="4"/>
                <c:pt idx="0">
                  <c:v>30</c:v>
                </c:pt>
                <c:pt idx="1">
                  <c:v>0</c:v>
                </c:pt>
                <c:pt idx="2">
                  <c:v>9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04-4D5D-B4D7-2BA2B88CE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817991"/>
        <c:axId val="1795820039"/>
      </c:barChart>
      <c:catAx>
        <c:axId val="179581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820039"/>
        <c:crosses val="autoZero"/>
        <c:auto val="1"/>
        <c:lblAlgn val="ctr"/>
        <c:lblOffset val="100"/>
        <c:noMultiLvlLbl val="0"/>
      </c:catAx>
      <c:valAx>
        <c:axId val="17958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81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Kepegawaian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'Reporting 2'!$B$27</c:f>
              <c:strCache>
                <c:ptCount val="1"/>
                <c:pt idx="0">
                  <c:v>Dosen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('Reporting 2'!$C$25:$G$25,'Reporting 2'!$C$26:$G$26)</c:f>
              <c:multiLvlStrCache>
                <c:ptCount val="5"/>
                <c:lvl>
                  <c:pt idx="0">
                    <c:v>Tetap</c:v>
                  </c:pt>
                  <c:pt idx="1">
                    <c:v>Profesional</c:v>
                  </c:pt>
                  <c:pt idx="2">
                    <c:v>Perbantuan</c:v>
                  </c:pt>
                  <c:pt idx="3">
                    <c:v>TLH</c:v>
                  </c:pt>
                  <c:pt idx="4">
                    <c:v>Outsource</c:v>
                  </c:pt>
                </c:lvl>
                <c:lvl>
                  <c:pt idx="0">
                    <c:v>Kepegawaian</c:v>
                  </c:pt>
                </c:lvl>
              </c:multiLvlStrCache>
            </c:multiLvlStrRef>
          </c:cat>
          <c:val>
            <c:numRef>
              <c:f>'Reporting 2'!$C$27:$G$27</c:f>
              <c:numCache>
                <c:formatCode>General</c:formatCode>
                <c:ptCount val="5"/>
                <c:pt idx="0">
                  <c:v>59</c:v>
                </c:pt>
                <c:pt idx="1">
                  <c:v>53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5-40A9-94D7-4B42FF8D3022}"/>
            </c:ext>
          </c:extLst>
        </c:ser>
        <c:ser>
          <c:idx val="1"/>
          <c:order val="1"/>
          <c:tx>
            <c:strRef>
              <c:f>'Reporting 2'!$B$28</c:f>
              <c:strCache>
                <c:ptCount val="1"/>
                <c:pt idx="0">
                  <c:v>TPA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('Reporting 2'!$C$25:$G$25,'Reporting 2'!$C$26:$G$26)</c:f>
              <c:multiLvlStrCache>
                <c:ptCount val="5"/>
                <c:lvl>
                  <c:pt idx="0">
                    <c:v>Tetap</c:v>
                  </c:pt>
                  <c:pt idx="1">
                    <c:v>Profesional</c:v>
                  </c:pt>
                  <c:pt idx="2">
                    <c:v>Perbantuan</c:v>
                  </c:pt>
                  <c:pt idx="3">
                    <c:v>TLH</c:v>
                  </c:pt>
                  <c:pt idx="4">
                    <c:v>Outsource</c:v>
                  </c:pt>
                </c:lvl>
                <c:lvl>
                  <c:pt idx="0">
                    <c:v>Kepegawaian</c:v>
                  </c:pt>
                </c:lvl>
              </c:multiLvlStrCache>
            </c:multiLvlStrRef>
          </c:cat>
          <c:val>
            <c:numRef>
              <c:f>'Reporting 2'!$C$28:$G$28</c:f>
              <c:numCache>
                <c:formatCode>General</c:formatCode>
                <c:ptCount val="5"/>
                <c:pt idx="0">
                  <c:v>30</c:v>
                </c:pt>
                <c:pt idx="1">
                  <c:v>9</c:v>
                </c:pt>
                <c:pt idx="2">
                  <c:v>0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5-40A9-94D7-4B42FF8D3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212104"/>
        <c:axId val="606214152"/>
      </c:barChart>
      <c:catAx>
        <c:axId val="606212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14152"/>
        <c:crosses val="autoZero"/>
        <c:auto val="1"/>
        <c:lblAlgn val="ctr"/>
        <c:lblOffset val="100"/>
        <c:noMultiLvlLbl val="0"/>
      </c:catAx>
      <c:valAx>
        <c:axId val="60621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12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Jenjang Pendidikan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'Reporting 2'!$B$33</c:f>
              <c:strCache>
                <c:ptCount val="1"/>
                <c:pt idx="0">
                  <c:v>Dosen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'Reporting 2'!$C$31:$J$32</c:f>
              <c:multiLvlStrCache>
                <c:ptCount val="8"/>
                <c:lvl>
                  <c:pt idx="0">
                    <c:v>SMA</c:v>
                  </c:pt>
                  <c:pt idx="1">
                    <c:v>D1</c:v>
                  </c:pt>
                  <c:pt idx="2">
                    <c:v>D2</c:v>
                  </c:pt>
                  <c:pt idx="3">
                    <c:v>D3</c:v>
                  </c:pt>
                  <c:pt idx="4">
                    <c:v>D4</c:v>
                  </c:pt>
                  <c:pt idx="5">
                    <c:v>S1</c:v>
                  </c:pt>
                  <c:pt idx="6">
                    <c:v>S2</c:v>
                  </c:pt>
                  <c:pt idx="7">
                    <c:v>S3</c:v>
                  </c:pt>
                </c:lvl>
                <c:lvl>
                  <c:pt idx="0">
                    <c:v>Pendidikan</c:v>
                  </c:pt>
                </c:lvl>
              </c:multiLvlStrCache>
            </c:multiLvlStrRef>
          </c:cat>
          <c:val>
            <c:numRef>
              <c:f>'Reporting 2'!$C$33:$J$33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7-46F8-920B-5CCFAA5DFD41}"/>
            </c:ext>
          </c:extLst>
        </c:ser>
        <c:ser>
          <c:idx val="1"/>
          <c:order val="1"/>
          <c:tx>
            <c:strRef>
              <c:f>'Reporting 2'!$B$34</c:f>
              <c:strCache>
                <c:ptCount val="1"/>
                <c:pt idx="0">
                  <c:v>TPA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'Reporting 2'!$C$31:$J$32</c:f>
              <c:multiLvlStrCache>
                <c:ptCount val="8"/>
                <c:lvl>
                  <c:pt idx="0">
                    <c:v>SMA</c:v>
                  </c:pt>
                  <c:pt idx="1">
                    <c:v>D1</c:v>
                  </c:pt>
                  <c:pt idx="2">
                    <c:v>D2</c:v>
                  </c:pt>
                  <c:pt idx="3">
                    <c:v>D3</c:v>
                  </c:pt>
                  <c:pt idx="4">
                    <c:v>D4</c:v>
                  </c:pt>
                  <c:pt idx="5">
                    <c:v>S1</c:v>
                  </c:pt>
                  <c:pt idx="6">
                    <c:v>S2</c:v>
                  </c:pt>
                  <c:pt idx="7">
                    <c:v>S3</c:v>
                  </c:pt>
                </c:lvl>
                <c:lvl>
                  <c:pt idx="0">
                    <c:v>Pendidikan</c:v>
                  </c:pt>
                </c:lvl>
              </c:multiLvlStrCache>
            </c:multiLvlStrRef>
          </c:cat>
          <c:val>
            <c:numRef>
              <c:f>'Reporting 2'!$C$34:$J$34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36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C7-46F8-920B-5CCFAA5DFD41}"/>
            </c:ext>
          </c:extLst>
        </c:ser>
        <c:ser>
          <c:idx val="2"/>
          <c:order val="2"/>
          <c:tx>
            <c:strRef>
              <c:f>'Reporting 2'!$B$35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'Reporting 2'!$C$31:$J$32</c:f>
              <c:multiLvlStrCache>
                <c:ptCount val="8"/>
                <c:lvl>
                  <c:pt idx="0">
                    <c:v>SMA</c:v>
                  </c:pt>
                  <c:pt idx="1">
                    <c:v>D1</c:v>
                  </c:pt>
                  <c:pt idx="2">
                    <c:v>D2</c:v>
                  </c:pt>
                  <c:pt idx="3">
                    <c:v>D3</c:v>
                  </c:pt>
                  <c:pt idx="4">
                    <c:v>D4</c:v>
                  </c:pt>
                  <c:pt idx="5">
                    <c:v>S1</c:v>
                  </c:pt>
                  <c:pt idx="6">
                    <c:v>S2</c:v>
                  </c:pt>
                  <c:pt idx="7">
                    <c:v>S3</c:v>
                  </c:pt>
                </c:lvl>
                <c:lvl>
                  <c:pt idx="0">
                    <c:v>Pendidikan</c:v>
                  </c:pt>
                </c:lvl>
              </c:multiLvlStrCache>
            </c:multiLvlStrRef>
          </c:cat>
          <c:val>
            <c:numRef>
              <c:f>'Reporting 2'!$C$35:$J$35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36</c:v>
                </c:pt>
                <c:pt idx="6">
                  <c:v>91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C7-46F8-920B-5CCFAA5D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884999"/>
        <c:axId val="1444887047"/>
      </c:barChart>
      <c:catAx>
        <c:axId val="1444884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87047"/>
        <c:crosses val="autoZero"/>
        <c:auto val="1"/>
        <c:lblAlgn val="ctr"/>
        <c:lblOffset val="100"/>
        <c:noMultiLvlLbl val="0"/>
      </c:catAx>
      <c:valAx>
        <c:axId val="1444887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84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1857375</xdr:colOff>
      <xdr:row>9</xdr:row>
      <xdr:rowOff>219075</xdr:rowOff>
    </xdr:from>
    <xdr:to>
      <xdr:col>40</xdr:col>
      <xdr:colOff>247650</xdr:colOff>
      <xdr:row>21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4F482-AD28-1473-B912-785ECF44B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152400</xdr:colOff>
      <xdr:row>11</xdr:row>
      <xdr:rowOff>0</xdr:rowOff>
    </xdr:from>
    <xdr:to>
      <xdr:col>51</xdr:col>
      <xdr:colOff>381000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789082-7A02-ADE2-103F-12014CC5AF36}"/>
            </a:ext>
            <a:ext uri="{147F2762-F138-4A5C-976F-8EAC2B608ADB}">
              <a16:predDERef xmlns:a16="http://schemas.microsoft.com/office/drawing/2014/main" pred="{4524F482-AD28-1473-B912-785ECF44B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819150</xdr:colOff>
      <xdr:row>17</xdr:row>
      <xdr:rowOff>47625</xdr:rowOff>
    </xdr:from>
    <xdr:to>
      <xdr:col>55</xdr:col>
      <xdr:colOff>742950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15389F-E3E2-0200-F779-4A282A7DDACE}"/>
            </a:ext>
            <a:ext uri="{147F2762-F138-4A5C-976F-8EAC2B608ADB}">
              <a16:predDERef xmlns:a16="http://schemas.microsoft.com/office/drawing/2014/main" pred="{DC789082-7A02-ADE2-103F-12014CC5A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371475</xdr:colOff>
      <xdr:row>18</xdr:row>
      <xdr:rowOff>57150</xdr:rowOff>
    </xdr:from>
    <xdr:to>
      <xdr:col>26</xdr:col>
      <xdr:colOff>1028700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EDB95-C089-D7A7-0A80-E33C32E2A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1228725</xdr:colOff>
      <xdr:row>18</xdr:row>
      <xdr:rowOff>28575</xdr:rowOff>
    </xdr:from>
    <xdr:to>
      <xdr:col>30</xdr:col>
      <xdr:colOff>190500</xdr:colOff>
      <xdr:row>34</xdr:row>
      <xdr:rowOff>9525</xdr:rowOff>
    </xdr:to>
    <xdr:graphicFrame macro="">
      <xdr:nvGraphicFramePr>
        <xdr:cNvPr id="38" name="Chart 2">
          <a:extLst>
            <a:ext uri="{FF2B5EF4-FFF2-40B4-BE49-F238E27FC236}">
              <a16:creationId xmlns:a16="http://schemas.microsoft.com/office/drawing/2014/main" id="{D3B78EAB-2F1B-FEAC-EC77-74A2D409ACE3}"/>
            </a:ext>
            <a:ext uri="{147F2762-F138-4A5C-976F-8EAC2B608ADB}">
              <a16:predDERef xmlns:a16="http://schemas.microsoft.com/office/drawing/2014/main" pred="{10CEDB95-C089-D7A7-0A80-E33C32E2A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581025</xdr:colOff>
      <xdr:row>16</xdr:row>
      <xdr:rowOff>142875</xdr:rowOff>
    </xdr:from>
    <xdr:to>
      <xdr:col>39</xdr:col>
      <xdr:colOff>276225</xdr:colOff>
      <xdr:row>32</xdr:row>
      <xdr:rowOff>123825</xdr:rowOff>
    </xdr:to>
    <xdr:graphicFrame macro="">
      <xdr:nvGraphicFramePr>
        <xdr:cNvPr id="36" name="Chart 4">
          <a:extLst>
            <a:ext uri="{FF2B5EF4-FFF2-40B4-BE49-F238E27FC236}">
              <a16:creationId xmlns:a16="http://schemas.microsoft.com/office/drawing/2014/main" id="{9DD22BFC-3AE8-C0EC-2797-4BF97BF1CBCA}"/>
            </a:ext>
            <a:ext uri="{147F2762-F138-4A5C-976F-8EAC2B608ADB}">
              <a16:predDERef xmlns:a16="http://schemas.microsoft.com/office/drawing/2014/main" pred="{D3B78EAB-2F1B-FEAC-EC77-74A2D409A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352425</xdr:colOff>
      <xdr:row>18</xdr:row>
      <xdr:rowOff>47625</xdr:rowOff>
    </xdr:from>
    <xdr:to>
      <xdr:col>24</xdr:col>
      <xdr:colOff>180975</xdr:colOff>
      <xdr:row>34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EAED6F-E318-C0D3-1AE0-1AB74BE21849}"/>
            </a:ext>
            <a:ext uri="{147F2762-F138-4A5C-976F-8EAC2B608ADB}">
              <a16:predDERef xmlns:a16="http://schemas.microsoft.com/office/drawing/2014/main" pred="{9DD22BFC-3AE8-C0EC-2797-4BF97BF1C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76200</xdr:colOff>
      <xdr:row>0</xdr:row>
      <xdr:rowOff>0</xdr:rowOff>
    </xdr:from>
    <xdr:to>
      <xdr:col>24</xdr:col>
      <xdr:colOff>533400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6C828-C0B6-83CE-1155-05588766A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76200</xdr:colOff>
      <xdr:row>15</xdr:row>
      <xdr:rowOff>28575</xdr:rowOff>
    </xdr:from>
    <xdr:to>
      <xdr:col>24</xdr:col>
      <xdr:colOff>542925</xdr:colOff>
      <xdr:row>29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5235E3-2ECF-504F-7D8D-45A162966FAF}"/>
            </a:ext>
            <a:ext uri="{147F2762-F138-4A5C-976F-8EAC2B608ADB}">
              <a16:predDERef xmlns:a16="http://schemas.microsoft.com/office/drawing/2014/main" pred="{1886C828-C0B6-83CE-1155-05588766A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133350</xdr:colOff>
      <xdr:row>29</xdr:row>
      <xdr:rowOff>142875</xdr:rowOff>
    </xdr:from>
    <xdr:to>
      <xdr:col>25</xdr:col>
      <xdr:colOff>276225</xdr:colOff>
      <xdr:row>44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DD6051-7E29-0545-C1E1-ADD2BCBBC3E8}"/>
            </a:ext>
            <a:ext uri="{147F2762-F138-4A5C-976F-8EAC2B608ADB}">
              <a16:predDERef xmlns:a16="http://schemas.microsoft.com/office/drawing/2014/main" pred="{9C5235E3-2ECF-504F-7D8D-45A162966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419100</xdr:colOff>
      <xdr:row>36</xdr:row>
      <xdr:rowOff>171450</xdr:rowOff>
    </xdr:from>
    <xdr:to>
      <xdr:col>19</xdr:col>
      <xdr:colOff>733425</xdr:colOff>
      <xdr:row>51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4858C1-CAB6-85E9-CD58-593AF4DA1C49}"/>
            </a:ext>
            <a:ext uri="{147F2762-F138-4A5C-976F-8EAC2B608ADB}">
              <a16:predDERef xmlns:a16="http://schemas.microsoft.com/office/drawing/2014/main" pred="{A4DD6051-7E29-0545-C1E1-ADD2BCBBC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hyuuekafb658@gmail.com" TargetMode="External"/><Relationship Id="rId13" Type="http://schemas.openxmlformats.org/officeDocument/2006/relationships/hyperlink" Target="mailto:yasinta.rmd@gmail.com" TargetMode="External"/><Relationship Id="rId3" Type="http://schemas.openxmlformats.org/officeDocument/2006/relationships/hyperlink" Target="mailto:sulistya@ittelkom-sby.ac.id" TargetMode="External"/><Relationship Id="rId7" Type="http://schemas.openxmlformats.org/officeDocument/2006/relationships/hyperlink" Target="mailto:husseingibreelmusa@gmail.com" TargetMode="External"/><Relationship Id="rId12" Type="http://schemas.openxmlformats.org/officeDocument/2006/relationships/hyperlink" Target="mailto:erlyekayantir@gmail.com" TargetMode="External"/><Relationship Id="rId2" Type="http://schemas.openxmlformats.org/officeDocument/2006/relationships/hyperlink" Target="mailto:dimas.prihadianto@ittelkom-sby.ac.id" TargetMode="External"/><Relationship Id="rId1" Type="http://schemas.openxmlformats.org/officeDocument/2006/relationships/hyperlink" Target="mailto:ediset@ittelkom-sby.ac.id" TargetMode="External"/><Relationship Id="rId6" Type="http://schemas.openxmlformats.org/officeDocument/2006/relationships/hyperlink" Target="mailto:ubaidillahumar@ittelkom-sby.ac.id" TargetMode="External"/><Relationship Id="rId11" Type="http://schemas.openxmlformats.org/officeDocument/2006/relationships/hyperlink" Target="mailto:annisaramadhan807@gmail.com" TargetMode="External"/><Relationship Id="rId5" Type="http://schemas.openxmlformats.org/officeDocument/2006/relationships/hyperlink" Target="mailto:silviistiqomah@ittelkom-sby.ac.id" TargetMode="External"/><Relationship Id="rId15" Type="http://schemas.openxmlformats.org/officeDocument/2006/relationships/hyperlink" Target="http://s.st/" TargetMode="External"/><Relationship Id="rId10" Type="http://schemas.openxmlformats.org/officeDocument/2006/relationships/hyperlink" Target="mailto:riset.egigumalasari@gmail.com" TargetMode="External"/><Relationship Id="rId4" Type="http://schemas.openxmlformats.org/officeDocument/2006/relationships/hyperlink" Target="mailto:achmad.muzakki@ittelkom-sby.ac.id" TargetMode="External"/><Relationship Id="rId9" Type="http://schemas.openxmlformats.org/officeDocument/2006/relationships/hyperlink" Target="mailto:rsulthan5@gmail.com" TargetMode="External"/><Relationship Id="rId14" Type="http://schemas.openxmlformats.org/officeDocument/2006/relationships/hyperlink" Target="mailto:dijaamirah@ittelkom-sby.ac.i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lonhs@telkomuniversity.ac.id" TargetMode="External"/><Relationship Id="rId13" Type="http://schemas.openxmlformats.org/officeDocument/2006/relationships/hyperlink" Target="mailto:rohmahhidayah418@gmail.com" TargetMode="External"/><Relationship Id="rId18" Type="http://schemas.openxmlformats.org/officeDocument/2006/relationships/hyperlink" Target="mailto:yasinta.rmd@gmail.com" TargetMode="External"/><Relationship Id="rId26" Type="http://schemas.openxmlformats.org/officeDocument/2006/relationships/hyperlink" Target="mailto:silviistiqomah@ittelkom-sby.ac.id" TargetMode="External"/><Relationship Id="rId3" Type="http://schemas.openxmlformats.org/officeDocument/2006/relationships/hyperlink" Target="mailto:annisaramadhanar@telkomuniversity.ac.id" TargetMode="External"/><Relationship Id="rId21" Type="http://schemas.openxmlformats.org/officeDocument/2006/relationships/hyperlink" Target="mailto:riset.egigumalasari@gmail.com" TargetMode="External"/><Relationship Id="rId7" Type="http://schemas.openxmlformats.org/officeDocument/2006/relationships/hyperlink" Target="mailto:husseingibreelmusa@telkomuniversity.ac.id" TargetMode="External"/><Relationship Id="rId12" Type="http://schemas.openxmlformats.org/officeDocument/2006/relationships/hyperlink" Target="mailto:salsabilapis.spis@gmail.com" TargetMode="External"/><Relationship Id="rId17" Type="http://schemas.openxmlformats.org/officeDocument/2006/relationships/hyperlink" Target="mailto:dijaamirah@ittelkom-sby.ac.id" TargetMode="External"/><Relationship Id="rId25" Type="http://schemas.openxmlformats.org/officeDocument/2006/relationships/hyperlink" Target="mailto:ubaidillahumar@ittelkom-sby.ac.id" TargetMode="External"/><Relationship Id="rId2" Type="http://schemas.openxmlformats.org/officeDocument/2006/relationships/hyperlink" Target="mailto:erlyekayantirosyida@telkomuniversity.ac.id" TargetMode="External"/><Relationship Id="rId16" Type="http://schemas.openxmlformats.org/officeDocument/2006/relationships/hyperlink" Target="mailto:alon@ittelkom-pwt.ac.id" TargetMode="External"/><Relationship Id="rId20" Type="http://schemas.openxmlformats.org/officeDocument/2006/relationships/hyperlink" Target="mailto:annisaramadhan807@gmail.com" TargetMode="External"/><Relationship Id="rId29" Type="http://schemas.openxmlformats.org/officeDocument/2006/relationships/hyperlink" Target="mailto:dimas.prihadianto@ittelkom-sby.ac.id" TargetMode="External"/><Relationship Id="rId1" Type="http://schemas.openxmlformats.org/officeDocument/2006/relationships/hyperlink" Target="mailto:yasintaromadhona@telkomuniversity.ac.id" TargetMode="External"/><Relationship Id="rId6" Type="http://schemas.openxmlformats.org/officeDocument/2006/relationships/hyperlink" Target="mailto:wahyuekakiswardani@telkomuniversity.ac.id" TargetMode="External"/><Relationship Id="rId11" Type="http://schemas.openxmlformats.org/officeDocument/2006/relationships/hyperlink" Target="mailto:salsabilaputriindah@telkomuniversity.ac.id" TargetMode="External"/><Relationship Id="rId24" Type="http://schemas.openxmlformats.org/officeDocument/2006/relationships/hyperlink" Target="mailto:husseingibreelmusa@gmail.com" TargetMode="External"/><Relationship Id="rId5" Type="http://schemas.openxmlformats.org/officeDocument/2006/relationships/hyperlink" Target="mailto:sulthanrafif@telkomuniversity.ac.id" TargetMode="External"/><Relationship Id="rId15" Type="http://schemas.openxmlformats.org/officeDocument/2006/relationships/hyperlink" Target="mailto:Farhansyah.mondari1@gmail.com" TargetMode="External"/><Relationship Id="rId23" Type="http://schemas.openxmlformats.org/officeDocument/2006/relationships/hyperlink" Target="mailto:wahyuuekafb658@gmail.com" TargetMode="External"/><Relationship Id="rId28" Type="http://schemas.openxmlformats.org/officeDocument/2006/relationships/hyperlink" Target="mailto:sulistya@ittelkom-sby.ac.id" TargetMode="External"/><Relationship Id="rId10" Type="http://schemas.openxmlformats.org/officeDocument/2006/relationships/hyperlink" Target="mailto:rohmahhidayahrh@telkomuniversity.ac.id" TargetMode="External"/><Relationship Id="rId19" Type="http://schemas.openxmlformats.org/officeDocument/2006/relationships/hyperlink" Target="mailto:erlyekayantir@gmail.com" TargetMode="External"/><Relationship Id="rId4" Type="http://schemas.openxmlformats.org/officeDocument/2006/relationships/hyperlink" Target="mailto:egigumalasari@telkomuniversity.ac.id" TargetMode="External"/><Relationship Id="rId9" Type="http://schemas.openxmlformats.org/officeDocument/2006/relationships/hyperlink" Target="mailto:rizqir@telkomuniversity.ac.id" TargetMode="External"/><Relationship Id="rId14" Type="http://schemas.openxmlformats.org/officeDocument/2006/relationships/hyperlink" Target="mailto:rizqiraa11@gmail.com" TargetMode="External"/><Relationship Id="rId22" Type="http://schemas.openxmlformats.org/officeDocument/2006/relationships/hyperlink" Target="mailto:rsulthan5@gmail.com" TargetMode="External"/><Relationship Id="rId27" Type="http://schemas.openxmlformats.org/officeDocument/2006/relationships/hyperlink" Target="mailto:achmad.muzakki@ittelkom-sby.ac.id" TargetMode="External"/><Relationship Id="rId30" Type="http://schemas.openxmlformats.org/officeDocument/2006/relationships/hyperlink" Target="mailto:ediset@ittelkom-sby.ac.id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esakharismaputra@telkomuniversity.ac.id" TargetMode="External"/><Relationship Id="rId3" Type="http://schemas.openxmlformats.org/officeDocument/2006/relationships/hyperlink" Target="mailto:awangditama@gmail.com" TargetMode="External"/><Relationship Id="rId7" Type="http://schemas.openxmlformats.org/officeDocument/2006/relationships/hyperlink" Target="mailto:chintyatribhuana@telkomuniversity.ac.id" TargetMode="External"/><Relationship Id="rId2" Type="http://schemas.openxmlformats.org/officeDocument/2006/relationships/hyperlink" Target="http://s.st/" TargetMode="External"/><Relationship Id="rId1" Type="http://schemas.openxmlformats.org/officeDocument/2006/relationships/hyperlink" Target="mailto:vindyandriani@ittelkom-sby.ac.id" TargetMode="External"/><Relationship Id="rId6" Type="http://schemas.openxmlformats.org/officeDocument/2006/relationships/hyperlink" Target="mailto:frisdiantinkw@telkomuniversity.ac.id" TargetMode="External"/><Relationship Id="rId5" Type="http://schemas.openxmlformats.org/officeDocument/2006/relationships/hyperlink" Target="mailto:muhammaddwihariyanto4897@gmail.com" TargetMode="External"/><Relationship Id="rId10" Type="http://schemas.openxmlformats.org/officeDocument/2006/relationships/hyperlink" Target="mailto:dzulfani@telkomuniversity.ac.id" TargetMode="External"/><Relationship Id="rId4" Type="http://schemas.openxmlformats.org/officeDocument/2006/relationships/hyperlink" Target="mailto:berlianamalina@gmail.com" TargetMode="External"/><Relationship Id="rId9" Type="http://schemas.openxmlformats.org/officeDocument/2006/relationships/hyperlink" Target="mailto:citatasha@telkomuniversity.ac.i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faisalzaidanpradana@telkomuniversity.ac.id" TargetMode="External"/><Relationship Id="rId2" Type="http://schemas.openxmlformats.org/officeDocument/2006/relationships/hyperlink" Target="mailto:nuchailaainiyah@telkomuniversity.ac.id" TargetMode="External"/><Relationship Id="rId1" Type="http://schemas.openxmlformats.org/officeDocument/2006/relationships/hyperlink" Target="mailto:rafikadamayanti@telkomuniversity.ac.id" TargetMode="External"/><Relationship Id="rId6" Type="http://schemas.openxmlformats.org/officeDocument/2006/relationships/hyperlink" Target="mailto:qoriafiatafiddina@telkomuniversity.ac.id" TargetMode="External"/><Relationship Id="rId5" Type="http://schemas.openxmlformats.org/officeDocument/2006/relationships/hyperlink" Target="mailto:karinafitriwulandari@telkomuniversity.ac.id" TargetMode="External"/><Relationship Id="rId4" Type="http://schemas.openxmlformats.org/officeDocument/2006/relationships/hyperlink" Target="mailto:affifahmutiara@telkomuniversity.ac.id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alonhs@telkomuniversity.ac.id" TargetMode="External"/><Relationship Id="rId13" Type="http://schemas.openxmlformats.org/officeDocument/2006/relationships/hyperlink" Target="mailto:rohmahhidayah418@gmail.com" TargetMode="External"/><Relationship Id="rId18" Type="http://schemas.openxmlformats.org/officeDocument/2006/relationships/hyperlink" Target="mailto:yasinta.rmd@gmail.com" TargetMode="External"/><Relationship Id="rId26" Type="http://schemas.openxmlformats.org/officeDocument/2006/relationships/hyperlink" Target="mailto:silviistiqomah@ittelkom-sby.ac.id" TargetMode="External"/><Relationship Id="rId3" Type="http://schemas.openxmlformats.org/officeDocument/2006/relationships/hyperlink" Target="mailto:annisaramadhanar@telkomuniversity.ac.id" TargetMode="External"/><Relationship Id="rId21" Type="http://schemas.openxmlformats.org/officeDocument/2006/relationships/hyperlink" Target="mailto:riset.egigumalasari@gmail.com" TargetMode="External"/><Relationship Id="rId7" Type="http://schemas.openxmlformats.org/officeDocument/2006/relationships/hyperlink" Target="mailto:husseingibreelmusa@telkomuniversity.ac.id" TargetMode="External"/><Relationship Id="rId12" Type="http://schemas.openxmlformats.org/officeDocument/2006/relationships/hyperlink" Target="mailto:salsabilapis.spis@gmail.com" TargetMode="External"/><Relationship Id="rId17" Type="http://schemas.openxmlformats.org/officeDocument/2006/relationships/hyperlink" Target="mailto:dijaamirah@ittelkom-sby.ac.id" TargetMode="External"/><Relationship Id="rId25" Type="http://schemas.openxmlformats.org/officeDocument/2006/relationships/hyperlink" Target="mailto:ubaidillahumar@ittelkom-sby.ac.id" TargetMode="External"/><Relationship Id="rId2" Type="http://schemas.openxmlformats.org/officeDocument/2006/relationships/hyperlink" Target="mailto:erlyekayantirosyida@telkomuniversity.ac.id" TargetMode="External"/><Relationship Id="rId16" Type="http://schemas.openxmlformats.org/officeDocument/2006/relationships/hyperlink" Target="mailto:alon@ittelkom-pwt.ac.id" TargetMode="External"/><Relationship Id="rId20" Type="http://schemas.openxmlformats.org/officeDocument/2006/relationships/hyperlink" Target="mailto:annisaramadhan807@gmail.com" TargetMode="External"/><Relationship Id="rId29" Type="http://schemas.openxmlformats.org/officeDocument/2006/relationships/hyperlink" Target="mailto:dimas.prihadianto@ittelkom-sby.ac.id" TargetMode="External"/><Relationship Id="rId1" Type="http://schemas.openxmlformats.org/officeDocument/2006/relationships/hyperlink" Target="mailto:yasintaromadhona@telkomuniversity.ac.id" TargetMode="External"/><Relationship Id="rId6" Type="http://schemas.openxmlformats.org/officeDocument/2006/relationships/hyperlink" Target="mailto:wahyuekakiswardani@telkomuniversity.ac.id" TargetMode="External"/><Relationship Id="rId11" Type="http://schemas.openxmlformats.org/officeDocument/2006/relationships/hyperlink" Target="mailto:salsabilaputriindah@telkomuniversity.ac.id" TargetMode="External"/><Relationship Id="rId24" Type="http://schemas.openxmlformats.org/officeDocument/2006/relationships/hyperlink" Target="mailto:husseingibreelmusa@gmail.com" TargetMode="External"/><Relationship Id="rId5" Type="http://schemas.openxmlformats.org/officeDocument/2006/relationships/hyperlink" Target="mailto:sulthanrafif@telkomuniversity.ac.id" TargetMode="External"/><Relationship Id="rId15" Type="http://schemas.openxmlformats.org/officeDocument/2006/relationships/hyperlink" Target="mailto:Farhansyah.mondari1@gmail.com" TargetMode="External"/><Relationship Id="rId23" Type="http://schemas.openxmlformats.org/officeDocument/2006/relationships/hyperlink" Target="mailto:wahyuuekafb658@gmail.com" TargetMode="External"/><Relationship Id="rId28" Type="http://schemas.openxmlformats.org/officeDocument/2006/relationships/hyperlink" Target="mailto:sulistya@ittelkom-sby.ac.id" TargetMode="External"/><Relationship Id="rId10" Type="http://schemas.openxmlformats.org/officeDocument/2006/relationships/hyperlink" Target="mailto:rohmahhidayahrh@telkomuniversity.ac.id" TargetMode="External"/><Relationship Id="rId19" Type="http://schemas.openxmlformats.org/officeDocument/2006/relationships/hyperlink" Target="mailto:erlyekayantir@gmail.com" TargetMode="External"/><Relationship Id="rId4" Type="http://schemas.openxmlformats.org/officeDocument/2006/relationships/hyperlink" Target="mailto:egigumalasari@telkomuniversity.ac.id" TargetMode="External"/><Relationship Id="rId9" Type="http://schemas.openxmlformats.org/officeDocument/2006/relationships/hyperlink" Target="mailto:rizqir@telkomuniversity.ac.id" TargetMode="External"/><Relationship Id="rId14" Type="http://schemas.openxmlformats.org/officeDocument/2006/relationships/hyperlink" Target="mailto:rizqiraa11@gmail.com" TargetMode="External"/><Relationship Id="rId22" Type="http://schemas.openxmlformats.org/officeDocument/2006/relationships/hyperlink" Target="mailto:rsulthan5@gmail.com" TargetMode="External"/><Relationship Id="rId27" Type="http://schemas.openxmlformats.org/officeDocument/2006/relationships/hyperlink" Target="mailto:achmad.muzakki@ittelkom-sby.ac.id" TargetMode="External"/><Relationship Id="rId30" Type="http://schemas.openxmlformats.org/officeDocument/2006/relationships/hyperlink" Target="mailto:ediset@ittelkom-sby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F73D-7C33-4A19-A523-EF43286B8AF2}">
  <dimension ref="A1:T196"/>
  <sheetViews>
    <sheetView workbookViewId="0">
      <pane xSplit="3" ySplit="1" topLeftCell="D70" activePane="bottomRight" state="frozen"/>
      <selection pane="bottomRight" activeCell="G70" sqref="G70"/>
      <selection pane="bottomLeft"/>
      <selection pane="topRight"/>
    </sheetView>
  </sheetViews>
  <sheetFormatPr defaultColWidth="24.85546875" defaultRowHeight="15"/>
  <cols>
    <col min="1" max="1" width="5.42578125" bestFit="1" customWidth="1"/>
    <col min="2" max="2" width="44.85546875" bestFit="1" customWidth="1"/>
    <col min="3" max="3" width="16.140625" bestFit="1" customWidth="1"/>
    <col min="4" max="5" width="16.140625" customWidth="1"/>
    <col min="6" max="6" width="32.7109375" bestFit="1" customWidth="1"/>
    <col min="7" max="7" width="12.85546875" bestFit="1" customWidth="1"/>
    <col min="8" max="9" width="24.42578125" bestFit="1" customWidth="1"/>
    <col min="10" max="10" width="18.28515625" bestFit="1" customWidth="1"/>
    <col min="11" max="11" width="19.42578125" bestFit="1" customWidth="1"/>
    <col min="12" max="12" width="29.140625" bestFit="1" customWidth="1"/>
    <col min="13" max="13" width="18" bestFit="1" customWidth="1"/>
    <col min="14" max="14" width="17.42578125" bestFit="1" customWidth="1"/>
    <col min="15" max="15" width="17.42578125" style="145" customWidth="1"/>
    <col min="17" max="17" width="51.42578125" bestFit="1" customWidth="1"/>
    <col min="18" max="18" width="17.28515625" bestFit="1" customWidth="1"/>
    <col min="19" max="19" width="143.7109375" bestFit="1" customWidth="1"/>
  </cols>
  <sheetData>
    <row r="1" spans="1:20" ht="18.95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266" t="s">
        <v>14</v>
      </c>
      <c r="P1" s="159" t="s">
        <v>15</v>
      </c>
      <c r="Q1" s="159" t="s">
        <v>16</v>
      </c>
      <c r="R1" s="159" t="s">
        <v>17</v>
      </c>
      <c r="S1" s="159" t="s">
        <v>18</v>
      </c>
    </row>
    <row r="2" spans="1:20" ht="18.95">
      <c r="A2" s="132">
        <v>1</v>
      </c>
      <c r="B2" s="132" t="s">
        <v>19</v>
      </c>
      <c r="C2" s="132" t="s">
        <v>20</v>
      </c>
      <c r="D2" s="132" t="s">
        <v>21</v>
      </c>
      <c r="E2" s="132" t="str">
        <f>IF(D2="DOSEN",VLOOKUP(B2,Dosen!B:Z,11,FALSE),VLOOKUP(B2,TPA!B:Z,7,FALSE))</f>
        <v>L</v>
      </c>
      <c r="F2" s="132" t="s">
        <v>22</v>
      </c>
      <c r="G2" s="132">
        <v>24800005</v>
      </c>
      <c r="H2" s="149">
        <v>730088001</v>
      </c>
      <c r="I2" s="149" t="s">
        <v>23</v>
      </c>
      <c r="J2" s="149" t="str">
        <f>IF(D2="DOSEN",VLOOKUP(B2,Dosen!B:Z,7,FALSE),VLOOKUP(B2,TPA!B:Z,5,FALSE))</f>
        <v>PROFESIONAL</v>
      </c>
      <c r="K2" s="132" t="s">
        <v>24</v>
      </c>
      <c r="L2" s="132" t="s">
        <v>25</v>
      </c>
      <c r="M2" s="132" t="str">
        <f>IF(D2="DOSEN",VLOOKUP(B2,Dosen!B:ZZ,33,FALSE),VLOOKUP(B2,TPA!B:ZZ,44,FALSE))</f>
        <v>S3</v>
      </c>
      <c r="N2" s="146">
        <v>45544</v>
      </c>
      <c r="O2" s="146"/>
      <c r="P2" s="151" t="str">
        <f ca="1">IF(O2="",DATEDIF(N2,TODAY(),"y")&amp;" tahun "&amp;DATEDIF(N2,TODAY(),"ym")&amp;" bulan ",DATEDIF(N2,O2,"y")&amp;" tahun "&amp;DATEDIF(N2,O2,"ym")&amp;" bulan ")</f>
        <v xml:space="preserve">1 tahun 4 bulan </v>
      </c>
      <c r="Q2" s="132" t="s">
        <v>26</v>
      </c>
      <c r="R2" s="132">
        <v>85235684085</v>
      </c>
      <c r="S2" s="132" t="s">
        <v>27</v>
      </c>
      <c r="T2" t="str">
        <f>VLOOKUP(B3,Dosen!B:Z,11,FALSE)</f>
        <v>AA</v>
      </c>
    </row>
    <row r="3" spans="1:20" ht="18.95">
      <c r="A3" s="132">
        <v>2</v>
      </c>
      <c r="B3" s="132" t="s">
        <v>28</v>
      </c>
      <c r="C3" s="132" t="s">
        <v>20</v>
      </c>
      <c r="D3" s="132" t="s">
        <v>21</v>
      </c>
      <c r="E3" s="132" t="str">
        <f>IF(D3="DOSEN",VLOOKUP(B3,Dosen!B:Z,11,FALSE),VLOOKUP(B3,TPA!B:Z,7,FALSE))</f>
        <v>AA</v>
      </c>
      <c r="F3" s="132" t="s">
        <v>22</v>
      </c>
      <c r="G3" s="132">
        <v>22920004</v>
      </c>
      <c r="H3" s="132">
        <v>309069201</v>
      </c>
      <c r="I3" s="150" t="s">
        <v>29</v>
      </c>
      <c r="J3" s="149" t="str">
        <f>IF(D3="DOSEN",VLOOKUP(B3,Dosen!B:Z,7,FALSE),VLOOKUP(B3,TPA!B:Z,5,FALSE))</f>
        <v>PROFESIONAL</v>
      </c>
      <c r="K3" s="132" t="s">
        <v>30</v>
      </c>
      <c r="L3" s="132" t="s">
        <v>31</v>
      </c>
      <c r="M3" s="132" t="str">
        <f>IF(D3="DOSEN",VLOOKUP(B3,Dosen!B:ZZ,33,FALSE),VLOOKUP(B3,TPA!B:ZZ,44,FALSE))</f>
        <v>S2</v>
      </c>
      <c r="N3" s="146">
        <v>44627</v>
      </c>
      <c r="O3" s="146"/>
      <c r="P3" s="151" t="str">
        <f t="shared" ref="P3:P66" ca="1" si="0">IF(O3="",DATEDIF(N3,TODAY(),"y")&amp;" tahun "&amp;DATEDIF(N3,TODAY(),"ym")&amp;" bulan ",DATEDIF(N3,O3,"y")&amp;" tahun "&amp;DATEDIF(N3,O3,"ym")&amp;" bulan ")</f>
        <v xml:space="preserve">3 tahun 10 bulan </v>
      </c>
      <c r="Q3" s="132" t="s">
        <v>32</v>
      </c>
      <c r="R3" s="132">
        <v>82122074533</v>
      </c>
      <c r="S3" s="132" t="s">
        <v>33</v>
      </c>
    </row>
    <row r="4" spans="1:20" ht="18.95">
      <c r="A4" s="132">
        <v>3</v>
      </c>
      <c r="B4" s="132" t="s">
        <v>34</v>
      </c>
      <c r="C4" s="132" t="s">
        <v>20</v>
      </c>
      <c r="D4" s="132" t="s">
        <v>21</v>
      </c>
      <c r="E4" s="132" t="str">
        <f>IF(D4="DOSEN",VLOOKUP(B4,Dosen!B:Z,11,FALSE),VLOOKUP(B4,TPA!B:Z,7,FALSE))</f>
        <v>AA</v>
      </c>
      <c r="F4" s="132" t="s">
        <v>22</v>
      </c>
      <c r="G4" s="132">
        <v>19900005</v>
      </c>
      <c r="H4" s="132">
        <v>722069004</v>
      </c>
      <c r="I4" s="150" t="s">
        <v>35</v>
      </c>
      <c r="J4" s="149" t="str">
        <f>IF(D4="DOSEN",VLOOKUP(B4,Dosen!B:Z,7,FALSE),VLOOKUP(B4,TPA!B:Z,5,FALSE))</f>
        <v>TETAP</v>
      </c>
      <c r="K4" s="132" t="s">
        <v>36</v>
      </c>
      <c r="L4" s="132" t="s">
        <v>37</v>
      </c>
      <c r="M4" s="132" t="str">
        <f>IF(D4="DOSEN",VLOOKUP(B4,Dosen!B:ZZ,33,FALSE),VLOOKUP(B4,TPA!B:ZZ,44,FALSE))</f>
        <v>S2</v>
      </c>
      <c r="N4" s="146">
        <v>43101</v>
      </c>
      <c r="O4" s="146"/>
      <c r="P4" s="151" t="str">
        <f t="shared" ca="1" si="0"/>
        <v xml:space="preserve">8 tahun 0 bulan </v>
      </c>
      <c r="Q4" s="132" t="s">
        <v>38</v>
      </c>
      <c r="R4" s="132">
        <v>85230001444</v>
      </c>
      <c r="S4" s="132" t="s">
        <v>39</v>
      </c>
    </row>
    <row r="5" spans="1:20" ht="18.95">
      <c r="A5" s="132">
        <v>4</v>
      </c>
      <c r="B5" s="132" t="s">
        <v>40</v>
      </c>
      <c r="C5" s="132" t="s">
        <v>20</v>
      </c>
      <c r="D5" s="132" t="s">
        <v>21</v>
      </c>
      <c r="E5" s="132" t="str">
        <f>IF(D5="DOSEN",VLOOKUP(B5,Dosen!B:Z,11,FALSE),VLOOKUP(B5,TPA!B:Z,7,FALSE))</f>
        <v>AA</v>
      </c>
      <c r="F5" s="132" t="s">
        <v>22</v>
      </c>
      <c r="G5" s="132">
        <v>24930005</v>
      </c>
      <c r="H5" s="132">
        <v>704029302</v>
      </c>
      <c r="I5" s="150" t="s">
        <v>41</v>
      </c>
      <c r="J5" s="149" t="str">
        <f>IF(D5="DOSEN",VLOOKUP(B5,Dosen!B:Z,7,FALSE),VLOOKUP(B5,TPA!B:Z,5,FALSE))</f>
        <v>TETAP</v>
      </c>
      <c r="K5" s="132" t="s">
        <v>30</v>
      </c>
      <c r="L5" s="132" t="s">
        <v>42</v>
      </c>
      <c r="M5" s="132" t="str">
        <f>IF(D5="DOSEN",VLOOKUP(B5,Dosen!B:ZZ,33,FALSE),VLOOKUP(B5,TPA!B:ZZ,44,FALSE))</f>
        <v>S2</v>
      </c>
      <c r="N5" s="146">
        <v>44166</v>
      </c>
      <c r="O5" s="146"/>
      <c r="P5" s="151" t="str">
        <f t="shared" ca="1" si="0"/>
        <v xml:space="preserve">5 tahun 1 bulan </v>
      </c>
      <c r="Q5" s="132" t="s">
        <v>43</v>
      </c>
      <c r="R5" s="132">
        <v>81334448548</v>
      </c>
      <c r="S5" s="132" t="s">
        <v>44</v>
      </c>
    </row>
    <row r="6" spans="1:20" ht="18.95">
      <c r="A6" s="132">
        <v>5</v>
      </c>
      <c r="B6" s="132" t="s">
        <v>45</v>
      </c>
      <c r="C6" s="132" t="s">
        <v>46</v>
      </c>
      <c r="D6" s="132" t="s">
        <v>21</v>
      </c>
      <c r="E6" s="132" t="str">
        <f>IF(D6="DOSEN",VLOOKUP(B6,Dosen!B:Z,11,FALSE),VLOOKUP(B6,TPA!B:Z,7,FALSE))</f>
        <v>AA</v>
      </c>
      <c r="F6" s="132" t="s">
        <v>22</v>
      </c>
      <c r="G6" s="132">
        <v>20940041</v>
      </c>
      <c r="H6" s="132">
        <v>730049402</v>
      </c>
      <c r="I6" s="132"/>
      <c r="J6" s="149" t="str">
        <f>IF(D6="DOSEN",VLOOKUP(B6,Dosen!B:Z,7,FALSE),VLOOKUP(B6,TPA!B:Z,5,FALSE))</f>
        <v>PROFESIONAL</v>
      </c>
      <c r="K6" s="132" t="s">
        <v>30</v>
      </c>
      <c r="L6" s="132" t="s">
        <v>47</v>
      </c>
      <c r="M6" s="132" t="str">
        <f>IF(D6="DOSEN",VLOOKUP(B6,Dosen!B:ZZ,33,FALSE),VLOOKUP(B6,TPA!B:ZZ,44,FALSE))</f>
        <v>S2</v>
      </c>
      <c r="N6" s="146">
        <v>44166</v>
      </c>
      <c r="O6" s="146">
        <v>45473</v>
      </c>
      <c r="P6" s="151" t="str">
        <f t="shared" ca="1" si="0"/>
        <v xml:space="preserve">3 tahun 6 bulan </v>
      </c>
      <c r="Q6" s="132" t="s">
        <v>48</v>
      </c>
      <c r="R6" s="132">
        <v>81286153175</v>
      </c>
      <c r="S6" s="132" t="s">
        <v>49</v>
      </c>
    </row>
    <row r="7" spans="1:20" ht="18.95">
      <c r="A7" s="132">
        <v>6</v>
      </c>
      <c r="B7" s="132" t="s">
        <v>50</v>
      </c>
      <c r="C7" s="132" t="s">
        <v>20</v>
      </c>
      <c r="D7" s="132" t="s">
        <v>21</v>
      </c>
      <c r="E7" s="132" t="str">
        <f>IF(D7="DOSEN",VLOOKUP(B7,Dosen!B:Z,11,FALSE),VLOOKUP(B7,TPA!B:Z,7,FALSE))</f>
        <v>AA</v>
      </c>
      <c r="F7" s="132" t="s">
        <v>22</v>
      </c>
      <c r="G7" s="132">
        <v>15890076</v>
      </c>
      <c r="H7" s="132">
        <v>708128901</v>
      </c>
      <c r="I7" s="150" t="s">
        <v>51</v>
      </c>
      <c r="J7" s="149" t="str">
        <f>IF(D7="DOSEN",VLOOKUP(B7,Dosen!B:Z,7,FALSE),VLOOKUP(B7,TPA!B:Z,5,FALSE))</f>
        <v>TETAP</v>
      </c>
      <c r="K7" s="132" t="s">
        <v>30</v>
      </c>
      <c r="L7" s="132" t="s">
        <v>52</v>
      </c>
      <c r="M7" s="132" t="str">
        <f>IF(D7="DOSEN",VLOOKUP(B7,Dosen!B:ZZ,33,FALSE),VLOOKUP(B7,TPA!B:ZZ,44,FALSE))</f>
        <v>S2</v>
      </c>
      <c r="N7" s="146">
        <v>44652</v>
      </c>
      <c r="O7" s="146"/>
      <c r="P7" s="151" t="str">
        <f t="shared" ca="1" si="0"/>
        <v xml:space="preserve">3 tahun 9 bulan </v>
      </c>
      <c r="Q7" s="132" t="s">
        <v>53</v>
      </c>
      <c r="R7" s="132">
        <v>81214806006</v>
      </c>
      <c r="S7" s="132" t="s">
        <v>54</v>
      </c>
    </row>
    <row r="8" spans="1:20" ht="18.95">
      <c r="A8" s="132">
        <v>7</v>
      </c>
      <c r="B8" s="132" t="s">
        <v>55</v>
      </c>
      <c r="C8" s="132" t="s">
        <v>20</v>
      </c>
      <c r="D8" s="132" t="s">
        <v>21</v>
      </c>
      <c r="E8" s="132" t="str">
        <f>IF(D8="DOSEN",VLOOKUP(B8,Dosen!B:Z,11,FALSE),VLOOKUP(B8,TPA!B:Z,7,FALSE))</f>
        <v>L</v>
      </c>
      <c r="F8" s="132" t="s">
        <v>22</v>
      </c>
      <c r="G8" s="132">
        <v>20860014</v>
      </c>
      <c r="H8" s="132">
        <v>710028604</v>
      </c>
      <c r="I8" s="150" t="s">
        <v>56</v>
      </c>
      <c r="J8" s="149" t="str">
        <f>IF(D8="DOSEN",VLOOKUP(B8,Dosen!B:Z,7,FALSE),VLOOKUP(B8,TPA!B:Z,5,FALSE))</f>
        <v>TETAP</v>
      </c>
      <c r="K8" s="132" t="s">
        <v>30</v>
      </c>
      <c r="L8" s="132" t="s">
        <v>57</v>
      </c>
      <c r="M8" s="132" t="str">
        <f>IF(D8="DOSEN",VLOOKUP(B8,Dosen!B:ZZ,33,FALSE),VLOOKUP(B8,TPA!B:ZZ,44,FALSE))</f>
        <v>S2</v>
      </c>
      <c r="N8" s="146">
        <v>43282</v>
      </c>
      <c r="O8" s="146"/>
      <c r="P8" s="151" t="str">
        <f t="shared" ca="1" si="0"/>
        <v xml:space="preserve">7 tahun 6 bulan </v>
      </c>
      <c r="Q8" s="132" t="s">
        <v>58</v>
      </c>
      <c r="R8" s="132">
        <v>81325019978</v>
      </c>
      <c r="S8" s="132" t="s">
        <v>59</v>
      </c>
    </row>
    <row r="9" spans="1:20" ht="18.95">
      <c r="A9" s="132">
        <v>8</v>
      </c>
      <c r="B9" s="132" t="s">
        <v>60</v>
      </c>
      <c r="C9" s="132" t="s">
        <v>20</v>
      </c>
      <c r="D9" s="132" t="s">
        <v>21</v>
      </c>
      <c r="E9" s="132" t="str">
        <f>IF(D9="DOSEN",VLOOKUP(B9,Dosen!B:Z,11,FALSE),VLOOKUP(B9,TPA!B:Z,7,FALSE))</f>
        <v>AA</v>
      </c>
      <c r="F9" s="132" t="s">
        <v>22</v>
      </c>
      <c r="G9" s="132">
        <v>15720039</v>
      </c>
      <c r="H9" s="157" t="s">
        <v>61</v>
      </c>
      <c r="I9" s="157" t="s">
        <v>62</v>
      </c>
      <c r="J9" s="149" t="str">
        <f>IF(D9="DOSEN",VLOOKUP(B9,Dosen!B:Z,7,FALSE),VLOOKUP(B9,TPA!B:Z,5,FALSE))</f>
        <v>PERBANTUAN</v>
      </c>
      <c r="K9" s="132" t="s">
        <v>30</v>
      </c>
      <c r="L9" s="132" t="s">
        <v>63</v>
      </c>
      <c r="M9" s="132" t="str">
        <f>IF(D9="DOSEN",VLOOKUP(B9,Dosen!B:ZZ,33,FALSE),VLOOKUP(B9,TPA!B:ZZ,44,FALSE))</f>
        <v>S2</v>
      </c>
      <c r="N9" s="146">
        <v>44562</v>
      </c>
      <c r="O9" s="146"/>
      <c r="P9" s="151" t="str">
        <f t="shared" ca="1" si="0"/>
        <v xml:space="preserve">4 tahun 0 bulan </v>
      </c>
      <c r="Q9" s="132" t="s">
        <v>64</v>
      </c>
      <c r="R9" s="132">
        <v>81334395366</v>
      </c>
      <c r="S9" s="132" t="s">
        <v>65</v>
      </c>
    </row>
    <row r="10" spans="1:20" ht="18.95">
      <c r="A10" s="132">
        <v>9</v>
      </c>
      <c r="B10" s="132" t="s">
        <v>66</v>
      </c>
      <c r="C10" s="132" t="s">
        <v>20</v>
      </c>
      <c r="D10" s="132" t="s">
        <v>21</v>
      </c>
      <c r="E10" s="132" t="str">
        <f>IF(D10="DOSEN",VLOOKUP(B10,Dosen!B:Z,11,FALSE),VLOOKUP(B10,TPA!B:Z,7,FALSE))</f>
        <v>AA</v>
      </c>
      <c r="F10" s="132" t="s">
        <v>22</v>
      </c>
      <c r="G10" s="132">
        <v>22970043</v>
      </c>
      <c r="H10" s="132">
        <v>701069701</v>
      </c>
      <c r="I10" s="150" t="s">
        <v>67</v>
      </c>
      <c r="J10" s="149" t="str">
        <f>IF(D10="DOSEN",VLOOKUP(B10,Dosen!B:Z,7,FALSE),VLOOKUP(B10,TPA!B:Z,5,FALSE))</f>
        <v>PROFESIONAL</v>
      </c>
      <c r="K10" s="132" t="s">
        <v>30</v>
      </c>
      <c r="L10" s="132" t="s">
        <v>68</v>
      </c>
      <c r="M10" s="132" t="str">
        <f>IF(D10="DOSEN",VLOOKUP(B10,Dosen!B:ZZ,33,FALSE),VLOOKUP(B10,TPA!B:ZZ,44,FALSE))</f>
        <v>S2</v>
      </c>
      <c r="N10" s="146">
        <v>44832</v>
      </c>
      <c r="O10" s="146"/>
      <c r="P10" s="151" t="str">
        <f t="shared" ca="1" si="0"/>
        <v xml:space="preserve">3 tahun 3 bulan </v>
      </c>
      <c r="Q10" s="132" t="s">
        <v>69</v>
      </c>
      <c r="R10" s="132">
        <v>82234320272</v>
      </c>
      <c r="S10" s="132" t="s">
        <v>70</v>
      </c>
    </row>
    <row r="11" spans="1:20" ht="18.95">
      <c r="A11" s="132">
        <v>10</v>
      </c>
      <c r="B11" s="132" t="s">
        <v>71</v>
      </c>
      <c r="C11" s="132" t="s">
        <v>46</v>
      </c>
      <c r="D11" s="132" t="s">
        <v>21</v>
      </c>
      <c r="E11" s="132" t="str">
        <f>IF(D11="DOSEN",VLOOKUP(B11,Dosen!B:Z,11,FALSE),VLOOKUP(B11,TPA!B:Z,7,FALSE))</f>
        <v>NJAD</v>
      </c>
      <c r="F11" s="132" t="s">
        <v>22</v>
      </c>
      <c r="G11" s="132">
        <v>23990018</v>
      </c>
      <c r="H11" s="149">
        <v>727019901</v>
      </c>
      <c r="I11" s="169" t="s">
        <v>72</v>
      </c>
      <c r="J11" s="149" t="str">
        <f>IF(D11="DOSEN",VLOOKUP(B11,Dosen!B:Z,7,FALSE),VLOOKUP(B11,TPA!B:Z,5,FALSE))</f>
        <v>PROFESIONAL</v>
      </c>
      <c r="K11" s="156" t="s">
        <v>30</v>
      </c>
      <c r="L11" s="132" t="s">
        <v>73</v>
      </c>
      <c r="M11" s="132" t="str">
        <f>IF(D11="DOSEN",VLOOKUP(B11,Dosen!B:ZZ,33,FALSE),VLOOKUP(B11,TPA!B:ZZ,44,FALSE))</f>
        <v>S2</v>
      </c>
      <c r="N11" s="146">
        <v>45170</v>
      </c>
      <c r="O11" s="146"/>
      <c r="P11" s="151" t="str">
        <f t="shared" ca="1" si="0"/>
        <v xml:space="preserve">2 tahun 4 bulan </v>
      </c>
      <c r="Q11" s="132" t="s">
        <v>74</v>
      </c>
      <c r="R11" s="132">
        <v>81529137179</v>
      </c>
      <c r="S11" s="132" t="s">
        <v>75</v>
      </c>
    </row>
    <row r="12" spans="1:20" ht="18.95">
      <c r="A12" s="132">
        <v>11</v>
      </c>
      <c r="B12" s="132" t="s">
        <v>76</v>
      </c>
      <c r="C12" s="132" t="s">
        <v>20</v>
      </c>
      <c r="D12" s="132" t="s">
        <v>21</v>
      </c>
      <c r="E12" s="132" t="str">
        <f>IF(D12="DOSEN",VLOOKUP(B12,Dosen!B:Z,11,FALSE),VLOOKUP(B12,TPA!B:Z,7,FALSE))</f>
        <v>AA</v>
      </c>
      <c r="F12" s="132" t="s">
        <v>22</v>
      </c>
      <c r="G12" s="132">
        <v>23990019</v>
      </c>
      <c r="H12" s="149">
        <v>704069901</v>
      </c>
      <c r="I12" s="169" t="s">
        <v>77</v>
      </c>
      <c r="J12" s="149" t="str">
        <f>IF(D12="DOSEN",VLOOKUP(B12,Dosen!B:Z,7,FALSE),VLOOKUP(B12,TPA!B:Z,5,FALSE))</f>
        <v>PROFESIONAL</v>
      </c>
      <c r="K12" s="156" t="s">
        <v>30</v>
      </c>
      <c r="L12" s="132" t="s">
        <v>78</v>
      </c>
      <c r="M12" s="132" t="str">
        <f>IF(D12="DOSEN",VLOOKUP(B12,Dosen!B:ZZ,33,FALSE),VLOOKUP(B12,TPA!B:ZZ,44,FALSE))</f>
        <v>S2</v>
      </c>
      <c r="N12" s="146">
        <v>45170</v>
      </c>
      <c r="O12" s="146"/>
      <c r="P12" s="151" t="str">
        <f t="shared" ca="1" si="0"/>
        <v xml:space="preserve">2 tahun 4 bulan </v>
      </c>
      <c r="Q12" s="132" t="s">
        <v>79</v>
      </c>
      <c r="R12" s="132">
        <v>81223566959</v>
      </c>
      <c r="S12" s="132" t="s">
        <v>80</v>
      </c>
    </row>
    <row r="13" spans="1:20" ht="18.95">
      <c r="A13" s="132">
        <v>12</v>
      </c>
      <c r="B13" s="132" t="s">
        <v>81</v>
      </c>
      <c r="C13" s="132" t="s">
        <v>46</v>
      </c>
      <c r="D13" s="132" t="s">
        <v>21</v>
      </c>
      <c r="E13" s="132" t="str">
        <f>IF(D13="DOSEN",VLOOKUP(B13,Dosen!B:Z,11,FALSE),VLOOKUP(B13,TPA!B:Z,7,FALSE))</f>
        <v>AA</v>
      </c>
      <c r="F13" s="132" t="s">
        <v>22</v>
      </c>
      <c r="G13" s="132">
        <v>24870001</v>
      </c>
      <c r="H13" s="149">
        <v>701108702</v>
      </c>
      <c r="I13" s="149"/>
      <c r="J13" s="149" t="str">
        <f>IF(D13="DOSEN",VLOOKUP(B13,Dosen!B:Z,7,FALSE),VLOOKUP(B13,TPA!B:Z,5,FALSE))</f>
        <v>PROFESIONAL</v>
      </c>
      <c r="K13" s="156" t="s">
        <v>30</v>
      </c>
      <c r="L13" s="132" t="s">
        <v>82</v>
      </c>
      <c r="M13" s="132" t="str">
        <f>IF(D13="DOSEN",VLOOKUP(B13,Dosen!B:ZZ,33,FALSE),VLOOKUP(B13,TPA!B:ZZ,44,FALSE))</f>
        <v>S2</v>
      </c>
      <c r="N13" s="146">
        <v>45505</v>
      </c>
      <c r="O13" s="146">
        <v>45688</v>
      </c>
      <c r="P13" s="151" t="str">
        <f t="shared" ca="1" si="0"/>
        <v xml:space="preserve">0 tahun 5 bulan </v>
      </c>
      <c r="Q13" s="132" t="s">
        <v>30</v>
      </c>
      <c r="R13" s="132">
        <v>82123556785</v>
      </c>
      <c r="S13" s="132" t="s">
        <v>83</v>
      </c>
    </row>
    <row r="14" spans="1:20" ht="18.95">
      <c r="A14" s="132">
        <v>13</v>
      </c>
      <c r="B14" s="132" t="s">
        <v>84</v>
      </c>
      <c r="C14" s="132" t="s">
        <v>20</v>
      </c>
      <c r="D14" s="132" t="s">
        <v>21</v>
      </c>
      <c r="E14" s="132" t="str">
        <f>IF(D14="DOSEN",VLOOKUP(B14,Dosen!B:Z,11,FALSE),VLOOKUP(B14,TPA!B:Z,7,FALSE))</f>
        <v>NJAD</v>
      </c>
      <c r="F14" s="132" t="s">
        <v>22</v>
      </c>
      <c r="G14" s="132">
        <v>24970010</v>
      </c>
      <c r="H14" s="149" t="s">
        <v>85</v>
      </c>
      <c r="I14" s="149" t="s">
        <v>85</v>
      </c>
      <c r="J14" s="149" t="str">
        <f>IF(D14="DOSEN",VLOOKUP(B14,Dosen!B:Z,7,FALSE),VLOOKUP(B14,TPA!B:Z,5,FALSE))</f>
        <v>PROFESIONAL</v>
      </c>
      <c r="K14" s="156" t="s">
        <v>30</v>
      </c>
      <c r="L14" s="132" t="s">
        <v>86</v>
      </c>
      <c r="M14" s="132" t="str">
        <f>IF(D14="DOSEN",VLOOKUP(B14,Dosen!B:ZZ,33,FALSE),VLOOKUP(B14,TPA!B:ZZ,44,FALSE))</f>
        <v>S3</v>
      </c>
      <c r="N14" s="146">
        <v>45536</v>
      </c>
      <c r="O14" s="146"/>
      <c r="P14" s="151" t="str">
        <f t="shared" ca="1" si="0"/>
        <v xml:space="preserve">1 tahun 4 bulan </v>
      </c>
      <c r="Q14" s="132" t="s">
        <v>87</v>
      </c>
      <c r="R14" s="132">
        <v>82134623762</v>
      </c>
      <c r="S14" s="132" t="s">
        <v>88</v>
      </c>
    </row>
    <row r="15" spans="1:20" ht="18.95">
      <c r="A15" s="132">
        <v>14</v>
      </c>
      <c r="B15" s="132" t="s">
        <v>89</v>
      </c>
      <c r="C15" s="132" t="s">
        <v>20</v>
      </c>
      <c r="D15" s="132" t="s">
        <v>21</v>
      </c>
      <c r="E15" s="132" t="str">
        <f>IF(D15="DOSEN",VLOOKUP(B15,Dosen!B:Z,11,FALSE),VLOOKUP(B15,TPA!B:Z,7,FALSE))</f>
        <v>NJAD</v>
      </c>
      <c r="F15" s="132" t="s">
        <v>22</v>
      </c>
      <c r="G15" s="132">
        <v>25950003</v>
      </c>
      <c r="H15" s="149"/>
      <c r="I15" s="149" t="s">
        <v>90</v>
      </c>
      <c r="J15" s="149" t="str">
        <f>IF(D15="DOSEN",VLOOKUP(B15,Dosen!B:Z,7,FALSE),VLOOKUP(B15,TPA!B:Z,5,FALSE))</f>
        <v>PROFESIONAL</v>
      </c>
      <c r="K15" s="132"/>
      <c r="L15" s="132" t="s">
        <v>91</v>
      </c>
      <c r="M15" s="132" t="str">
        <f>IF(D15="DOSEN",VLOOKUP(B15,Dosen!B:ZZ,33,FALSE),VLOOKUP(B15,TPA!B:ZZ,44,FALSE))</f>
        <v>S2</v>
      </c>
      <c r="N15" s="146">
        <v>45689</v>
      </c>
      <c r="O15" s="146"/>
      <c r="P15" s="151" t="str">
        <f t="shared" ca="1" si="0"/>
        <v xml:space="preserve">0 tahun 11 bulan </v>
      </c>
      <c r="Q15" s="132" t="s">
        <v>92</v>
      </c>
      <c r="R15" s="132">
        <v>81233838309</v>
      </c>
      <c r="S15" s="132" t="s">
        <v>93</v>
      </c>
    </row>
    <row r="16" spans="1:20" ht="18.95">
      <c r="A16" s="132">
        <v>15</v>
      </c>
      <c r="B16" s="132" t="s">
        <v>94</v>
      </c>
      <c r="C16" s="132" t="s">
        <v>46</v>
      </c>
      <c r="D16" s="132" t="s">
        <v>21</v>
      </c>
      <c r="E16" s="132" t="str">
        <f>IF(D16="DOSEN",VLOOKUP(B16,Dosen!B:Z,11,FALSE),VLOOKUP(B16,TPA!B:Z,7,FALSE))</f>
        <v>NJAD</v>
      </c>
      <c r="F16" s="132" t="s">
        <v>22</v>
      </c>
      <c r="G16" s="132">
        <v>25980005</v>
      </c>
      <c r="H16" s="158"/>
      <c r="I16" s="158"/>
      <c r="J16" s="149" t="str">
        <f>IF(D16="DOSEN",VLOOKUP(B16,Dosen!B:Z,7,FALSE),VLOOKUP(B16,TPA!B:Z,5,FALSE))</f>
        <v>PROFESIONAL</v>
      </c>
      <c r="K16" s="132"/>
      <c r="L16" s="132" t="s">
        <v>95</v>
      </c>
      <c r="M16" s="132" t="str">
        <f>IF(D16="DOSEN",VLOOKUP(B16,Dosen!B:ZZ,33,FALSE),VLOOKUP(B16,TPA!B:ZZ,44,FALSE))</f>
        <v>S2</v>
      </c>
      <c r="N16" s="146">
        <v>45689</v>
      </c>
      <c r="O16" s="146">
        <v>45869</v>
      </c>
      <c r="P16" s="151" t="str">
        <f t="shared" ca="1" si="0"/>
        <v xml:space="preserve">0 tahun 5 bulan </v>
      </c>
      <c r="Q16" s="154" t="s">
        <v>96</v>
      </c>
      <c r="R16" s="132">
        <v>82123510747</v>
      </c>
      <c r="S16" s="132" t="s">
        <v>97</v>
      </c>
    </row>
    <row r="17" spans="1:19" ht="18.95">
      <c r="A17" s="132">
        <v>16</v>
      </c>
      <c r="B17" s="132" t="s">
        <v>98</v>
      </c>
      <c r="C17" s="132" t="s">
        <v>20</v>
      </c>
      <c r="D17" s="132" t="s">
        <v>21</v>
      </c>
      <c r="E17" s="132" t="str">
        <f>IF(D17="DOSEN",VLOOKUP(B17,Dosen!B:Z,11,FALSE),VLOOKUP(B17,TPA!B:Z,7,FALSE))</f>
        <v>NJAD</v>
      </c>
      <c r="F17" s="132" t="s">
        <v>22</v>
      </c>
      <c r="G17" s="132">
        <v>25010008</v>
      </c>
      <c r="H17" s="149" t="s">
        <v>99</v>
      </c>
      <c r="I17" s="149" t="s">
        <v>99</v>
      </c>
      <c r="J17" s="149" t="str">
        <f>IF(D17="DOSEN",VLOOKUP(B17,Dosen!B:Z,7,FALSE),VLOOKUP(B17,TPA!B:Z,5,FALSE))</f>
        <v>PROFESIONAL</v>
      </c>
      <c r="K17" s="132"/>
      <c r="L17" s="132" t="s">
        <v>68</v>
      </c>
      <c r="M17" s="132" t="str">
        <f>IF(D17="DOSEN",VLOOKUP(B17,Dosen!B:ZZ,33,FALSE),VLOOKUP(B17,TPA!B:ZZ,44,FALSE))</f>
        <v>S2</v>
      </c>
      <c r="N17" s="146">
        <v>45689</v>
      </c>
      <c r="O17" s="146"/>
      <c r="P17" s="151" t="str">
        <f t="shared" ca="1" si="0"/>
        <v xml:space="preserve">0 tahun 11 bulan </v>
      </c>
      <c r="Q17" s="132" t="s">
        <v>100</v>
      </c>
      <c r="R17" s="132">
        <v>81222871863</v>
      </c>
      <c r="S17" s="132" t="s">
        <v>101</v>
      </c>
    </row>
    <row r="18" spans="1:19" ht="18.95">
      <c r="A18" s="132">
        <v>17</v>
      </c>
      <c r="B18" s="132" t="s">
        <v>102</v>
      </c>
      <c r="C18" s="132" t="s">
        <v>20</v>
      </c>
      <c r="D18" s="132" t="s">
        <v>21</v>
      </c>
      <c r="E18" s="132" t="str">
        <f>IF(D18="DOSEN",VLOOKUP(B18,Dosen!B:Z,11,FALSE),VLOOKUP(B18,TPA!B:Z,7,FALSE))</f>
        <v>NJAD</v>
      </c>
      <c r="F18" s="132" t="s">
        <v>22</v>
      </c>
      <c r="G18" s="132">
        <v>25900003</v>
      </c>
      <c r="H18" s="158"/>
      <c r="I18" s="158"/>
      <c r="J18" s="149" t="str">
        <f>IF(D18="DOSEN",VLOOKUP(B18,Dosen!B:Z,7,FALSE),VLOOKUP(B18,TPA!B:Z,5,FALSE))</f>
        <v>PROFESIONAL</v>
      </c>
      <c r="K18" s="132"/>
      <c r="L18" s="132" t="s">
        <v>103</v>
      </c>
      <c r="M18" s="132" t="str">
        <f>IF(D18="DOSEN",VLOOKUP(B18,Dosen!B:ZZ,33,FALSE),VLOOKUP(B18,TPA!B:ZZ,44,FALSE))</f>
        <v>S3</v>
      </c>
      <c r="N18" s="146">
        <v>45658</v>
      </c>
      <c r="O18" s="146"/>
      <c r="P18" s="151" t="str">
        <f t="shared" ca="1" si="0"/>
        <v xml:space="preserve">1 tahun 0 bulan </v>
      </c>
      <c r="Q18" s="132" t="s">
        <v>104</v>
      </c>
      <c r="R18" s="132"/>
      <c r="S18" s="132" t="s">
        <v>105</v>
      </c>
    </row>
    <row r="19" spans="1:19" ht="18.95">
      <c r="A19" s="132">
        <v>18</v>
      </c>
      <c r="B19" s="132" t="s">
        <v>106</v>
      </c>
      <c r="C19" s="132" t="s">
        <v>20</v>
      </c>
      <c r="D19" s="132" t="s">
        <v>21</v>
      </c>
      <c r="E19" s="132" t="str">
        <f>IF(D19="DOSEN",VLOOKUP(B19,Dosen!B:Z,11,FALSE),VLOOKUP(B19,TPA!B:Z,7,FALSE))</f>
        <v>AA</v>
      </c>
      <c r="F19" s="132" t="s">
        <v>107</v>
      </c>
      <c r="G19" s="132">
        <v>18920109</v>
      </c>
      <c r="H19" s="132">
        <v>727099201</v>
      </c>
      <c r="I19" s="150" t="s">
        <v>108</v>
      </c>
      <c r="J19" s="149" t="str">
        <f>IF(D19="DOSEN",VLOOKUP(B19,Dosen!B:Z,7,FALSE),VLOOKUP(B19,TPA!B:Z,5,FALSE))</f>
        <v>TETAP</v>
      </c>
      <c r="K19" s="132" t="s">
        <v>30</v>
      </c>
      <c r="L19" s="132" t="s">
        <v>57</v>
      </c>
      <c r="M19" s="132" t="str">
        <f>IF(D19="DOSEN",VLOOKUP(B19,Dosen!B:ZZ,33,FALSE),VLOOKUP(B19,TPA!B:ZZ,44,FALSE))</f>
        <v>S2</v>
      </c>
      <c r="N19" s="146">
        <v>43282</v>
      </c>
      <c r="O19" s="146"/>
      <c r="P19" s="151" t="str">
        <f t="shared" ca="1" si="0"/>
        <v xml:space="preserve">7 tahun 6 bulan </v>
      </c>
      <c r="Q19" s="132" t="s">
        <v>109</v>
      </c>
      <c r="R19" s="132">
        <v>82245510526</v>
      </c>
      <c r="S19" s="132" t="s">
        <v>110</v>
      </c>
    </row>
    <row r="20" spans="1:19" ht="18.95">
      <c r="A20" s="132">
        <v>19</v>
      </c>
      <c r="B20" s="132" t="s">
        <v>111</v>
      </c>
      <c r="C20" s="132" t="s">
        <v>20</v>
      </c>
      <c r="D20" s="132" t="s">
        <v>21</v>
      </c>
      <c r="E20" s="132" t="str">
        <f>IF(D20="DOSEN",VLOOKUP(B20,Dosen!B:Z,11,FALSE),VLOOKUP(B20,TPA!B:Z,7,FALSE))</f>
        <v>L</v>
      </c>
      <c r="F20" s="132" t="s">
        <v>107</v>
      </c>
      <c r="G20" s="132">
        <v>20950043</v>
      </c>
      <c r="H20" s="132">
        <v>713059501</v>
      </c>
      <c r="I20" s="150" t="s">
        <v>112</v>
      </c>
      <c r="J20" s="149" t="str">
        <f>IF(D20="DOSEN",VLOOKUP(B20,Dosen!B:Z,7,FALSE),VLOOKUP(B20,TPA!B:Z,5,FALSE))</f>
        <v>TETAP</v>
      </c>
      <c r="K20" s="132" t="s">
        <v>30</v>
      </c>
      <c r="L20" s="132" t="s">
        <v>113</v>
      </c>
      <c r="M20" s="132" t="str">
        <f>IF(D20="DOSEN",VLOOKUP(B20,Dosen!B:ZZ,33,FALSE),VLOOKUP(B20,TPA!B:ZZ,44,FALSE))</f>
        <v>S2</v>
      </c>
      <c r="N20" s="146">
        <v>44166</v>
      </c>
      <c r="O20" s="146"/>
      <c r="P20" s="151" t="str">
        <f t="shared" ca="1" si="0"/>
        <v xml:space="preserve">5 tahun 1 bulan </v>
      </c>
      <c r="Q20" s="132" t="s">
        <v>114</v>
      </c>
      <c r="R20" s="132">
        <v>82132194465</v>
      </c>
      <c r="S20" s="132" t="s">
        <v>115</v>
      </c>
    </row>
    <row r="21" spans="1:19" ht="18.95">
      <c r="A21" s="132">
        <v>20</v>
      </c>
      <c r="B21" s="132" t="s">
        <v>116</v>
      </c>
      <c r="C21" s="132" t="s">
        <v>20</v>
      </c>
      <c r="D21" s="132" t="s">
        <v>21</v>
      </c>
      <c r="E21" s="132" t="str">
        <f>IF(D21="DOSEN",VLOOKUP(B21,Dosen!B:Z,11,FALSE),VLOOKUP(B21,TPA!B:Z,7,FALSE))</f>
        <v>L</v>
      </c>
      <c r="F21" s="132" t="s">
        <v>107</v>
      </c>
      <c r="G21" s="132">
        <v>20940043</v>
      </c>
      <c r="H21" s="132">
        <v>711039403</v>
      </c>
      <c r="I21" s="150" t="s">
        <v>117</v>
      </c>
      <c r="J21" s="149" t="str">
        <f>IF(D21="DOSEN",VLOOKUP(B21,Dosen!B:Z,7,FALSE),VLOOKUP(B21,TPA!B:Z,5,FALSE))</f>
        <v>TETAP</v>
      </c>
      <c r="K21" s="132" t="s">
        <v>30</v>
      </c>
      <c r="L21" s="132" t="s">
        <v>118</v>
      </c>
      <c r="M21" s="132" t="str">
        <f>IF(D21="DOSEN",VLOOKUP(B21,Dosen!B:ZZ,33,FALSE),VLOOKUP(B21,TPA!B:ZZ,44,FALSE))</f>
        <v>S2</v>
      </c>
      <c r="N21" s="146">
        <v>44166</v>
      </c>
      <c r="O21" s="146"/>
      <c r="P21" s="151" t="str">
        <f t="shared" ca="1" si="0"/>
        <v xml:space="preserve">5 tahun 1 bulan </v>
      </c>
      <c r="Q21" s="132" t="s">
        <v>119</v>
      </c>
      <c r="R21" s="132">
        <v>85323076783</v>
      </c>
      <c r="S21" s="132" t="s">
        <v>120</v>
      </c>
    </row>
    <row r="22" spans="1:19" ht="18.95">
      <c r="A22" s="132">
        <v>21</v>
      </c>
      <c r="B22" s="132" t="s">
        <v>121</v>
      </c>
      <c r="C22" s="132" t="s">
        <v>20</v>
      </c>
      <c r="D22" s="132" t="s">
        <v>21</v>
      </c>
      <c r="E22" s="132" t="str">
        <f>IF(D22="DOSEN",VLOOKUP(B22,Dosen!B:Z,11,FALSE),VLOOKUP(B22,TPA!B:Z,7,FALSE))</f>
        <v>AA</v>
      </c>
      <c r="F22" s="132" t="s">
        <v>107</v>
      </c>
      <c r="G22" s="132">
        <v>23950024</v>
      </c>
      <c r="H22" s="132">
        <v>706089501</v>
      </c>
      <c r="I22" s="150" t="s">
        <v>122</v>
      </c>
      <c r="J22" s="149" t="str">
        <f>IF(D22="DOSEN",VLOOKUP(B22,Dosen!B:Z,7,FALSE),VLOOKUP(B22,TPA!B:Z,5,FALSE))</f>
        <v>TETAP</v>
      </c>
      <c r="K22" s="132" t="s">
        <v>30</v>
      </c>
      <c r="L22" s="132" t="s">
        <v>57</v>
      </c>
      <c r="M22" s="132" t="str">
        <f>IF(D22="DOSEN",VLOOKUP(B22,Dosen!B:ZZ,33,FALSE),VLOOKUP(B22,TPA!B:ZZ,44,FALSE))</f>
        <v>S2</v>
      </c>
      <c r="N22" s="146">
        <v>44166</v>
      </c>
      <c r="O22" s="146"/>
      <c r="P22" s="151" t="str">
        <f t="shared" ca="1" si="0"/>
        <v xml:space="preserve">5 tahun 1 bulan </v>
      </c>
      <c r="Q22" s="132" t="s">
        <v>123</v>
      </c>
      <c r="R22" s="132">
        <v>81233777404</v>
      </c>
      <c r="S22" s="132" t="s">
        <v>124</v>
      </c>
    </row>
    <row r="23" spans="1:19" ht="18.95">
      <c r="A23" s="132">
        <v>22</v>
      </c>
      <c r="B23" s="132" t="s">
        <v>125</v>
      </c>
      <c r="C23" s="132" t="s">
        <v>20</v>
      </c>
      <c r="D23" s="132" t="s">
        <v>21</v>
      </c>
      <c r="E23" s="132" t="str">
        <f>IF(D23="DOSEN",VLOOKUP(B23,Dosen!B:Z,11,FALSE),VLOOKUP(B23,TPA!B:Z,7,FALSE))</f>
        <v>AA</v>
      </c>
      <c r="F23" s="132" t="s">
        <v>107</v>
      </c>
      <c r="G23" s="132">
        <v>20970031</v>
      </c>
      <c r="H23" s="132">
        <v>714079701</v>
      </c>
      <c r="I23" s="150" t="s">
        <v>126</v>
      </c>
      <c r="J23" s="149" t="str">
        <f>IF(D23="DOSEN",VLOOKUP(B23,Dosen!B:Z,7,FALSE),VLOOKUP(B23,TPA!B:Z,5,FALSE))</f>
        <v>TETAP</v>
      </c>
      <c r="K23" s="132" t="s">
        <v>30</v>
      </c>
      <c r="L23" s="132" t="s">
        <v>57</v>
      </c>
      <c r="M23" s="132" t="str">
        <f>IF(D23="DOSEN",VLOOKUP(B23,Dosen!B:ZZ,33,FALSE),VLOOKUP(B23,TPA!B:ZZ,44,FALSE))</f>
        <v>S2</v>
      </c>
      <c r="N23" s="146">
        <v>44166</v>
      </c>
      <c r="O23" s="146"/>
      <c r="P23" s="151" t="str">
        <f t="shared" ca="1" si="0"/>
        <v xml:space="preserve">5 tahun 1 bulan </v>
      </c>
      <c r="Q23" s="132" t="s">
        <v>127</v>
      </c>
      <c r="R23" s="132">
        <v>81230777099</v>
      </c>
      <c r="S23" s="132" t="s">
        <v>128</v>
      </c>
    </row>
    <row r="24" spans="1:19" ht="18.95">
      <c r="A24" s="132">
        <v>23</v>
      </c>
      <c r="B24" s="132" t="s">
        <v>129</v>
      </c>
      <c r="C24" s="132" t="s">
        <v>20</v>
      </c>
      <c r="D24" s="132" t="s">
        <v>21</v>
      </c>
      <c r="E24" s="132" t="str">
        <f>IF(D24="DOSEN",VLOOKUP(B24,Dosen!B:Z,11,FALSE),VLOOKUP(B24,TPA!B:Z,7,FALSE))</f>
        <v>AA</v>
      </c>
      <c r="F24" s="132" t="s">
        <v>107</v>
      </c>
      <c r="G24" s="132">
        <v>22950051</v>
      </c>
      <c r="H24" s="132">
        <v>705109501</v>
      </c>
      <c r="I24" s="150" t="s">
        <v>130</v>
      </c>
      <c r="J24" s="149" t="str">
        <f>IF(D24="DOSEN",VLOOKUP(B24,Dosen!B:Z,7,FALSE),VLOOKUP(B24,TPA!B:Z,5,FALSE))</f>
        <v>PROFESIONAL</v>
      </c>
      <c r="K24" s="132" t="s">
        <v>30</v>
      </c>
      <c r="L24" s="132" t="s">
        <v>57</v>
      </c>
      <c r="M24" s="132" t="str">
        <f>IF(D24="DOSEN",VLOOKUP(B24,Dosen!B:ZZ,33,FALSE),VLOOKUP(B24,TPA!B:ZZ,44,FALSE))</f>
        <v>S2</v>
      </c>
      <c r="N24" s="146">
        <v>44832</v>
      </c>
      <c r="O24" s="146"/>
      <c r="P24" s="151" t="str">
        <f t="shared" ca="1" si="0"/>
        <v xml:space="preserve">3 tahun 3 bulan </v>
      </c>
      <c r="Q24" s="132" t="s">
        <v>131</v>
      </c>
      <c r="R24" s="132">
        <v>82139322002</v>
      </c>
      <c r="S24" s="132" t="s">
        <v>132</v>
      </c>
    </row>
    <row r="25" spans="1:19" ht="18.95">
      <c r="A25" s="132">
        <v>24</v>
      </c>
      <c r="B25" s="132" t="s">
        <v>133</v>
      </c>
      <c r="C25" s="132" t="s">
        <v>20</v>
      </c>
      <c r="D25" s="132" t="s">
        <v>21</v>
      </c>
      <c r="E25" s="132" t="str">
        <f>IF(D25="DOSEN",VLOOKUP(B25,Dosen!B:Z,11,FALSE),VLOOKUP(B25,TPA!B:Z,7,FALSE))</f>
        <v>AA</v>
      </c>
      <c r="F25" s="132" t="s">
        <v>107</v>
      </c>
      <c r="G25" s="132">
        <v>22960060</v>
      </c>
      <c r="H25" s="132">
        <v>710029601</v>
      </c>
      <c r="I25" s="150" t="s">
        <v>134</v>
      </c>
      <c r="J25" s="149" t="str">
        <f>IF(D25="DOSEN",VLOOKUP(B25,Dosen!B:Z,7,FALSE),VLOOKUP(B25,TPA!B:Z,5,FALSE))</f>
        <v>PROFESIONAL</v>
      </c>
      <c r="K25" s="132" t="s">
        <v>30</v>
      </c>
      <c r="L25" s="132" t="s">
        <v>57</v>
      </c>
      <c r="M25" s="132" t="str">
        <f>IF(D25="DOSEN",VLOOKUP(B25,Dosen!B:ZZ,33,FALSE),VLOOKUP(B25,TPA!B:ZZ,44,FALSE))</f>
        <v>S2</v>
      </c>
      <c r="N25" s="146">
        <v>44832</v>
      </c>
      <c r="O25" s="146"/>
      <c r="P25" s="151" t="str">
        <f t="shared" ca="1" si="0"/>
        <v xml:space="preserve">3 tahun 3 bulan </v>
      </c>
      <c r="Q25" s="132" t="s">
        <v>135</v>
      </c>
      <c r="R25" s="132">
        <v>82143463645</v>
      </c>
      <c r="S25" s="132" t="s">
        <v>136</v>
      </c>
    </row>
    <row r="26" spans="1:19" ht="18.95">
      <c r="A26" s="132">
        <v>25</v>
      </c>
      <c r="B26" s="132" t="s">
        <v>137</v>
      </c>
      <c r="C26" s="132" t="s">
        <v>20</v>
      </c>
      <c r="D26" s="132" t="s">
        <v>21</v>
      </c>
      <c r="E26" s="132" t="str">
        <f>IF(D26="DOSEN",VLOOKUP(B26,Dosen!B:Z,11,FALSE),VLOOKUP(B26,TPA!B:Z,7,FALSE))</f>
        <v>AA</v>
      </c>
      <c r="F26" s="132" t="s">
        <v>107</v>
      </c>
      <c r="G26" s="132">
        <v>23970024</v>
      </c>
      <c r="H26" s="149">
        <v>711079701</v>
      </c>
      <c r="I26" s="169" t="s">
        <v>138</v>
      </c>
      <c r="J26" s="149" t="str">
        <f>IF(D26="DOSEN",VLOOKUP(B26,Dosen!B:Z,7,FALSE),VLOOKUP(B26,TPA!B:Z,5,FALSE))</f>
        <v>PROFESIONAL</v>
      </c>
      <c r="K26" s="156" t="s">
        <v>30</v>
      </c>
      <c r="L26" s="132" t="s">
        <v>57</v>
      </c>
      <c r="M26" s="132" t="str">
        <f>IF(D26="DOSEN",VLOOKUP(B26,Dosen!B:ZZ,33,FALSE),VLOOKUP(B26,TPA!B:ZZ,44,FALSE))</f>
        <v>S2</v>
      </c>
      <c r="N26" s="146">
        <v>45170</v>
      </c>
      <c r="O26" s="146"/>
      <c r="P26" s="151" t="str">
        <f t="shared" ca="1" si="0"/>
        <v xml:space="preserve">2 tahun 4 bulan </v>
      </c>
      <c r="Q26" s="132" t="s">
        <v>139</v>
      </c>
      <c r="R26" s="132">
        <v>81227926332</v>
      </c>
      <c r="S26" s="132" t="s">
        <v>140</v>
      </c>
    </row>
    <row r="27" spans="1:19" ht="18.95">
      <c r="A27" s="132">
        <v>26</v>
      </c>
      <c r="B27" s="132" t="s">
        <v>141</v>
      </c>
      <c r="C27" s="132" t="s">
        <v>20</v>
      </c>
      <c r="D27" s="132" t="s">
        <v>21</v>
      </c>
      <c r="E27" s="132" t="str">
        <f>IF(D27="DOSEN",VLOOKUP(B27,Dosen!B:Z,11,FALSE),VLOOKUP(B27,TPA!B:Z,7,FALSE))</f>
        <v>L</v>
      </c>
      <c r="F27" s="132" t="s">
        <v>107</v>
      </c>
      <c r="G27" s="132">
        <v>23960023</v>
      </c>
      <c r="H27" s="149">
        <v>719039601</v>
      </c>
      <c r="I27" s="169" t="s">
        <v>142</v>
      </c>
      <c r="J27" s="149" t="str">
        <f>IF(D27="DOSEN",VLOOKUP(B27,Dosen!B:Z,7,FALSE),VLOOKUP(B27,TPA!B:Z,5,FALSE))</f>
        <v>PROFESIONAL</v>
      </c>
      <c r="K27" s="132" t="s">
        <v>143</v>
      </c>
      <c r="L27" s="132" t="s">
        <v>144</v>
      </c>
      <c r="M27" s="132" t="str">
        <f>IF(D27="DOSEN",VLOOKUP(B27,Dosen!B:ZZ,33,FALSE),VLOOKUP(B27,TPA!B:ZZ,44,FALSE))</f>
        <v>S3</v>
      </c>
      <c r="N27" s="146">
        <v>45170</v>
      </c>
      <c r="O27" s="146"/>
      <c r="P27" s="151" t="str">
        <f t="shared" ca="1" si="0"/>
        <v xml:space="preserve">2 tahun 4 bulan </v>
      </c>
      <c r="Q27" s="132" t="s">
        <v>145</v>
      </c>
      <c r="R27" s="132">
        <v>82131803152</v>
      </c>
      <c r="S27" s="132" t="s">
        <v>146</v>
      </c>
    </row>
    <row r="28" spans="1:19" ht="18.95">
      <c r="A28" s="132">
        <v>27</v>
      </c>
      <c r="B28" s="132" t="s">
        <v>147</v>
      </c>
      <c r="C28" s="132" t="s">
        <v>20</v>
      </c>
      <c r="D28" s="132" t="s">
        <v>21</v>
      </c>
      <c r="E28" s="132" t="str">
        <f>IF(D28="DOSEN",VLOOKUP(B28,Dosen!B:Z,11,FALSE),VLOOKUP(B28,TPA!B:Z,7,FALSE))</f>
        <v>NJAD</v>
      </c>
      <c r="F28" s="132" t="s">
        <v>107</v>
      </c>
      <c r="G28" s="132">
        <v>23950016</v>
      </c>
      <c r="H28" s="149">
        <v>703039502</v>
      </c>
      <c r="I28" s="169" t="s">
        <v>148</v>
      </c>
      <c r="J28" s="149" t="str">
        <f>IF(D28="DOSEN",VLOOKUP(B28,Dosen!B:Z,7,FALSE),VLOOKUP(B28,TPA!B:Z,5,FALSE))</f>
        <v>PROFESIONAL</v>
      </c>
      <c r="K28" s="156" t="s">
        <v>30</v>
      </c>
      <c r="L28" s="132" t="s">
        <v>57</v>
      </c>
      <c r="M28" s="132" t="str">
        <f>IF(D28="DOSEN",VLOOKUP(B28,Dosen!B:ZZ,33,FALSE),VLOOKUP(B28,TPA!B:ZZ,44,FALSE))</f>
        <v>S2</v>
      </c>
      <c r="N28" s="146">
        <v>45170</v>
      </c>
      <c r="O28" s="146"/>
      <c r="P28" s="151" t="str">
        <f t="shared" ca="1" si="0"/>
        <v xml:space="preserve">2 tahun 4 bulan </v>
      </c>
      <c r="Q28" s="132" t="s">
        <v>149</v>
      </c>
      <c r="R28" s="132">
        <v>85236699663</v>
      </c>
      <c r="S28" s="132" t="s">
        <v>150</v>
      </c>
    </row>
    <row r="29" spans="1:19" ht="18.95">
      <c r="A29" s="132">
        <v>28</v>
      </c>
      <c r="B29" s="132" t="s">
        <v>151</v>
      </c>
      <c r="C29" s="132" t="s">
        <v>20</v>
      </c>
      <c r="D29" s="132" t="s">
        <v>21</v>
      </c>
      <c r="E29" s="132" t="str">
        <f>IF(D29="DOSEN",VLOOKUP(B29,Dosen!B:Z,11,FALSE),VLOOKUP(B29,TPA!B:Z,7,FALSE))</f>
        <v>NJAD</v>
      </c>
      <c r="F29" s="132" t="s">
        <v>107</v>
      </c>
      <c r="G29" s="132">
        <v>23980024</v>
      </c>
      <c r="H29" s="149">
        <v>714089801</v>
      </c>
      <c r="I29" s="169" t="s">
        <v>152</v>
      </c>
      <c r="J29" s="149" t="str">
        <f>IF(D29="DOSEN",VLOOKUP(B29,Dosen!B:Z,7,FALSE),VLOOKUP(B29,TPA!B:Z,5,FALSE))</f>
        <v>PROFESIONAL</v>
      </c>
      <c r="K29" s="156" t="s">
        <v>30</v>
      </c>
      <c r="L29" s="132" t="s">
        <v>57</v>
      </c>
      <c r="M29" s="132" t="str">
        <f>IF(D29="DOSEN",VLOOKUP(B29,Dosen!B:ZZ,33,FALSE),VLOOKUP(B29,TPA!B:ZZ,44,FALSE))</f>
        <v>S3</v>
      </c>
      <c r="N29" s="146">
        <v>45170</v>
      </c>
      <c r="O29" s="146"/>
      <c r="P29" s="151" t="str">
        <f t="shared" ca="1" si="0"/>
        <v xml:space="preserve">2 tahun 4 bulan </v>
      </c>
      <c r="Q29" s="132" t="s">
        <v>153</v>
      </c>
      <c r="R29" s="132">
        <v>85171711408</v>
      </c>
      <c r="S29" s="132" t="s">
        <v>154</v>
      </c>
    </row>
    <row r="30" spans="1:19" ht="18.95">
      <c r="A30" s="132">
        <v>29</v>
      </c>
      <c r="B30" s="132" t="s">
        <v>155</v>
      </c>
      <c r="C30" s="132" t="s">
        <v>20</v>
      </c>
      <c r="D30" s="132" t="s">
        <v>21</v>
      </c>
      <c r="E30" s="132" t="str">
        <f>IF(D30="DOSEN",VLOOKUP(B30,Dosen!B:Z,11,FALSE),VLOOKUP(B30,TPA!B:Z,7,FALSE))</f>
        <v>NJAD</v>
      </c>
      <c r="F30" s="132" t="s">
        <v>107</v>
      </c>
      <c r="G30" s="132">
        <v>23900006</v>
      </c>
      <c r="H30" s="149" t="s">
        <v>156</v>
      </c>
      <c r="I30" s="149" t="s">
        <v>157</v>
      </c>
      <c r="J30" s="149" t="str">
        <f>IF(D30="DOSEN",VLOOKUP(B30,Dosen!B:Z,7,FALSE),VLOOKUP(B30,TPA!B:Z,5,FALSE))</f>
        <v>PROFESIONAL</v>
      </c>
      <c r="K30" s="156" t="s">
        <v>30</v>
      </c>
      <c r="L30" s="132" t="s">
        <v>57</v>
      </c>
      <c r="M30" s="132" t="str">
        <f>IF(D30="DOSEN",VLOOKUP(B30,Dosen!B:ZZ,33,FALSE),VLOOKUP(B30,TPA!B:ZZ,44,FALSE))</f>
        <v>S2</v>
      </c>
      <c r="N30" s="146">
        <v>45170</v>
      </c>
      <c r="O30" s="146"/>
      <c r="P30" s="151" t="str">
        <f t="shared" ca="1" si="0"/>
        <v xml:space="preserve">2 tahun 4 bulan </v>
      </c>
      <c r="Q30" s="132" t="s">
        <v>158</v>
      </c>
      <c r="R30" s="132">
        <v>85175442445</v>
      </c>
      <c r="S30" s="132" t="s">
        <v>159</v>
      </c>
    </row>
    <row r="31" spans="1:19" ht="18.95">
      <c r="A31" s="132">
        <v>30</v>
      </c>
      <c r="B31" s="132" t="s">
        <v>160</v>
      </c>
      <c r="C31" s="132" t="s">
        <v>20</v>
      </c>
      <c r="D31" s="132" t="s">
        <v>21</v>
      </c>
      <c r="E31" s="132" t="str">
        <f>IF(D31="DOSEN",VLOOKUP(B31,Dosen!B:Z,11,FALSE),VLOOKUP(B31,TPA!B:Z,7,FALSE))</f>
        <v>NJAD</v>
      </c>
      <c r="F31" s="132" t="s">
        <v>107</v>
      </c>
      <c r="G31" s="132">
        <v>24980018</v>
      </c>
      <c r="H31" s="149" t="s">
        <v>161</v>
      </c>
      <c r="I31" s="149" t="s">
        <v>161</v>
      </c>
      <c r="J31" s="149" t="str">
        <f>IF(D31="DOSEN",VLOOKUP(B31,Dosen!B:Z,7,FALSE),VLOOKUP(B31,TPA!B:Z,5,FALSE))</f>
        <v>PROFESIONAL</v>
      </c>
      <c r="K31" s="156" t="s">
        <v>30</v>
      </c>
      <c r="L31" s="132" t="s">
        <v>162</v>
      </c>
      <c r="M31" s="132" t="str">
        <f>IF(D31="DOSEN",VLOOKUP(B31,Dosen!B:ZZ,33,FALSE),VLOOKUP(B31,TPA!B:ZZ,44,FALSE))</f>
        <v>S3</v>
      </c>
      <c r="N31" s="146">
        <v>45536</v>
      </c>
      <c r="O31" s="146"/>
      <c r="P31" s="151" t="str">
        <f t="shared" ca="1" si="0"/>
        <v xml:space="preserve">1 tahun 4 bulan </v>
      </c>
      <c r="Q31" s="132" t="s">
        <v>163</v>
      </c>
      <c r="R31" s="132">
        <v>81225763073</v>
      </c>
      <c r="S31" s="132" t="s">
        <v>164</v>
      </c>
    </row>
    <row r="32" spans="1:19" ht="18.95">
      <c r="A32" s="132">
        <v>31</v>
      </c>
      <c r="B32" s="132" t="s">
        <v>165</v>
      </c>
      <c r="C32" s="132" t="s">
        <v>20</v>
      </c>
      <c r="D32" s="132" t="s">
        <v>21</v>
      </c>
      <c r="E32" s="132" t="str">
        <f>IF(D32="DOSEN",VLOOKUP(B32,Dosen!B:Z,11,FALSE),VLOOKUP(B32,TPA!B:Z,7,FALSE))</f>
        <v>NJAD</v>
      </c>
      <c r="F32" s="132" t="s">
        <v>107</v>
      </c>
      <c r="G32" s="132">
        <v>25989002</v>
      </c>
      <c r="H32" s="158"/>
      <c r="I32" s="149" t="s">
        <v>166</v>
      </c>
      <c r="J32" s="149" t="str">
        <f>IF(D32="DOSEN",VLOOKUP(B32,Dosen!B:Z,7,FALSE),VLOOKUP(B32,TPA!B:Z,5,FALSE))</f>
        <v>PROFESIONAL</v>
      </c>
      <c r="K32" s="143"/>
      <c r="L32" s="132" t="s">
        <v>57</v>
      </c>
      <c r="M32" s="132" t="str">
        <f>IF(D32="DOSEN",VLOOKUP(B32,Dosen!B:ZZ,33,FALSE),VLOOKUP(B32,TPA!B:ZZ,44,FALSE))</f>
        <v>S2</v>
      </c>
      <c r="N32" s="146">
        <v>45717</v>
      </c>
      <c r="O32" s="146"/>
      <c r="P32" s="151" t="str">
        <f t="shared" ca="1" si="0"/>
        <v xml:space="preserve">0 tahun 10 bulan </v>
      </c>
      <c r="Q32" s="132" t="s">
        <v>167</v>
      </c>
      <c r="R32" s="132">
        <v>82225333154</v>
      </c>
      <c r="S32" s="132" t="s">
        <v>168</v>
      </c>
    </row>
    <row r="33" spans="1:19" ht="18.95">
      <c r="A33" s="132">
        <v>32</v>
      </c>
      <c r="B33" s="132" t="s">
        <v>169</v>
      </c>
      <c r="C33" s="132" t="s">
        <v>20</v>
      </c>
      <c r="D33" s="132" t="s">
        <v>21</v>
      </c>
      <c r="E33" s="132" t="str">
        <f>IF(D33="DOSEN",VLOOKUP(B33,Dosen!B:Z,11,FALSE),VLOOKUP(B33,TPA!B:Z,7,FALSE))</f>
        <v>AA</v>
      </c>
      <c r="F33" s="132" t="s">
        <v>170</v>
      </c>
      <c r="G33" s="132">
        <v>20870004</v>
      </c>
      <c r="H33" s="132">
        <v>729088704</v>
      </c>
      <c r="I33" s="150" t="s">
        <v>171</v>
      </c>
      <c r="J33" s="149" t="str">
        <f>IF(D33="DOSEN",VLOOKUP(B33,Dosen!B:Z,7,FALSE),VLOOKUP(B33,TPA!B:Z,5,FALSE))</f>
        <v>TETAP</v>
      </c>
      <c r="K33" s="132" t="s">
        <v>30</v>
      </c>
      <c r="L33" s="132" t="s">
        <v>57</v>
      </c>
      <c r="M33" s="132" t="str">
        <f>IF(D33="DOSEN",VLOOKUP(B33,Dosen!B:ZZ,33,FALSE),VLOOKUP(B33,TPA!B:ZZ,44,FALSE))</f>
        <v>S2</v>
      </c>
      <c r="N33" s="146">
        <v>43282</v>
      </c>
      <c r="O33" s="146"/>
      <c r="P33" s="151" t="str">
        <f t="shared" ca="1" si="0"/>
        <v xml:space="preserve">7 tahun 6 bulan </v>
      </c>
      <c r="Q33" s="132" t="s">
        <v>172</v>
      </c>
      <c r="R33" s="132">
        <v>85233310837</v>
      </c>
      <c r="S33" s="132" t="s">
        <v>173</v>
      </c>
    </row>
    <row r="34" spans="1:19" ht="18.95">
      <c r="A34" s="132">
        <v>33</v>
      </c>
      <c r="B34" s="132" t="s">
        <v>174</v>
      </c>
      <c r="C34" s="132" t="s">
        <v>20</v>
      </c>
      <c r="D34" s="132" t="s">
        <v>21</v>
      </c>
      <c r="E34" s="132" t="str">
        <f>IF(D34="DOSEN",VLOOKUP(B34,Dosen!B:Z,11,FALSE),VLOOKUP(B34,TPA!B:Z,7,FALSE))</f>
        <v>L</v>
      </c>
      <c r="F34" s="132" t="s">
        <v>170</v>
      </c>
      <c r="G34" s="132">
        <v>9820030</v>
      </c>
      <c r="H34" s="132">
        <v>402058203</v>
      </c>
      <c r="I34" s="150" t="s">
        <v>175</v>
      </c>
      <c r="J34" s="149" t="str">
        <f>IF(D34="DOSEN",VLOOKUP(B34,Dosen!B:Z,7,FALSE),VLOOKUP(B34,TPA!B:Z,5,FALSE))</f>
        <v>TETAP</v>
      </c>
      <c r="K34" s="132" t="s">
        <v>30</v>
      </c>
      <c r="L34" s="132" t="s">
        <v>176</v>
      </c>
      <c r="M34" s="132" t="str">
        <f>IF(D34="DOSEN",VLOOKUP(B34,Dosen!B:ZZ,33,FALSE),VLOOKUP(B34,TPA!B:ZZ,44,FALSE))</f>
        <v>S2</v>
      </c>
      <c r="N34" s="146">
        <v>39845</v>
      </c>
      <c r="O34" s="146"/>
      <c r="P34" s="151" t="str">
        <f t="shared" ca="1" si="0"/>
        <v xml:space="preserve">16 tahun 11 bulan </v>
      </c>
      <c r="Q34" s="132" t="s">
        <v>177</v>
      </c>
      <c r="R34" s="132">
        <v>8121446627</v>
      </c>
      <c r="S34" s="132" t="s">
        <v>178</v>
      </c>
    </row>
    <row r="35" spans="1:19" ht="18.95">
      <c r="A35" s="132">
        <v>34</v>
      </c>
      <c r="B35" s="132" t="s">
        <v>179</v>
      </c>
      <c r="C35" s="132" t="s">
        <v>20</v>
      </c>
      <c r="D35" s="132" t="s">
        <v>21</v>
      </c>
      <c r="E35" s="132" t="str">
        <f>IF(D35="DOSEN",VLOOKUP(B35,Dosen!B:Z,11,FALSE),VLOOKUP(B35,TPA!B:Z,7,FALSE))</f>
        <v>L</v>
      </c>
      <c r="F35" s="132" t="s">
        <v>170</v>
      </c>
      <c r="G35" s="132">
        <v>19870004</v>
      </c>
      <c r="H35" s="132">
        <v>730058702</v>
      </c>
      <c r="I35" s="150" t="s">
        <v>180</v>
      </c>
      <c r="J35" s="149" t="str">
        <f>IF(D35="DOSEN",VLOOKUP(B35,Dosen!B:Z,7,FALSE),VLOOKUP(B35,TPA!B:Z,5,FALSE))</f>
        <v>TETAP</v>
      </c>
      <c r="K35" s="132" t="s">
        <v>30</v>
      </c>
      <c r="L35" s="132" t="s">
        <v>113</v>
      </c>
      <c r="M35" s="132" t="str">
        <f>IF(D35="DOSEN",VLOOKUP(B35,Dosen!B:ZZ,33,FALSE),VLOOKUP(B35,TPA!B:ZZ,44,FALSE))</f>
        <v>S2</v>
      </c>
      <c r="N35" s="146">
        <v>43101</v>
      </c>
      <c r="O35" s="146"/>
      <c r="P35" s="151" t="str">
        <f t="shared" ca="1" si="0"/>
        <v xml:space="preserve">8 tahun 0 bulan </v>
      </c>
      <c r="Q35" s="132" t="s">
        <v>181</v>
      </c>
      <c r="R35" s="132">
        <v>82143161793</v>
      </c>
      <c r="S35" s="132" t="s">
        <v>182</v>
      </c>
    </row>
    <row r="36" spans="1:19" ht="18.95">
      <c r="A36" s="132">
        <v>35</v>
      </c>
      <c r="B36" s="132" t="s">
        <v>183</v>
      </c>
      <c r="C36" s="132" t="s">
        <v>20</v>
      </c>
      <c r="D36" s="132" t="s">
        <v>21</v>
      </c>
      <c r="E36" s="132" t="str">
        <f>IF(D36="DOSEN",VLOOKUP(B36,Dosen!B:Z,11,FALSE),VLOOKUP(B36,TPA!B:Z,7,FALSE))</f>
        <v>AA</v>
      </c>
      <c r="F36" s="132" t="s">
        <v>170</v>
      </c>
      <c r="G36" s="132">
        <v>19810001</v>
      </c>
      <c r="H36" s="132">
        <v>709128101</v>
      </c>
      <c r="I36" s="150" t="s">
        <v>184</v>
      </c>
      <c r="J36" s="149" t="str">
        <f>IF(D36="DOSEN",VLOOKUP(B36,Dosen!B:Z,7,FALSE),VLOOKUP(B36,TPA!B:Z,5,FALSE))</f>
        <v>TETAP</v>
      </c>
      <c r="K36" s="132" t="s">
        <v>30</v>
      </c>
      <c r="L36" s="132" t="s">
        <v>57</v>
      </c>
      <c r="M36" s="132" t="str">
        <f>IF(D36="DOSEN",VLOOKUP(B36,Dosen!B:ZZ,33,FALSE),VLOOKUP(B36,TPA!B:ZZ,44,FALSE))</f>
        <v>S2</v>
      </c>
      <c r="N36" s="146">
        <v>43101</v>
      </c>
      <c r="O36" s="146"/>
      <c r="P36" s="151" t="str">
        <f t="shared" ca="1" si="0"/>
        <v xml:space="preserve">8 tahun 0 bulan </v>
      </c>
      <c r="Q36" s="132" t="s">
        <v>185</v>
      </c>
      <c r="R36" s="132">
        <v>811324984</v>
      </c>
      <c r="S36" s="132" t="s">
        <v>186</v>
      </c>
    </row>
    <row r="37" spans="1:19" ht="18.95">
      <c r="A37" s="132">
        <v>36</v>
      </c>
      <c r="B37" s="132" t="s">
        <v>187</v>
      </c>
      <c r="C37" s="132" t="s">
        <v>20</v>
      </c>
      <c r="D37" s="132" t="s">
        <v>21</v>
      </c>
      <c r="E37" s="132" t="str">
        <f>IF(D37="DOSEN",VLOOKUP(B37,Dosen!B:Z,11,FALSE),VLOOKUP(B37,TPA!B:Z,7,FALSE))</f>
        <v>L</v>
      </c>
      <c r="F37" s="132" t="s">
        <v>170</v>
      </c>
      <c r="G37" s="132">
        <v>20940001</v>
      </c>
      <c r="H37" s="132">
        <v>709039401</v>
      </c>
      <c r="I37" s="150" t="s">
        <v>188</v>
      </c>
      <c r="J37" s="149" t="str">
        <f>IF(D37="DOSEN",VLOOKUP(B37,Dosen!B:Z,7,FALSE),VLOOKUP(B37,TPA!B:Z,5,FALSE))</f>
        <v>TETAP</v>
      </c>
      <c r="K37" s="132" t="s">
        <v>189</v>
      </c>
      <c r="L37" s="132" t="s">
        <v>57</v>
      </c>
      <c r="M37" s="132" t="str">
        <f>IF(D37="DOSEN",VLOOKUP(B37,Dosen!B:ZZ,33,FALSE),VLOOKUP(B37,TPA!B:ZZ,44,FALSE))</f>
        <v>S3</v>
      </c>
      <c r="N37" s="146">
        <v>43282</v>
      </c>
      <c r="O37" s="146"/>
      <c r="P37" s="151" t="str">
        <f t="shared" ca="1" si="0"/>
        <v xml:space="preserve">7 tahun 6 bulan </v>
      </c>
      <c r="Q37" s="132" t="s">
        <v>190</v>
      </c>
      <c r="R37" s="132">
        <v>81359057346</v>
      </c>
      <c r="S37" s="132" t="s">
        <v>191</v>
      </c>
    </row>
    <row r="38" spans="1:19" ht="18.95">
      <c r="A38" s="132">
        <v>37</v>
      </c>
      <c r="B38" s="132" t="s">
        <v>192</v>
      </c>
      <c r="C38" s="132" t="s">
        <v>20</v>
      </c>
      <c r="D38" s="132" t="s">
        <v>21</v>
      </c>
      <c r="E38" s="132" t="str">
        <f>IF(D38="DOSEN",VLOOKUP(B38,Dosen!B:Z,11,FALSE),VLOOKUP(B38,TPA!B:Z,7,FALSE))</f>
        <v>L</v>
      </c>
      <c r="F38" s="132" t="s">
        <v>170</v>
      </c>
      <c r="G38" s="132">
        <v>23850011</v>
      </c>
      <c r="H38" s="132">
        <v>728058503</v>
      </c>
      <c r="I38" s="150" t="s">
        <v>193</v>
      </c>
      <c r="J38" s="149" t="str">
        <f>IF(D38="DOSEN",VLOOKUP(B38,Dosen!B:Z,7,FALSE),VLOOKUP(B38,TPA!B:Z,5,FALSE))</f>
        <v>TETAP</v>
      </c>
      <c r="K38" s="132" t="s">
        <v>30</v>
      </c>
      <c r="L38" s="132" t="s">
        <v>57</v>
      </c>
      <c r="M38" s="132" t="str">
        <f>IF(D38="DOSEN",VLOOKUP(B38,Dosen!B:ZZ,33,FALSE),VLOOKUP(B38,TPA!B:ZZ,44,FALSE))</f>
        <v>S2</v>
      </c>
      <c r="N38" s="146">
        <v>44627</v>
      </c>
      <c r="O38" s="146"/>
      <c r="P38" s="151" t="str">
        <f t="shared" ca="1" si="0"/>
        <v xml:space="preserve">3 tahun 10 bulan </v>
      </c>
      <c r="Q38" s="152" t="s">
        <v>194</v>
      </c>
      <c r="R38" s="132">
        <v>81216473232</v>
      </c>
      <c r="S38" s="132" t="s">
        <v>195</v>
      </c>
    </row>
    <row r="39" spans="1:19" ht="18.95">
      <c r="A39" s="132">
        <v>38</v>
      </c>
      <c r="B39" s="132" t="s">
        <v>196</v>
      </c>
      <c r="C39" s="132" t="s">
        <v>20</v>
      </c>
      <c r="D39" s="132" t="s">
        <v>21</v>
      </c>
      <c r="E39" s="132" t="str">
        <f>IF(D39="DOSEN",VLOOKUP(B39,Dosen!B:Z,11,FALSE),VLOOKUP(B39,TPA!B:Z,7,FALSE))</f>
        <v>AA</v>
      </c>
      <c r="F39" s="132" t="s">
        <v>170</v>
      </c>
      <c r="G39" s="132">
        <v>23900007</v>
      </c>
      <c r="H39" s="149">
        <v>718069004</v>
      </c>
      <c r="I39" s="169" t="s">
        <v>197</v>
      </c>
      <c r="J39" s="149" t="str">
        <f>IF(D39="DOSEN",VLOOKUP(B39,Dosen!B:Z,7,FALSE),VLOOKUP(B39,TPA!B:Z,5,FALSE))</f>
        <v>PROFESIONAL</v>
      </c>
      <c r="K39" s="156" t="s">
        <v>30</v>
      </c>
      <c r="L39" s="132" t="s">
        <v>176</v>
      </c>
      <c r="M39" s="132" t="str">
        <f>IF(D39="DOSEN",VLOOKUP(B39,Dosen!B:ZZ,33,FALSE),VLOOKUP(B39,TPA!B:ZZ,44,FALSE))</f>
        <v>S2</v>
      </c>
      <c r="N39" s="146">
        <v>45170</v>
      </c>
      <c r="O39" s="146"/>
      <c r="P39" s="151" t="str">
        <f t="shared" ca="1" si="0"/>
        <v xml:space="preserve">2 tahun 4 bulan </v>
      </c>
      <c r="Q39" s="132" t="s">
        <v>198</v>
      </c>
      <c r="R39" s="132">
        <v>85292632388</v>
      </c>
      <c r="S39" s="132" t="s">
        <v>199</v>
      </c>
    </row>
    <row r="40" spans="1:19" ht="18.95">
      <c r="A40" s="132">
        <v>39</v>
      </c>
      <c r="B40" s="132" t="s">
        <v>200</v>
      </c>
      <c r="C40" s="132" t="s">
        <v>20</v>
      </c>
      <c r="D40" s="132" t="s">
        <v>21</v>
      </c>
      <c r="E40" s="132" t="str">
        <f>IF(D40="DOSEN",VLOOKUP(B40,Dosen!B:Z,11,FALSE),VLOOKUP(B40,TPA!B:Z,7,FALSE))</f>
        <v>L</v>
      </c>
      <c r="F40" s="132" t="s">
        <v>201</v>
      </c>
      <c r="G40" s="132">
        <v>20940044</v>
      </c>
      <c r="H40" s="132">
        <v>729129403</v>
      </c>
      <c r="I40" s="150" t="s">
        <v>202</v>
      </c>
      <c r="J40" s="149" t="str">
        <f>IF(D40="DOSEN",VLOOKUP(B40,Dosen!B:Z,7,FALSE),VLOOKUP(B40,TPA!B:Z,5,FALSE))</f>
        <v>TETAP</v>
      </c>
      <c r="K40" s="132" t="s">
        <v>30</v>
      </c>
      <c r="L40" s="132" t="s">
        <v>203</v>
      </c>
      <c r="M40" s="132" t="str">
        <f>IF(D40="DOSEN",VLOOKUP(B40,Dosen!B:ZZ,33,FALSE),VLOOKUP(B40,TPA!B:ZZ,44,FALSE))</f>
        <v>S2</v>
      </c>
      <c r="N40" s="146">
        <v>44166</v>
      </c>
      <c r="O40" s="146"/>
      <c r="P40" s="151" t="str">
        <f t="shared" ca="1" si="0"/>
        <v xml:space="preserve">5 tahun 1 bulan </v>
      </c>
      <c r="Q40" s="132" t="s">
        <v>204</v>
      </c>
      <c r="R40" s="132">
        <v>82229313437</v>
      </c>
      <c r="S40" s="132" t="s">
        <v>205</v>
      </c>
    </row>
    <row r="41" spans="1:19" ht="18.95">
      <c r="A41" s="132">
        <v>40</v>
      </c>
      <c r="B41" s="132" t="s">
        <v>206</v>
      </c>
      <c r="C41" s="132" t="s">
        <v>46</v>
      </c>
      <c r="D41" s="132" t="s">
        <v>21</v>
      </c>
      <c r="E41" s="132" t="str">
        <f>IF(D41="DOSEN",VLOOKUP(B41,Dosen!B:Z,11,FALSE),VLOOKUP(B41,TPA!B:Z,7,FALSE))</f>
        <v>AA</v>
      </c>
      <c r="F41" s="132" t="s">
        <v>201</v>
      </c>
      <c r="G41" s="132">
        <v>23950026</v>
      </c>
      <c r="H41" s="132">
        <v>707019501</v>
      </c>
      <c r="I41" s="150" t="s">
        <v>207</v>
      </c>
      <c r="J41" s="149" t="str">
        <f>IF(D41="DOSEN",VLOOKUP(B41,Dosen!B:Z,7,FALSE),VLOOKUP(B41,TPA!B:Z,5,FALSE))</f>
        <v>TETAP</v>
      </c>
      <c r="K41" s="132" t="s">
        <v>143</v>
      </c>
      <c r="L41" s="132" t="s">
        <v>208</v>
      </c>
      <c r="M41" s="132" t="str">
        <f>IF(D41="DOSEN",VLOOKUP(B41,Dosen!B:ZZ,33,FALSE),VLOOKUP(B41,TPA!B:ZZ,44,FALSE))</f>
        <v>S3</v>
      </c>
      <c r="N41" s="146">
        <v>44166</v>
      </c>
      <c r="O41" s="146">
        <v>45747</v>
      </c>
      <c r="P41" s="151" t="str">
        <f t="shared" ca="1" si="0"/>
        <v xml:space="preserve">4 tahun 3 bulan </v>
      </c>
      <c r="Q41" s="132" t="s">
        <v>209</v>
      </c>
      <c r="R41" s="132">
        <v>82131281868</v>
      </c>
      <c r="S41" s="132" t="s">
        <v>210</v>
      </c>
    </row>
    <row r="42" spans="1:19" ht="18.95">
      <c r="A42" s="132">
        <v>41</v>
      </c>
      <c r="B42" s="132" t="s">
        <v>211</v>
      </c>
      <c r="C42" s="132" t="s">
        <v>20</v>
      </c>
      <c r="D42" s="132" t="s">
        <v>21</v>
      </c>
      <c r="E42" s="132" t="str">
        <f>IF(D42="DOSEN",VLOOKUP(B42,Dosen!B:Z,11,FALSE),VLOOKUP(B42,TPA!B:Z,7,FALSE))</f>
        <v>L</v>
      </c>
      <c r="F42" s="132" t="s">
        <v>201</v>
      </c>
      <c r="G42" s="132">
        <v>23950023</v>
      </c>
      <c r="H42" s="132">
        <v>724079501</v>
      </c>
      <c r="I42" s="150" t="s">
        <v>212</v>
      </c>
      <c r="J42" s="149" t="str">
        <f>IF(D42="DOSEN",VLOOKUP(B42,Dosen!B:Z,7,FALSE),VLOOKUP(B42,TPA!B:Z,5,FALSE))</f>
        <v>TETAP</v>
      </c>
      <c r="K42" s="132" t="s">
        <v>30</v>
      </c>
      <c r="L42" s="132" t="s">
        <v>208</v>
      </c>
      <c r="M42" s="132" t="str">
        <f>IF(D42="DOSEN",VLOOKUP(B42,Dosen!B:ZZ,33,FALSE),VLOOKUP(B42,TPA!B:ZZ,44,FALSE))</f>
        <v>S2</v>
      </c>
      <c r="N42" s="146">
        <v>44166</v>
      </c>
      <c r="O42" s="146"/>
      <c r="P42" s="151" t="str">
        <f t="shared" ca="1" si="0"/>
        <v xml:space="preserve">5 tahun 1 bulan </v>
      </c>
      <c r="Q42" s="132" t="s">
        <v>213</v>
      </c>
      <c r="R42" s="132">
        <v>81331653603</v>
      </c>
      <c r="S42" s="132" t="s">
        <v>214</v>
      </c>
    </row>
    <row r="43" spans="1:19" ht="18.95">
      <c r="A43" s="132">
        <v>42</v>
      </c>
      <c r="B43" s="132" t="s">
        <v>215</v>
      </c>
      <c r="C43" s="132" t="s">
        <v>20</v>
      </c>
      <c r="D43" s="132" t="s">
        <v>21</v>
      </c>
      <c r="E43" s="132" t="str">
        <f>IF(D43="DOSEN",VLOOKUP(B43,Dosen!B:Z,11,FALSE),VLOOKUP(B43,TPA!B:Z,7,FALSE))</f>
        <v>AA</v>
      </c>
      <c r="F43" s="132" t="s">
        <v>201</v>
      </c>
      <c r="G43" s="132">
        <v>22960008</v>
      </c>
      <c r="H43" s="132">
        <v>730099601</v>
      </c>
      <c r="I43" s="150" t="s">
        <v>216</v>
      </c>
      <c r="J43" s="149" t="str">
        <f>IF(D43="DOSEN",VLOOKUP(B43,Dosen!B:Z,7,FALSE),VLOOKUP(B43,TPA!B:Z,5,FALSE))</f>
        <v>PROFESIONAL</v>
      </c>
      <c r="K43" s="132" t="s">
        <v>30</v>
      </c>
      <c r="L43" s="132" t="s">
        <v>217</v>
      </c>
      <c r="M43" s="132" t="str">
        <f>IF(D43="DOSEN",VLOOKUP(B43,Dosen!B:ZZ,33,FALSE),VLOOKUP(B43,TPA!B:ZZ,44,FALSE))</f>
        <v>S2</v>
      </c>
      <c r="N43" s="146">
        <v>44627</v>
      </c>
      <c r="O43" s="146"/>
      <c r="P43" s="151" t="str">
        <f t="shared" ca="1" si="0"/>
        <v xml:space="preserve">3 tahun 10 bulan </v>
      </c>
      <c r="Q43" s="132" t="s">
        <v>218</v>
      </c>
      <c r="R43" s="132">
        <v>81232988938</v>
      </c>
      <c r="S43" s="132" t="s">
        <v>219</v>
      </c>
    </row>
    <row r="44" spans="1:19" ht="18.95">
      <c r="A44" s="132">
        <v>43</v>
      </c>
      <c r="B44" s="132" t="s">
        <v>220</v>
      </c>
      <c r="C44" s="132" t="s">
        <v>20</v>
      </c>
      <c r="D44" s="132" t="s">
        <v>21</v>
      </c>
      <c r="E44" s="132" t="str">
        <f>IF(D44="DOSEN",VLOOKUP(B44,Dosen!B:Z,11,FALSE),VLOOKUP(B44,TPA!B:Z,7,FALSE))</f>
        <v>AA</v>
      </c>
      <c r="F44" s="132" t="s">
        <v>201</v>
      </c>
      <c r="G44" s="132">
        <v>22900008</v>
      </c>
      <c r="H44" s="132">
        <v>714069008</v>
      </c>
      <c r="I44" s="150" t="s">
        <v>221</v>
      </c>
      <c r="J44" s="149" t="str">
        <f>IF(D44="DOSEN",VLOOKUP(B44,Dosen!B:Z,7,FALSE),VLOOKUP(B44,TPA!B:Z,5,FALSE))</f>
        <v>PROFESIONAL</v>
      </c>
      <c r="K44" s="132" t="s">
        <v>30</v>
      </c>
      <c r="L44" s="132" t="s">
        <v>203</v>
      </c>
      <c r="M44" s="132" t="str">
        <f>IF(D44="DOSEN",VLOOKUP(B44,Dosen!B:ZZ,33,FALSE),VLOOKUP(B44,TPA!B:ZZ,44,FALSE))</f>
        <v>S2</v>
      </c>
      <c r="N44" s="146">
        <v>44627</v>
      </c>
      <c r="O44" s="146"/>
      <c r="P44" s="151" t="str">
        <f t="shared" ca="1" si="0"/>
        <v xml:space="preserve">3 tahun 10 bulan </v>
      </c>
      <c r="Q44" s="132" t="s">
        <v>222</v>
      </c>
      <c r="R44" s="132">
        <v>82143858460</v>
      </c>
      <c r="S44" s="132" t="s">
        <v>223</v>
      </c>
    </row>
    <row r="45" spans="1:19" ht="18.95">
      <c r="A45" s="132">
        <v>44</v>
      </c>
      <c r="B45" s="132" t="s">
        <v>224</v>
      </c>
      <c r="C45" s="132" t="s">
        <v>20</v>
      </c>
      <c r="D45" s="132" t="s">
        <v>21</v>
      </c>
      <c r="E45" s="132" t="str">
        <f>IF(D45="DOSEN",VLOOKUP(B45,Dosen!B:Z,11,FALSE),VLOOKUP(B45,TPA!B:Z,7,FALSE))</f>
        <v>AA</v>
      </c>
      <c r="F45" s="132" t="s">
        <v>201</v>
      </c>
      <c r="G45" s="132">
        <v>22930003</v>
      </c>
      <c r="H45" s="132">
        <v>723119302</v>
      </c>
      <c r="I45" s="150" t="s">
        <v>225</v>
      </c>
      <c r="J45" s="149" t="str">
        <f>IF(D45="DOSEN",VLOOKUP(B45,Dosen!B:Z,7,FALSE),VLOOKUP(B45,TPA!B:Z,5,FALSE))</f>
        <v>PROFESIONAL</v>
      </c>
      <c r="K45" s="132" t="s">
        <v>30</v>
      </c>
      <c r="L45" s="132" t="s">
        <v>226</v>
      </c>
      <c r="M45" s="132" t="str">
        <f>IF(D45="DOSEN",VLOOKUP(B45,Dosen!B:ZZ,33,FALSE),VLOOKUP(B45,TPA!B:ZZ,44,FALSE))</f>
        <v>S2</v>
      </c>
      <c r="N45" s="146">
        <v>44627</v>
      </c>
      <c r="O45" s="146"/>
      <c r="P45" s="151" t="str">
        <f t="shared" ca="1" si="0"/>
        <v xml:space="preserve">3 tahun 10 bulan </v>
      </c>
      <c r="Q45" s="132" t="s">
        <v>227</v>
      </c>
      <c r="R45" s="132">
        <v>81217497767</v>
      </c>
      <c r="S45" s="132" t="s">
        <v>228</v>
      </c>
    </row>
    <row r="46" spans="1:19" ht="18.95">
      <c r="A46" s="132">
        <v>45</v>
      </c>
      <c r="B46" s="132" t="s">
        <v>229</v>
      </c>
      <c r="C46" s="132" t="s">
        <v>20</v>
      </c>
      <c r="D46" s="132" t="s">
        <v>21</v>
      </c>
      <c r="E46" s="132" t="str">
        <f>IF(D46="DOSEN",VLOOKUP(B46,Dosen!B:Z,11,FALSE),VLOOKUP(B46,TPA!B:Z,7,FALSE))</f>
        <v>NJAD</v>
      </c>
      <c r="F46" s="132" t="s">
        <v>201</v>
      </c>
      <c r="G46" s="132">
        <v>25990003</v>
      </c>
      <c r="H46" s="149"/>
      <c r="I46" s="149" t="s">
        <v>230</v>
      </c>
      <c r="J46" s="149" t="str">
        <f>IF(D46="DOSEN",VLOOKUP(B46,Dosen!B:Z,7,FALSE),VLOOKUP(B46,TPA!B:Z,5,FALSE))</f>
        <v>PROFESIONAL</v>
      </c>
      <c r="K46" s="132"/>
      <c r="L46" s="132" t="s">
        <v>231</v>
      </c>
      <c r="M46" s="132" t="str">
        <f>IF(D46="DOSEN",VLOOKUP(B46,Dosen!B:ZZ,33,FALSE),VLOOKUP(B46,TPA!B:ZZ,44,FALSE))</f>
        <v>S2</v>
      </c>
      <c r="N46" s="146">
        <v>45658</v>
      </c>
      <c r="O46" s="146"/>
      <c r="P46" s="151" t="str">
        <f t="shared" ca="1" si="0"/>
        <v xml:space="preserve">1 tahun 0 bulan </v>
      </c>
      <c r="Q46" s="132" t="s">
        <v>232</v>
      </c>
      <c r="R46" s="132">
        <v>82146235254</v>
      </c>
      <c r="S46" s="132" t="s">
        <v>233</v>
      </c>
    </row>
    <row r="47" spans="1:19" ht="18.95">
      <c r="A47" s="132">
        <v>46</v>
      </c>
      <c r="B47" s="132" t="s">
        <v>234</v>
      </c>
      <c r="C47" s="132" t="s">
        <v>20</v>
      </c>
      <c r="D47" s="132" t="s">
        <v>21</v>
      </c>
      <c r="E47" s="132" t="str">
        <f>IF(D47="DOSEN",VLOOKUP(B47,Dosen!B:Z,11,FALSE),VLOOKUP(B47,TPA!B:Z,7,FALSE))</f>
        <v>AA</v>
      </c>
      <c r="F47" s="132" t="s">
        <v>235</v>
      </c>
      <c r="G47" s="132">
        <v>19900002</v>
      </c>
      <c r="H47" s="132">
        <v>715039004</v>
      </c>
      <c r="I47" s="150" t="s">
        <v>236</v>
      </c>
      <c r="J47" s="149" t="str">
        <f>IF(D47="DOSEN",VLOOKUP(B47,Dosen!B:Z,7,FALSE),VLOOKUP(B47,TPA!B:Z,5,FALSE))</f>
        <v>TETAP</v>
      </c>
      <c r="K47" s="132" t="s">
        <v>30</v>
      </c>
      <c r="L47" s="132" t="s">
        <v>57</v>
      </c>
      <c r="M47" s="132" t="str">
        <f>IF(D47="DOSEN",VLOOKUP(B47,Dosen!B:ZZ,33,FALSE),VLOOKUP(B47,TPA!B:ZZ,44,FALSE))</f>
        <v>S2</v>
      </c>
      <c r="N47" s="146">
        <v>43101</v>
      </c>
      <c r="O47" s="146"/>
      <c r="P47" s="151" t="str">
        <f t="shared" ca="1" si="0"/>
        <v xml:space="preserve">8 tahun 0 bulan </v>
      </c>
      <c r="Q47" s="132" t="s">
        <v>237</v>
      </c>
      <c r="R47" s="132">
        <v>82232504468</v>
      </c>
      <c r="S47" s="132" t="s">
        <v>238</v>
      </c>
    </row>
    <row r="48" spans="1:19" ht="18.95">
      <c r="A48" s="132">
        <v>47</v>
      </c>
      <c r="B48" s="132" t="s">
        <v>239</v>
      </c>
      <c r="C48" s="132" t="s">
        <v>20</v>
      </c>
      <c r="D48" s="132" t="s">
        <v>21</v>
      </c>
      <c r="E48" s="132" t="str">
        <f>IF(D48="DOSEN",VLOOKUP(B48,Dosen!B:Z,11,FALSE),VLOOKUP(B48,TPA!B:Z,7,FALSE))</f>
        <v>AA</v>
      </c>
      <c r="F48" s="132" t="s">
        <v>235</v>
      </c>
      <c r="G48" s="132">
        <v>20920039</v>
      </c>
      <c r="H48" s="132">
        <v>724089201</v>
      </c>
      <c r="I48" s="150" t="s">
        <v>240</v>
      </c>
      <c r="J48" s="149" t="str">
        <f>IF(D48="DOSEN",VLOOKUP(B48,Dosen!B:Z,7,FALSE),VLOOKUP(B48,TPA!B:Z,5,FALSE))</f>
        <v>TETAP</v>
      </c>
      <c r="K48" s="132" t="s">
        <v>30</v>
      </c>
      <c r="L48" s="132" t="s">
        <v>57</v>
      </c>
      <c r="M48" s="132" t="str">
        <f>IF(D48="DOSEN",VLOOKUP(B48,Dosen!B:ZZ,33,FALSE),VLOOKUP(B48,TPA!B:ZZ,44,FALSE))</f>
        <v>S2</v>
      </c>
      <c r="N48" s="146">
        <v>43282</v>
      </c>
      <c r="O48" s="146"/>
      <c r="P48" s="151" t="str">
        <f t="shared" ca="1" si="0"/>
        <v xml:space="preserve">7 tahun 6 bulan </v>
      </c>
      <c r="Q48" s="132" t="s">
        <v>241</v>
      </c>
      <c r="R48" s="132">
        <v>81259106836</v>
      </c>
      <c r="S48" s="132" t="s">
        <v>242</v>
      </c>
    </row>
    <row r="49" spans="1:19" ht="18.95">
      <c r="A49" s="132">
        <v>48</v>
      </c>
      <c r="B49" s="132" t="s">
        <v>243</v>
      </c>
      <c r="C49" s="132" t="s">
        <v>20</v>
      </c>
      <c r="D49" s="132" t="s">
        <v>21</v>
      </c>
      <c r="E49" s="132" t="str">
        <f>IF(D49="DOSEN",VLOOKUP(B49,Dosen!B:Z,11,FALSE),VLOOKUP(B49,TPA!B:Z,7,FALSE))</f>
        <v>AA</v>
      </c>
      <c r="F49" s="132" t="s">
        <v>235</v>
      </c>
      <c r="G49" s="132">
        <v>20860017</v>
      </c>
      <c r="H49" s="132">
        <v>721088602</v>
      </c>
      <c r="I49" s="150" t="s">
        <v>244</v>
      </c>
      <c r="J49" s="149" t="str">
        <f>IF(D49="DOSEN",VLOOKUP(B49,Dosen!B:Z,7,FALSE),VLOOKUP(B49,TPA!B:Z,5,FALSE))</f>
        <v>TETAP</v>
      </c>
      <c r="K49" s="132" t="s">
        <v>30</v>
      </c>
      <c r="L49" s="132" t="s">
        <v>57</v>
      </c>
      <c r="M49" s="132" t="str">
        <f>IF(D49="DOSEN",VLOOKUP(B49,Dosen!B:ZZ,33,FALSE),VLOOKUP(B49,TPA!B:ZZ,44,FALSE))</f>
        <v>S2</v>
      </c>
      <c r="N49" s="146">
        <v>43282</v>
      </c>
      <c r="O49" s="146"/>
      <c r="P49" s="151" t="str">
        <f t="shared" ca="1" si="0"/>
        <v xml:space="preserve">7 tahun 6 bulan </v>
      </c>
      <c r="Q49" s="132" t="s">
        <v>245</v>
      </c>
      <c r="R49" s="132">
        <v>81359558005</v>
      </c>
      <c r="S49" s="132" t="s">
        <v>246</v>
      </c>
    </row>
    <row r="50" spans="1:19" ht="18.95">
      <c r="A50" s="132">
        <v>49</v>
      </c>
      <c r="B50" s="132" t="s">
        <v>247</v>
      </c>
      <c r="C50" s="132" t="s">
        <v>20</v>
      </c>
      <c r="D50" s="132" t="s">
        <v>21</v>
      </c>
      <c r="E50" s="132" t="str">
        <f>IF(D50="DOSEN",VLOOKUP(B50,Dosen!B:Z,11,FALSE),VLOOKUP(B50,TPA!B:Z,7,FALSE))</f>
        <v>L</v>
      </c>
      <c r="F50" s="132" t="s">
        <v>235</v>
      </c>
      <c r="G50" s="132">
        <v>19900003</v>
      </c>
      <c r="H50" s="132">
        <v>725059004</v>
      </c>
      <c r="I50" s="150" t="s">
        <v>248</v>
      </c>
      <c r="J50" s="149" t="str">
        <f>IF(D50="DOSEN",VLOOKUP(B50,Dosen!B:Z,7,FALSE),VLOOKUP(B50,TPA!B:Z,5,FALSE))</f>
        <v>TETAP</v>
      </c>
      <c r="K50" s="132" t="s">
        <v>30</v>
      </c>
      <c r="L50" s="132" t="s">
        <v>57</v>
      </c>
      <c r="M50" s="132" t="str">
        <f>IF(D50="DOSEN",VLOOKUP(B50,Dosen!B:ZZ,33,FALSE),VLOOKUP(B50,TPA!B:ZZ,44,FALSE))</f>
        <v>S2</v>
      </c>
      <c r="N50" s="146">
        <v>43101</v>
      </c>
      <c r="O50" s="146"/>
      <c r="P50" s="151" t="str">
        <f t="shared" ca="1" si="0"/>
        <v xml:space="preserve">8 tahun 0 bulan </v>
      </c>
      <c r="Q50" s="132" t="s">
        <v>249</v>
      </c>
      <c r="R50" s="132">
        <v>85326721456</v>
      </c>
      <c r="S50" s="132" t="s">
        <v>250</v>
      </c>
    </row>
    <row r="51" spans="1:19" ht="18.95">
      <c r="A51" s="132">
        <v>50</v>
      </c>
      <c r="B51" s="132" t="s">
        <v>251</v>
      </c>
      <c r="C51" s="132" t="s">
        <v>20</v>
      </c>
      <c r="D51" s="132" t="s">
        <v>21</v>
      </c>
      <c r="E51" s="132" t="str">
        <f>IF(D51="DOSEN",VLOOKUP(B51,Dosen!B:Z,11,FALSE),VLOOKUP(B51,TPA!B:Z,7,FALSE))</f>
        <v>AA</v>
      </c>
      <c r="F51" s="132" t="s">
        <v>235</v>
      </c>
      <c r="G51" s="132">
        <v>23890011</v>
      </c>
      <c r="H51" s="132">
        <v>704068902</v>
      </c>
      <c r="I51" s="150" t="s">
        <v>252</v>
      </c>
      <c r="J51" s="149" t="str">
        <f>IF(D51="DOSEN",VLOOKUP(B51,Dosen!B:Z,7,FALSE),VLOOKUP(B51,TPA!B:Z,5,FALSE))</f>
        <v>TETAP</v>
      </c>
      <c r="K51" s="132" t="s">
        <v>30</v>
      </c>
      <c r="L51" s="132" t="s">
        <v>176</v>
      </c>
      <c r="M51" s="132" t="str">
        <f>IF(D51="DOSEN",VLOOKUP(B51,Dosen!B:ZZ,33,FALSE),VLOOKUP(B51,TPA!B:ZZ,44,FALSE))</f>
        <v>S2</v>
      </c>
      <c r="N51" s="146">
        <v>43831</v>
      </c>
      <c r="O51" s="146"/>
      <c r="P51" s="151" t="str">
        <f t="shared" ca="1" si="0"/>
        <v xml:space="preserve">6 tahun 0 bulan </v>
      </c>
      <c r="Q51" s="132" t="s">
        <v>253</v>
      </c>
      <c r="R51" s="132">
        <v>85232959894</v>
      </c>
      <c r="S51" s="132" t="s">
        <v>254</v>
      </c>
    </row>
    <row r="52" spans="1:19" ht="18.95">
      <c r="A52" s="132">
        <v>51</v>
      </c>
      <c r="B52" s="132" t="s">
        <v>255</v>
      </c>
      <c r="C52" s="132" t="s">
        <v>20</v>
      </c>
      <c r="D52" s="132" t="s">
        <v>21</v>
      </c>
      <c r="E52" s="132" t="str">
        <f>IF(D52="DOSEN",VLOOKUP(B52,Dosen!B:Z,11,FALSE),VLOOKUP(B52,TPA!B:Z,7,FALSE))</f>
        <v>L</v>
      </c>
      <c r="F52" s="132" t="s">
        <v>235</v>
      </c>
      <c r="G52" s="132">
        <v>19750005</v>
      </c>
      <c r="H52" s="155">
        <v>8920230021</v>
      </c>
      <c r="I52" s="157" t="s">
        <v>256</v>
      </c>
      <c r="J52" s="149" t="str">
        <f>IF(D52="DOSEN",VLOOKUP(B52,Dosen!B:Z,7,FALSE),VLOOKUP(B52,TPA!B:Z,5,FALSE))</f>
        <v>PERBANTUAN</v>
      </c>
      <c r="K52" s="132" t="s">
        <v>30</v>
      </c>
      <c r="L52" s="132" t="s">
        <v>257</v>
      </c>
      <c r="M52" s="132" t="str">
        <f>IF(D52="DOSEN",VLOOKUP(B52,Dosen!B:ZZ,33,FALSE),VLOOKUP(B52,TPA!B:ZZ,44,FALSE))</f>
        <v>S3</v>
      </c>
      <c r="N52" s="146">
        <v>43770</v>
      </c>
      <c r="O52" s="146"/>
      <c r="P52" s="151" t="str">
        <f t="shared" ca="1" si="0"/>
        <v xml:space="preserve">6 tahun 2 bulan </v>
      </c>
      <c r="Q52" s="152" t="s">
        <v>258</v>
      </c>
      <c r="R52" s="132">
        <v>8127041015</v>
      </c>
      <c r="S52" s="132" t="s">
        <v>259</v>
      </c>
    </row>
    <row r="53" spans="1:19" ht="18.95">
      <c r="A53" s="132">
        <v>52</v>
      </c>
      <c r="B53" s="132" t="s">
        <v>260</v>
      </c>
      <c r="C53" s="132" t="s">
        <v>20</v>
      </c>
      <c r="D53" s="132" t="s">
        <v>21</v>
      </c>
      <c r="E53" s="132" t="str">
        <f>IF(D53="DOSEN",VLOOKUP(B53,Dosen!B:Z,11,FALSE),VLOOKUP(B53,TPA!B:Z,7,FALSE))</f>
        <v>AA</v>
      </c>
      <c r="F53" s="132" t="s">
        <v>235</v>
      </c>
      <c r="G53" s="132">
        <v>23900009</v>
      </c>
      <c r="H53" s="132">
        <v>709059004</v>
      </c>
      <c r="I53" s="150" t="s">
        <v>261</v>
      </c>
      <c r="J53" s="149" t="str">
        <f>IF(D53="DOSEN",VLOOKUP(B53,Dosen!B:Z,7,FALSE),VLOOKUP(B53,TPA!B:Z,5,FALSE))</f>
        <v>TETAP</v>
      </c>
      <c r="K53" s="132" t="s">
        <v>30</v>
      </c>
      <c r="L53" s="132" t="s">
        <v>57</v>
      </c>
      <c r="M53" s="132" t="str">
        <f>IF(D53="DOSEN",VLOOKUP(B53,Dosen!B:ZZ,33,FALSE),VLOOKUP(B53,TPA!B:ZZ,44,FALSE))</f>
        <v>S2</v>
      </c>
      <c r="N53" s="146">
        <v>44075</v>
      </c>
      <c r="O53" s="146"/>
      <c r="P53" s="151" t="str">
        <f t="shared" ca="1" si="0"/>
        <v xml:space="preserve">5 tahun 4 bulan </v>
      </c>
      <c r="Q53" s="132" t="s">
        <v>262</v>
      </c>
      <c r="R53" s="132">
        <v>85259501314</v>
      </c>
      <c r="S53" s="132" t="s">
        <v>263</v>
      </c>
    </row>
    <row r="54" spans="1:19" ht="18.95">
      <c r="A54" s="132">
        <v>53</v>
      </c>
      <c r="B54" s="132" t="s">
        <v>264</v>
      </c>
      <c r="C54" s="132" t="s">
        <v>20</v>
      </c>
      <c r="D54" s="132" t="s">
        <v>21</v>
      </c>
      <c r="E54" s="132" t="str">
        <f>IF(D54="DOSEN",VLOOKUP(B54,Dosen!B:Z,11,FALSE),VLOOKUP(B54,TPA!B:Z,7,FALSE))</f>
        <v>AA</v>
      </c>
      <c r="F54" s="132" t="s">
        <v>235</v>
      </c>
      <c r="G54" s="132">
        <v>21890010</v>
      </c>
      <c r="H54" s="132">
        <v>720088905</v>
      </c>
      <c r="I54" s="150" t="s">
        <v>265</v>
      </c>
      <c r="J54" s="149" t="str">
        <f>IF(D54="DOSEN",VLOOKUP(B54,Dosen!B:Z,7,FALSE),VLOOKUP(B54,TPA!B:Z,5,FALSE))</f>
        <v>PROFESIONAL</v>
      </c>
      <c r="K54" s="132" t="s">
        <v>30</v>
      </c>
      <c r="L54" s="132" t="s">
        <v>57</v>
      </c>
      <c r="M54" s="132" t="str">
        <f>IF(D54="DOSEN",VLOOKUP(B54,Dosen!B:ZZ,33,FALSE),VLOOKUP(B54,TPA!B:ZZ,44,FALSE))</f>
        <v>S2</v>
      </c>
      <c r="N54" s="146">
        <v>44470</v>
      </c>
      <c r="O54" s="146"/>
      <c r="P54" s="151" t="str">
        <f t="shared" ca="1" si="0"/>
        <v xml:space="preserve">4 tahun 3 bulan </v>
      </c>
      <c r="Q54" s="132" t="s">
        <v>266</v>
      </c>
      <c r="R54" s="132">
        <v>81330823998</v>
      </c>
      <c r="S54" s="132" t="s">
        <v>267</v>
      </c>
    </row>
    <row r="55" spans="1:19" ht="18.95">
      <c r="A55" s="132">
        <v>54</v>
      </c>
      <c r="B55" s="132" t="s">
        <v>268</v>
      </c>
      <c r="C55" s="132" t="s">
        <v>20</v>
      </c>
      <c r="D55" s="132" t="s">
        <v>21</v>
      </c>
      <c r="E55" s="132" t="str">
        <f>IF(D55="DOSEN",VLOOKUP(B55,Dosen!B:Z,11,FALSE),VLOOKUP(B55,TPA!B:Z,7,FALSE))</f>
        <v>AA</v>
      </c>
      <c r="F55" s="132" t="s">
        <v>235</v>
      </c>
      <c r="G55" s="132">
        <v>21910012</v>
      </c>
      <c r="H55" s="132">
        <v>708119103</v>
      </c>
      <c r="I55" s="150" t="s">
        <v>269</v>
      </c>
      <c r="J55" s="149" t="str">
        <f>IF(D55="DOSEN",VLOOKUP(B55,Dosen!B:Z,7,FALSE),VLOOKUP(B55,TPA!B:Z,5,FALSE))</f>
        <v>PROFESIONAL</v>
      </c>
      <c r="K55" s="132" t="s">
        <v>30</v>
      </c>
      <c r="L55" s="132" t="s">
        <v>270</v>
      </c>
      <c r="M55" s="132" t="str">
        <f>IF(D55="DOSEN",VLOOKUP(B55,Dosen!B:ZZ,33,FALSE),VLOOKUP(B55,TPA!B:ZZ,44,FALSE))</f>
        <v>S2</v>
      </c>
      <c r="N55" s="146">
        <v>44562</v>
      </c>
      <c r="O55" s="146"/>
      <c r="P55" s="151" t="str">
        <f t="shared" ca="1" si="0"/>
        <v xml:space="preserve">4 tahun 0 bulan </v>
      </c>
      <c r="Q55" s="132" t="s">
        <v>271</v>
      </c>
      <c r="R55" s="132">
        <v>8123122708</v>
      </c>
      <c r="S55" s="132" t="s">
        <v>272</v>
      </c>
    </row>
    <row r="56" spans="1:19" ht="18.95">
      <c r="A56" s="132">
        <v>55</v>
      </c>
      <c r="B56" s="132" t="s">
        <v>273</v>
      </c>
      <c r="C56" s="132" t="s">
        <v>20</v>
      </c>
      <c r="D56" s="132" t="s">
        <v>21</v>
      </c>
      <c r="E56" s="132" t="str">
        <f>IF(D56="DOSEN",VLOOKUP(B56,Dosen!B:Z,11,FALSE),VLOOKUP(B56,TPA!B:Z,7,FALSE))</f>
        <v>NJAD</v>
      </c>
      <c r="F56" s="132" t="s">
        <v>235</v>
      </c>
      <c r="G56" s="132">
        <v>21870007</v>
      </c>
      <c r="H56" s="132">
        <v>724098701</v>
      </c>
      <c r="I56" s="150" t="s">
        <v>274</v>
      </c>
      <c r="J56" s="149" t="str">
        <f>IF(D56="DOSEN",VLOOKUP(B56,Dosen!B:Z,7,FALSE),VLOOKUP(B56,TPA!B:Z,5,FALSE))</f>
        <v>PROFESIONAL</v>
      </c>
      <c r="K56" s="132" t="s">
        <v>30</v>
      </c>
      <c r="L56" s="132" t="s">
        <v>57</v>
      </c>
      <c r="M56" s="132" t="str">
        <f>IF(D56="DOSEN",VLOOKUP(B56,Dosen!B:ZZ,33,FALSE),VLOOKUP(B56,TPA!B:ZZ,44,FALSE))</f>
        <v>S2</v>
      </c>
      <c r="N56" s="146">
        <v>44562</v>
      </c>
      <c r="O56" s="146"/>
      <c r="P56" s="151" t="str">
        <f t="shared" ca="1" si="0"/>
        <v xml:space="preserve">4 tahun 0 bulan </v>
      </c>
      <c r="Q56" s="132" t="s">
        <v>275</v>
      </c>
      <c r="R56" s="132">
        <v>81239428683</v>
      </c>
      <c r="S56" s="132" t="s">
        <v>276</v>
      </c>
    </row>
    <row r="57" spans="1:19" ht="18.95">
      <c r="A57" s="132">
        <v>56</v>
      </c>
      <c r="B57" s="132" t="s">
        <v>277</v>
      </c>
      <c r="C57" s="132" t="s">
        <v>20</v>
      </c>
      <c r="D57" s="132" t="s">
        <v>21</v>
      </c>
      <c r="E57" s="132" t="str">
        <f>IF(D57="DOSEN",VLOOKUP(B57,Dosen!B:Z,11,FALSE),VLOOKUP(B57,TPA!B:Z,7,FALSE))</f>
        <v>AA</v>
      </c>
      <c r="F57" s="132" t="s">
        <v>235</v>
      </c>
      <c r="G57" s="132">
        <v>22940003</v>
      </c>
      <c r="H57" s="132">
        <v>719109401</v>
      </c>
      <c r="I57" s="150" t="s">
        <v>278</v>
      </c>
      <c r="J57" s="149" t="str">
        <f>IF(D57="DOSEN",VLOOKUP(B57,Dosen!B:Z,7,FALSE),VLOOKUP(B57,TPA!B:Z,5,FALSE))</f>
        <v>PROFESIONAL</v>
      </c>
      <c r="K57" s="132" t="s">
        <v>30</v>
      </c>
      <c r="L57" s="132" t="s">
        <v>279</v>
      </c>
      <c r="M57" s="132" t="str">
        <f>IF(D57="DOSEN",VLOOKUP(B57,Dosen!B:ZZ,33,FALSE),VLOOKUP(B57,TPA!B:ZZ,44,FALSE))</f>
        <v>S2</v>
      </c>
      <c r="N57" s="146">
        <v>44627</v>
      </c>
      <c r="O57" s="146"/>
      <c r="P57" s="151" t="str">
        <f t="shared" ca="1" si="0"/>
        <v xml:space="preserve">3 tahun 10 bulan </v>
      </c>
      <c r="Q57" s="132" t="s">
        <v>280</v>
      </c>
      <c r="R57" s="132">
        <v>81357644374</v>
      </c>
      <c r="S57" s="132" t="s">
        <v>281</v>
      </c>
    </row>
    <row r="58" spans="1:19" ht="18.95">
      <c r="A58" s="132">
        <v>57</v>
      </c>
      <c r="B58" s="132" t="s">
        <v>282</v>
      </c>
      <c r="C58" s="132" t="s">
        <v>20</v>
      </c>
      <c r="D58" s="132" t="s">
        <v>21</v>
      </c>
      <c r="E58" s="132" t="str">
        <f>IF(D58="DOSEN",VLOOKUP(B58,Dosen!B:Z,11,FALSE),VLOOKUP(B58,TPA!B:Z,7,FALSE))</f>
        <v>AA</v>
      </c>
      <c r="F58" s="132" t="s">
        <v>235</v>
      </c>
      <c r="G58" s="132">
        <v>22940040</v>
      </c>
      <c r="H58" s="132">
        <v>710089403</v>
      </c>
      <c r="I58" s="150" t="s">
        <v>283</v>
      </c>
      <c r="J58" s="149" t="str">
        <f>IF(D58="DOSEN",VLOOKUP(B58,Dosen!B:Z,7,FALSE),VLOOKUP(B58,TPA!B:Z,5,FALSE))</f>
        <v>PROFESIONAL</v>
      </c>
      <c r="K58" s="132" t="s">
        <v>30</v>
      </c>
      <c r="L58" s="132" t="s">
        <v>57</v>
      </c>
      <c r="M58" s="132" t="str">
        <f>IF(D58="DOSEN",VLOOKUP(B58,Dosen!B:ZZ,33,FALSE),VLOOKUP(B58,TPA!B:ZZ,44,FALSE))</f>
        <v>S2</v>
      </c>
      <c r="N58" s="146">
        <v>44832</v>
      </c>
      <c r="O58" s="146"/>
      <c r="P58" s="151" t="str">
        <f t="shared" ca="1" si="0"/>
        <v xml:space="preserve">3 tahun 3 bulan </v>
      </c>
      <c r="Q58" s="132" t="s">
        <v>284</v>
      </c>
      <c r="R58" s="132">
        <v>82229846221</v>
      </c>
      <c r="S58" s="132" t="s">
        <v>285</v>
      </c>
    </row>
    <row r="59" spans="1:19" ht="18.95">
      <c r="A59" s="132">
        <v>58</v>
      </c>
      <c r="B59" s="132" t="s">
        <v>286</v>
      </c>
      <c r="C59" s="132" t="s">
        <v>46</v>
      </c>
      <c r="D59" s="132" t="s">
        <v>21</v>
      </c>
      <c r="E59" s="132" t="str">
        <f>IF(D59="DOSEN",VLOOKUP(B59,Dosen!B:Z,11,FALSE),VLOOKUP(B59,TPA!B:Z,7,FALSE))</f>
        <v>NJAD</v>
      </c>
      <c r="F59" s="132" t="s">
        <v>235</v>
      </c>
      <c r="G59" s="132">
        <v>22930047</v>
      </c>
      <c r="H59" s="132">
        <v>707089302</v>
      </c>
      <c r="I59" s="150" t="s">
        <v>287</v>
      </c>
      <c r="J59" s="149" t="str">
        <f>IF(D59="DOSEN",VLOOKUP(B59,Dosen!B:Z,7,FALSE),VLOOKUP(B59,TPA!B:Z,5,FALSE))</f>
        <v>PROFESIONAL</v>
      </c>
      <c r="K59" s="132" t="s">
        <v>30</v>
      </c>
      <c r="L59" s="132" t="s">
        <v>57</v>
      </c>
      <c r="M59" s="132" t="str">
        <f>IF(D59="DOSEN",VLOOKUP(B59,Dosen!B:ZZ,33,FALSE),VLOOKUP(B59,TPA!B:ZZ,44,FALSE))</f>
        <v>S2</v>
      </c>
      <c r="N59" s="146">
        <v>44832</v>
      </c>
      <c r="O59" s="146">
        <v>45838</v>
      </c>
      <c r="P59" s="151" t="str">
        <f t="shared" ca="1" si="0"/>
        <v xml:space="preserve">2 tahun 9 bulan </v>
      </c>
      <c r="Q59" s="132" t="s">
        <v>288</v>
      </c>
      <c r="R59" s="132">
        <v>81321003564</v>
      </c>
      <c r="S59" s="132" t="s">
        <v>289</v>
      </c>
    </row>
    <row r="60" spans="1:19" ht="18.95">
      <c r="A60" s="132">
        <v>59</v>
      </c>
      <c r="B60" s="132" t="s">
        <v>290</v>
      </c>
      <c r="C60" s="132" t="s">
        <v>20</v>
      </c>
      <c r="D60" s="132" t="s">
        <v>21</v>
      </c>
      <c r="E60" s="132" t="str">
        <f>IF(D60="DOSEN",VLOOKUP(B60,Dosen!B:Z,11,FALSE),VLOOKUP(B60,TPA!B:Z,7,FALSE))</f>
        <v>AA</v>
      </c>
      <c r="F60" s="132" t="s">
        <v>235</v>
      </c>
      <c r="G60" s="132">
        <v>22960061</v>
      </c>
      <c r="H60" s="132">
        <v>729059601</v>
      </c>
      <c r="I60" s="150" t="s">
        <v>291</v>
      </c>
      <c r="J60" s="149" t="str">
        <f>IF(D60="DOSEN",VLOOKUP(B60,Dosen!B:Z,7,FALSE),VLOOKUP(B60,TPA!B:Z,5,FALSE))</f>
        <v>PROFESIONAL</v>
      </c>
      <c r="K60" s="132" t="s">
        <v>30</v>
      </c>
      <c r="L60" s="132" t="s">
        <v>57</v>
      </c>
      <c r="M60" s="132" t="str">
        <f>IF(D60="DOSEN",VLOOKUP(B60,Dosen!B:ZZ,33,FALSE),VLOOKUP(B60,TPA!B:ZZ,44,FALSE))</f>
        <v>S2</v>
      </c>
      <c r="N60" s="146">
        <v>44832</v>
      </c>
      <c r="O60" s="146"/>
      <c r="P60" s="151" t="str">
        <f t="shared" ca="1" si="0"/>
        <v xml:space="preserve">3 tahun 3 bulan </v>
      </c>
      <c r="Q60" s="132" t="s">
        <v>292</v>
      </c>
      <c r="R60" s="132">
        <v>82140046812</v>
      </c>
      <c r="S60" s="132" t="s">
        <v>293</v>
      </c>
    </row>
    <row r="61" spans="1:19" ht="18.95">
      <c r="A61" s="132">
        <v>60</v>
      </c>
      <c r="B61" s="132" t="s">
        <v>294</v>
      </c>
      <c r="C61" s="132" t="s">
        <v>20</v>
      </c>
      <c r="D61" s="132" t="s">
        <v>21</v>
      </c>
      <c r="E61" s="132" t="str">
        <f>IF(D61="DOSEN",VLOOKUP(B61,Dosen!B:Z,11,FALSE),VLOOKUP(B61,TPA!B:Z,7,FALSE))</f>
        <v>AA</v>
      </c>
      <c r="F61" s="132" t="s">
        <v>235</v>
      </c>
      <c r="G61" s="132">
        <v>22950050</v>
      </c>
      <c r="H61" s="132">
        <v>724099501</v>
      </c>
      <c r="I61" s="150" t="s">
        <v>295</v>
      </c>
      <c r="J61" s="149" t="str">
        <f>IF(D61="DOSEN",VLOOKUP(B61,Dosen!B:Z,7,FALSE),VLOOKUP(B61,TPA!B:Z,5,FALSE))</f>
        <v>PROFESIONAL</v>
      </c>
      <c r="K61" s="132" t="s">
        <v>30</v>
      </c>
      <c r="L61" s="132" t="s">
        <v>57</v>
      </c>
      <c r="M61" s="132" t="str">
        <f>IF(D61="DOSEN",VLOOKUP(B61,Dosen!B:ZZ,33,FALSE),VLOOKUP(B61,TPA!B:ZZ,44,FALSE))</f>
        <v>S2</v>
      </c>
      <c r="N61" s="146">
        <v>44832</v>
      </c>
      <c r="O61" s="146"/>
      <c r="P61" s="151" t="str">
        <f t="shared" ca="1" si="0"/>
        <v xml:space="preserve">3 tahun 3 bulan </v>
      </c>
      <c r="Q61" s="132" t="s">
        <v>296</v>
      </c>
      <c r="R61" s="132">
        <v>81359720852</v>
      </c>
      <c r="S61" s="132" t="s">
        <v>297</v>
      </c>
    </row>
    <row r="62" spans="1:19" ht="18.95">
      <c r="A62" s="132">
        <v>61</v>
      </c>
      <c r="B62" s="132" t="s">
        <v>298</v>
      </c>
      <c r="C62" s="132" t="s">
        <v>20</v>
      </c>
      <c r="D62" s="132" t="s">
        <v>21</v>
      </c>
      <c r="E62" s="132" t="str">
        <f>IF(D62="DOSEN",VLOOKUP(B62,Dosen!B:Z,11,FALSE),VLOOKUP(B62,TPA!B:Z,7,FALSE))</f>
        <v>AA</v>
      </c>
      <c r="F62" s="132" t="s">
        <v>235</v>
      </c>
      <c r="G62" s="132">
        <v>22900033</v>
      </c>
      <c r="H62" s="132">
        <v>714019002</v>
      </c>
      <c r="I62" s="150" t="s">
        <v>299</v>
      </c>
      <c r="J62" s="149" t="str">
        <f>IF(D62="DOSEN",VLOOKUP(B62,Dosen!B:Z,7,FALSE),VLOOKUP(B62,TPA!B:Z,5,FALSE))</f>
        <v>PROFESIONAL</v>
      </c>
      <c r="K62" s="132" t="s">
        <v>30</v>
      </c>
      <c r="L62" s="132" t="s">
        <v>176</v>
      </c>
      <c r="M62" s="132" t="str">
        <f>IF(D62="DOSEN",VLOOKUP(B62,Dosen!B:ZZ,33,FALSE),VLOOKUP(B62,TPA!B:ZZ,44,FALSE))</f>
        <v>S2</v>
      </c>
      <c r="N62" s="146">
        <v>44832</v>
      </c>
      <c r="O62" s="146"/>
      <c r="P62" s="151" t="str">
        <f t="shared" ca="1" si="0"/>
        <v xml:space="preserve">3 tahun 3 bulan </v>
      </c>
      <c r="Q62" s="132" t="s">
        <v>300</v>
      </c>
      <c r="R62" s="132">
        <v>81231358055</v>
      </c>
      <c r="S62" s="132" t="s">
        <v>301</v>
      </c>
    </row>
    <row r="63" spans="1:19" ht="18.95">
      <c r="A63" s="132">
        <v>62</v>
      </c>
      <c r="B63" s="132" t="s">
        <v>302</v>
      </c>
      <c r="C63" s="132" t="s">
        <v>20</v>
      </c>
      <c r="D63" s="132" t="s">
        <v>21</v>
      </c>
      <c r="E63" s="132" t="str">
        <f>IF(D63="DOSEN",VLOOKUP(B63,Dosen!B:Z,11,FALSE),VLOOKUP(B63,TPA!B:Z,7,FALSE))</f>
        <v>AA</v>
      </c>
      <c r="F63" s="132" t="s">
        <v>235</v>
      </c>
      <c r="G63" s="132">
        <v>22930045</v>
      </c>
      <c r="H63" s="132">
        <v>712039301</v>
      </c>
      <c r="I63" s="150" t="s">
        <v>303</v>
      </c>
      <c r="J63" s="149" t="str">
        <f>IF(D63="DOSEN",VLOOKUP(B63,Dosen!B:Z,7,FALSE),VLOOKUP(B63,TPA!B:Z,5,FALSE))</f>
        <v>PROFESIONAL</v>
      </c>
      <c r="K63" s="132" t="s">
        <v>30</v>
      </c>
      <c r="L63" s="132" t="s">
        <v>304</v>
      </c>
      <c r="M63" s="132" t="str">
        <f>IF(D63="DOSEN",VLOOKUP(B63,Dosen!B:ZZ,33,FALSE),VLOOKUP(B63,TPA!B:ZZ,44,FALSE))</f>
        <v>S3</v>
      </c>
      <c r="N63" s="146">
        <v>44832</v>
      </c>
      <c r="O63" s="146"/>
      <c r="P63" s="151" t="str">
        <f t="shared" ca="1" si="0"/>
        <v xml:space="preserve">3 tahun 3 bulan </v>
      </c>
      <c r="Q63" s="132" t="s">
        <v>305</v>
      </c>
      <c r="R63" s="132">
        <v>85288421363</v>
      </c>
      <c r="S63" s="132" t="s">
        <v>306</v>
      </c>
    </row>
    <row r="64" spans="1:19" ht="18.95">
      <c r="A64" s="132">
        <v>63</v>
      </c>
      <c r="B64" s="132" t="s">
        <v>307</v>
      </c>
      <c r="C64" s="132" t="s">
        <v>20</v>
      </c>
      <c r="D64" s="132" t="s">
        <v>21</v>
      </c>
      <c r="E64" s="132" t="str">
        <f>IF(D64="DOSEN",VLOOKUP(B64,Dosen!B:Z,11,FALSE),VLOOKUP(B64,TPA!B:Z,7,FALSE))</f>
        <v>AA</v>
      </c>
      <c r="F64" s="132" t="s">
        <v>235</v>
      </c>
      <c r="G64" s="132">
        <v>22920034</v>
      </c>
      <c r="H64" s="132">
        <v>715019202</v>
      </c>
      <c r="I64" s="150" t="s">
        <v>308</v>
      </c>
      <c r="J64" s="149" t="str">
        <f>IF(D64="DOSEN",VLOOKUP(B64,Dosen!B:Z,7,FALSE),VLOOKUP(B64,TPA!B:Z,5,FALSE))</f>
        <v>PROFESIONAL</v>
      </c>
      <c r="K64" s="132" t="s">
        <v>30</v>
      </c>
      <c r="L64" s="132" t="s">
        <v>309</v>
      </c>
      <c r="M64" s="132" t="str">
        <f>IF(D64="DOSEN",VLOOKUP(B64,Dosen!B:ZZ,33,FALSE),VLOOKUP(B64,TPA!B:ZZ,44,FALSE))</f>
        <v>S2</v>
      </c>
      <c r="N64" s="146">
        <v>44832</v>
      </c>
      <c r="O64" s="146"/>
      <c r="P64" s="151" t="str">
        <f t="shared" ca="1" si="0"/>
        <v xml:space="preserve">3 tahun 3 bulan </v>
      </c>
      <c r="Q64" s="132" t="s">
        <v>310</v>
      </c>
      <c r="R64" s="132">
        <v>82244983606</v>
      </c>
      <c r="S64" s="132" t="s">
        <v>311</v>
      </c>
    </row>
    <row r="65" spans="1:19" ht="18.95">
      <c r="A65" s="132">
        <v>64</v>
      </c>
      <c r="B65" s="132" t="s">
        <v>312</v>
      </c>
      <c r="C65" s="132" t="s">
        <v>20</v>
      </c>
      <c r="D65" s="132" t="s">
        <v>21</v>
      </c>
      <c r="E65" s="132" t="str">
        <f>IF(D65="DOSEN",VLOOKUP(B65,Dosen!B:Z,11,FALSE),VLOOKUP(B65,TPA!B:Z,7,FALSE))</f>
        <v>AA</v>
      </c>
      <c r="F65" s="132" t="s">
        <v>235</v>
      </c>
      <c r="G65" s="132">
        <v>22980046</v>
      </c>
      <c r="H65" s="132">
        <v>702049801</v>
      </c>
      <c r="I65" s="150" t="s">
        <v>313</v>
      </c>
      <c r="J65" s="149" t="str">
        <f>IF(D65="DOSEN",VLOOKUP(B65,Dosen!B:Z,7,FALSE),VLOOKUP(B65,TPA!B:Z,5,FALSE))</f>
        <v>PROFESIONAL</v>
      </c>
      <c r="K65" s="132" t="s">
        <v>30</v>
      </c>
      <c r="L65" s="132" t="s">
        <v>57</v>
      </c>
      <c r="M65" s="132" t="str">
        <f>IF(D65="DOSEN",VLOOKUP(B65,Dosen!B:ZZ,33,FALSE),VLOOKUP(B65,TPA!B:ZZ,44,FALSE))</f>
        <v>S2</v>
      </c>
      <c r="N65" s="146">
        <v>44832</v>
      </c>
      <c r="O65" s="146"/>
      <c r="P65" s="151" t="str">
        <f t="shared" ca="1" si="0"/>
        <v xml:space="preserve">3 tahun 3 bulan </v>
      </c>
      <c r="Q65" s="132" t="s">
        <v>314</v>
      </c>
      <c r="R65" s="132">
        <v>81336546637</v>
      </c>
      <c r="S65" s="132" t="s">
        <v>315</v>
      </c>
    </row>
    <row r="66" spans="1:19" ht="18.95">
      <c r="A66" s="132">
        <v>65</v>
      </c>
      <c r="B66" s="132" t="s">
        <v>316</v>
      </c>
      <c r="C66" s="132" t="s">
        <v>20</v>
      </c>
      <c r="D66" s="132" t="s">
        <v>21</v>
      </c>
      <c r="E66" s="132" t="str">
        <f>IF(D66="DOSEN",VLOOKUP(B66,Dosen!B:Z,11,FALSE),VLOOKUP(B66,TPA!B:Z,7,FALSE))</f>
        <v>AA</v>
      </c>
      <c r="F66" s="132" t="s">
        <v>235</v>
      </c>
      <c r="G66" s="132">
        <v>22940041</v>
      </c>
      <c r="H66" s="132">
        <v>10109403</v>
      </c>
      <c r="I66" s="150" t="s">
        <v>317</v>
      </c>
      <c r="J66" s="149" t="str">
        <f>IF(D66="DOSEN",VLOOKUP(B66,Dosen!B:Z,7,FALSE),VLOOKUP(B66,TPA!B:Z,5,FALSE))</f>
        <v>PROFESIONAL</v>
      </c>
      <c r="K66" s="132" t="s">
        <v>30</v>
      </c>
      <c r="L66" s="132" t="s">
        <v>318</v>
      </c>
      <c r="M66" s="132" t="str">
        <f>IF(D66="DOSEN",VLOOKUP(B66,Dosen!B:ZZ,33,FALSE),VLOOKUP(B66,TPA!B:ZZ,44,FALSE))</f>
        <v>S3</v>
      </c>
      <c r="N66" s="146">
        <v>44832</v>
      </c>
      <c r="O66" s="146"/>
      <c r="P66" s="151" t="str">
        <f t="shared" ca="1" si="0"/>
        <v xml:space="preserve">3 tahun 3 bulan </v>
      </c>
      <c r="Q66" s="132" t="s">
        <v>319</v>
      </c>
      <c r="R66" s="132">
        <v>81333283721</v>
      </c>
      <c r="S66" s="132" t="s">
        <v>320</v>
      </c>
    </row>
    <row r="67" spans="1:19" ht="18.95">
      <c r="A67" s="132">
        <v>66</v>
      </c>
      <c r="B67" s="132" t="s">
        <v>321</v>
      </c>
      <c r="C67" s="132" t="s">
        <v>20</v>
      </c>
      <c r="D67" s="132" t="s">
        <v>21</v>
      </c>
      <c r="E67" s="132" t="str">
        <f>IF(D67="DOSEN",VLOOKUP(B67,Dosen!B:Z,11,FALSE),VLOOKUP(B67,TPA!B:Z,7,FALSE))</f>
        <v>AA</v>
      </c>
      <c r="F67" s="132" t="s">
        <v>235</v>
      </c>
      <c r="G67" s="132">
        <v>19900008</v>
      </c>
      <c r="H67" s="132">
        <v>703129001</v>
      </c>
      <c r="I67" s="150" t="s">
        <v>322</v>
      </c>
      <c r="J67" s="149" t="str">
        <f>IF(D67="DOSEN",VLOOKUP(B67,Dosen!B:Z,7,FALSE),VLOOKUP(B67,TPA!B:Z,5,FALSE))</f>
        <v>TETAP</v>
      </c>
      <c r="K67" s="132" t="s">
        <v>30</v>
      </c>
      <c r="L67" s="132" t="s">
        <v>57</v>
      </c>
      <c r="M67" s="132" t="str">
        <f>IF(D67="DOSEN",VLOOKUP(B67,Dosen!B:ZZ,33,FALSE),VLOOKUP(B67,TPA!B:ZZ,44,FALSE))</f>
        <v>S2</v>
      </c>
      <c r="N67" s="146">
        <v>43101</v>
      </c>
      <c r="O67" s="146"/>
      <c r="P67" s="151" t="str">
        <f t="shared" ref="P67:P130" ca="1" si="1">IF(O67="",DATEDIF(N67,TODAY(),"y")&amp;" tahun "&amp;DATEDIF(N67,TODAY(),"ym")&amp;" bulan ",DATEDIF(N67,O67,"y")&amp;" tahun "&amp;DATEDIF(N67,O67,"ym")&amp;" bulan ")</f>
        <v xml:space="preserve">8 tahun 0 bulan </v>
      </c>
      <c r="Q67" s="132" t="s">
        <v>323</v>
      </c>
      <c r="R67" s="132">
        <v>82229243603</v>
      </c>
      <c r="S67" s="132" t="s">
        <v>324</v>
      </c>
    </row>
    <row r="68" spans="1:19" ht="18.95">
      <c r="A68" s="132">
        <v>67</v>
      </c>
      <c r="B68" s="132" t="s">
        <v>325</v>
      </c>
      <c r="C68" s="132" t="s">
        <v>20</v>
      </c>
      <c r="D68" s="132" t="s">
        <v>21</v>
      </c>
      <c r="E68" s="132" t="str">
        <f>IF(D68="DOSEN",VLOOKUP(B68,Dosen!B:Z,11,FALSE),VLOOKUP(B68,TPA!B:Z,7,FALSE))</f>
        <v>NJAD</v>
      </c>
      <c r="F68" s="132" t="s">
        <v>235</v>
      </c>
      <c r="G68" s="132">
        <v>23990020</v>
      </c>
      <c r="H68" s="149">
        <v>722079901</v>
      </c>
      <c r="I68" s="169" t="s">
        <v>326</v>
      </c>
      <c r="J68" s="149" t="str">
        <f>IF(D68="DOSEN",VLOOKUP(B68,Dosen!B:Z,7,FALSE),VLOOKUP(B68,TPA!B:Z,5,FALSE))</f>
        <v>PROFESIONAL</v>
      </c>
      <c r="K68" s="156" t="s">
        <v>30</v>
      </c>
      <c r="L68" s="132" t="s">
        <v>57</v>
      </c>
      <c r="M68" s="132" t="str">
        <f>IF(D68="DOSEN",VLOOKUP(B68,Dosen!B:ZZ,33,FALSE),VLOOKUP(B68,TPA!B:ZZ,44,FALSE))</f>
        <v>S2</v>
      </c>
      <c r="N68" s="146">
        <v>45170</v>
      </c>
      <c r="O68" s="146"/>
      <c r="P68" s="151" t="str">
        <f t="shared" ca="1" si="1"/>
        <v xml:space="preserve">2 tahun 4 bulan </v>
      </c>
      <c r="Q68" s="132" t="s">
        <v>327</v>
      </c>
      <c r="R68" s="132">
        <v>85200022100</v>
      </c>
      <c r="S68" s="132" t="s">
        <v>328</v>
      </c>
    </row>
    <row r="69" spans="1:19" ht="18.95">
      <c r="A69" s="132">
        <v>68</v>
      </c>
      <c r="B69" s="132" t="s">
        <v>329</v>
      </c>
      <c r="C69" s="132" t="s">
        <v>20</v>
      </c>
      <c r="D69" s="132" t="s">
        <v>21</v>
      </c>
      <c r="E69" s="132" t="str">
        <f>IF(D69="DOSEN",VLOOKUP(B69,Dosen!B:Z,11,FALSE),VLOOKUP(B69,TPA!B:Z,7,FALSE))</f>
        <v>AA</v>
      </c>
      <c r="F69" s="132" t="s">
        <v>330</v>
      </c>
      <c r="G69" s="132">
        <v>19920003</v>
      </c>
      <c r="H69" s="132">
        <v>704069202</v>
      </c>
      <c r="I69" s="150" t="s">
        <v>331</v>
      </c>
      <c r="J69" s="149" t="str">
        <f>IF(D69="DOSEN",VLOOKUP(B69,Dosen!B:Z,7,FALSE),VLOOKUP(B69,TPA!B:Z,5,FALSE))</f>
        <v>TETAP</v>
      </c>
      <c r="K69" s="132" t="s">
        <v>30</v>
      </c>
      <c r="L69" s="132" t="s">
        <v>257</v>
      </c>
      <c r="M69" s="132" t="str">
        <f>IF(D69="DOSEN",VLOOKUP(B69,Dosen!B:ZZ,33,FALSE),VLOOKUP(B69,TPA!B:ZZ,44,FALSE))</f>
        <v>S3</v>
      </c>
      <c r="N69" s="146">
        <v>43101</v>
      </c>
      <c r="O69" s="146"/>
      <c r="P69" s="151" t="str">
        <f t="shared" ca="1" si="1"/>
        <v xml:space="preserve">8 tahun 0 bulan </v>
      </c>
      <c r="Q69" s="132" t="s">
        <v>332</v>
      </c>
      <c r="R69" s="132">
        <v>81360805290</v>
      </c>
      <c r="S69" s="132" t="s">
        <v>333</v>
      </c>
    </row>
    <row r="70" spans="1:19" ht="18.95">
      <c r="A70" s="132">
        <v>69</v>
      </c>
      <c r="B70" s="132" t="s">
        <v>334</v>
      </c>
      <c r="C70" s="132" t="s">
        <v>20</v>
      </c>
      <c r="D70" s="132" t="s">
        <v>21</v>
      </c>
      <c r="E70" s="132" t="str">
        <f>IF(D70="DOSEN",VLOOKUP(B70,Dosen!B:Z,11,FALSE),VLOOKUP(B70,TPA!B:Z,7,FALSE))</f>
        <v>L</v>
      </c>
      <c r="F70" s="132" t="s">
        <v>330</v>
      </c>
      <c r="G70" s="132">
        <v>19930001</v>
      </c>
      <c r="H70" s="132">
        <v>725059301</v>
      </c>
      <c r="I70" s="150" t="s">
        <v>335</v>
      </c>
      <c r="J70" s="149" t="str">
        <f>IF(D70="DOSEN",VLOOKUP(B70,Dosen!B:Z,7,FALSE),VLOOKUP(B70,TPA!B:Z,5,FALSE))</f>
        <v>TETAP</v>
      </c>
      <c r="K70" s="132" t="s">
        <v>30</v>
      </c>
      <c r="L70" s="132" t="s">
        <v>336</v>
      </c>
      <c r="M70" s="132" t="str">
        <f>IF(D70="DOSEN",VLOOKUP(B70,Dosen!B:ZZ,33,FALSE),VLOOKUP(B70,TPA!B:ZZ,44,FALSE))</f>
        <v>S3</v>
      </c>
      <c r="N70" s="146">
        <v>43101</v>
      </c>
      <c r="O70" s="146"/>
      <c r="P70" s="151" t="str">
        <f t="shared" ca="1" si="1"/>
        <v xml:space="preserve">8 tahun 0 bulan </v>
      </c>
      <c r="Q70" s="132" t="s">
        <v>337</v>
      </c>
      <c r="R70" s="132">
        <v>81335397727</v>
      </c>
      <c r="S70" s="132" t="s">
        <v>338</v>
      </c>
    </row>
    <row r="71" spans="1:19" ht="18.95">
      <c r="A71" s="132">
        <v>70</v>
      </c>
      <c r="B71" s="132" t="s">
        <v>339</v>
      </c>
      <c r="C71" s="132" t="s">
        <v>20</v>
      </c>
      <c r="D71" s="132" t="s">
        <v>21</v>
      </c>
      <c r="E71" s="132" t="str">
        <f>IF(D71="DOSEN",VLOOKUP(B71,Dosen!B:Z,11,FALSE),VLOOKUP(B71,TPA!B:Z,7,FALSE))</f>
        <v>AA</v>
      </c>
      <c r="F71" s="132" t="s">
        <v>330</v>
      </c>
      <c r="G71" s="132">
        <v>19870005</v>
      </c>
      <c r="H71" s="132">
        <v>713068702</v>
      </c>
      <c r="I71" s="150" t="s">
        <v>340</v>
      </c>
      <c r="J71" s="149" t="str">
        <f>IF(D71="DOSEN",VLOOKUP(B71,Dosen!B:Z,7,FALSE),VLOOKUP(B71,TPA!B:Z,5,FALSE))</f>
        <v>TETAP</v>
      </c>
      <c r="K71" s="132" t="s">
        <v>30</v>
      </c>
      <c r="L71" s="132" t="s">
        <v>176</v>
      </c>
      <c r="M71" s="132" t="str">
        <f>IF(D71="DOSEN",VLOOKUP(B71,Dosen!B:ZZ,33,FALSE),VLOOKUP(B71,TPA!B:ZZ,44,FALSE))</f>
        <v>S2</v>
      </c>
      <c r="N71" s="146">
        <v>43101</v>
      </c>
      <c r="O71" s="146"/>
      <c r="P71" s="151" t="str">
        <f t="shared" ca="1" si="1"/>
        <v xml:space="preserve">8 tahun 0 bulan </v>
      </c>
      <c r="Q71" s="152" t="s">
        <v>341</v>
      </c>
      <c r="R71" s="132">
        <v>82134340781</v>
      </c>
      <c r="S71" s="132" t="s">
        <v>342</v>
      </c>
    </row>
    <row r="72" spans="1:19" ht="18.95">
      <c r="A72" s="132">
        <v>71</v>
      </c>
      <c r="B72" s="132" t="s">
        <v>343</v>
      </c>
      <c r="C72" s="132" t="s">
        <v>20</v>
      </c>
      <c r="D72" s="132" t="s">
        <v>21</v>
      </c>
      <c r="E72" s="132" t="str">
        <f>IF(D72="DOSEN",VLOOKUP(B72,Dosen!B:Z,11,FALSE),VLOOKUP(B72,TPA!B:Z,7,FALSE))</f>
        <v>L</v>
      </c>
      <c r="F72" s="132" t="s">
        <v>330</v>
      </c>
      <c r="G72" s="132">
        <v>19920002</v>
      </c>
      <c r="H72" s="132">
        <v>728059203</v>
      </c>
      <c r="I72" s="150" t="s">
        <v>344</v>
      </c>
      <c r="J72" s="149" t="str">
        <f>IF(D72="DOSEN",VLOOKUP(B72,Dosen!B:Z,7,FALSE),VLOOKUP(B72,TPA!B:Z,5,FALSE))</f>
        <v>TETAP</v>
      </c>
      <c r="K72" s="132" t="s">
        <v>143</v>
      </c>
      <c r="L72" s="132" t="s">
        <v>176</v>
      </c>
      <c r="M72" s="132" t="str">
        <f>IF(D72="DOSEN",VLOOKUP(B72,Dosen!B:ZZ,33,FALSE),VLOOKUP(B72,TPA!B:ZZ,44,FALSE))</f>
        <v>S3</v>
      </c>
      <c r="N72" s="146">
        <v>43101</v>
      </c>
      <c r="O72" s="146"/>
      <c r="P72" s="151" t="str">
        <f t="shared" ca="1" si="1"/>
        <v xml:space="preserve">8 tahun 0 bulan </v>
      </c>
      <c r="Q72" s="132" t="s">
        <v>345</v>
      </c>
      <c r="R72" s="132">
        <v>85234852155</v>
      </c>
      <c r="S72" s="132" t="s">
        <v>346</v>
      </c>
    </row>
    <row r="73" spans="1:19" ht="18.95">
      <c r="A73" s="132">
        <v>72</v>
      </c>
      <c r="B73" s="132" t="s">
        <v>347</v>
      </c>
      <c r="C73" s="132" t="s">
        <v>20</v>
      </c>
      <c r="D73" s="132" t="s">
        <v>21</v>
      </c>
      <c r="E73" s="132" t="str">
        <f>IF(D73="DOSEN",VLOOKUP(B73,Dosen!B:Z,11,FALSE),VLOOKUP(B73,TPA!B:Z,7,FALSE))</f>
        <v>L</v>
      </c>
      <c r="F73" s="132" t="s">
        <v>330</v>
      </c>
      <c r="G73" s="132">
        <v>19920004</v>
      </c>
      <c r="H73" s="132">
        <v>706069201</v>
      </c>
      <c r="I73" s="150" t="s">
        <v>348</v>
      </c>
      <c r="J73" s="149" t="str">
        <f>IF(D73="DOSEN",VLOOKUP(B73,Dosen!B:Z,7,FALSE),VLOOKUP(B73,TPA!B:Z,5,FALSE))</f>
        <v>TETAP</v>
      </c>
      <c r="K73" s="132" t="s">
        <v>30</v>
      </c>
      <c r="L73" s="132" t="s">
        <v>349</v>
      </c>
      <c r="M73" s="132" t="str">
        <f>IF(D73="DOSEN",VLOOKUP(B73,Dosen!B:ZZ,33,FALSE),VLOOKUP(B73,TPA!B:ZZ,44,FALSE))</f>
        <v>S2</v>
      </c>
      <c r="N73" s="146">
        <v>43101</v>
      </c>
      <c r="O73" s="146"/>
      <c r="P73" s="151" t="str">
        <f t="shared" ca="1" si="1"/>
        <v xml:space="preserve">8 tahun 0 bulan </v>
      </c>
      <c r="Q73" s="132" t="s">
        <v>350</v>
      </c>
      <c r="R73" s="132">
        <v>82143903133</v>
      </c>
      <c r="S73" s="132" t="s">
        <v>351</v>
      </c>
    </row>
    <row r="74" spans="1:19" ht="18.95">
      <c r="A74" s="132">
        <v>73</v>
      </c>
      <c r="B74" s="132" t="s">
        <v>352</v>
      </c>
      <c r="C74" s="132" t="s">
        <v>20</v>
      </c>
      <c r="D74" s="132" t="s">
        <v>21</v>
      </c>
      <c r="E74" s="132" t="str">
        <f>IF(D74="DOSEN",VLOOKUP(B74,Dosen!B:Z,11,FALSE),VLOOKUP(B74,TPA!B:Z,7,FALSE))</f>
        <v>AA</v>
      </c>
      <c r="F74" s="132" t="s">
        <v>330</v>
      </c>
      <c r="G74" s="132">
        <v>19880005</v>
      </c>
      <c r="H74" s="132">
        <v>721068802</v>
      </c>
      <c r="I74" s="150" t="s">
        <v>353</v>
      </c>
      <c r="J74" s="149" t="str">
        <f>IF(D74="DOSEN",VLOOKUP(B74,Dosen!B:Z,7,FALSE),VLOOKUP(B74,TPA!B:Z,5,FALSE))</f>
        <v>TETAP</v>
      </c>
      <c r="K74" s="132" t="s">
        <v>30</v>
      </c>
      <c r="L74" s="132" t="s">
        <v>354</v>
      </c>
      <c r="M74" s="132" t="str">
        <f>IF(D74="DOSEN",VLOOKUP(B74,Dosen!B:ZZ,33,FALSE),VLOOKUP(B74,TPA!B:ZZ,44,FALSE))</f>
        <v>S2</v>
      </c>
      <c r="N74" s="146">
        <v>43101</v>
      </c>
      <c r="O74" s="146"/>
      <c r="P74" s="151" t="str">
        <f t="shared" ca="1" si="1"/>
        <v xml:space="preserve">8 tahun 0 bulan </v>
      </c>
      <c r="Q74" s="132" t="s">
        <v>355</v>
      </c>
      <c r="R74" s="132">
        <v>81232573646</v>
      </c>
      <c r="S74" s="132" t="s">
        <v>356</v>
      </c>
    </row>
    <row r="75" spans="1:19" ht="18.95">
      <c r="A75" s="132">
        <v>74</v>
      </c>
      <c r="B75" s="132" t="s">
        <v>357</v>
      </c>
      <c r="C75" s="132" t="s">
        <v>20</v>
      </c>
      <c r="D75" s="132" t="s">
        <v>21</v>
      </c>
      <c r="E75" s="132" t="str">
        <f>IF(D75="DOSEN",VLOOKUP(B75,Dosen!B:Z,11,FALSE),VLOOKUP(B75,TPA!B:Z,7,FALSE))</f>
        <v>NJAD</v>
      </c>
      <c r="F75" s="132" t="s">
        <v>330</v>
      </c>
      <c r="G75" s="132">
        <v>21950014</v>
      </c>
      <c r="H75" s="132">
        <v>727069503</v>
      </c>
      <c r="I75" s="150" t="s">
        <v>358</v>
      </c>
      <c r="J75" s="149" t="str">
        <f>IF(D75="DOSEN",VLOOKUP(B75,Dosen!B:Z,7,FALSE),VLOOKUP(B75,TPA!B:Z,5,FALSE))</f>
        <v>PROFESIONAL</v>
      </c>
      <c r="K75" s="132" t="s">
        <v>30</v>
      </c>
      <c r="L75" s="132" t="s">
        <v>176</v>
      </c>
      <c r="M75" s="132" t="str">
        <f>IF(D75="DOSEN",VLOOKUP(B75,Dosen!B:ZZ,33,FALSE),VLOOKUP(B75,TPA!B:ZZ,44,FALSE))</f>
        <v>S2</v>
      </c>
      <c r="N75" s="146">
        <v>44832</v>
      </c>
      <c r="O75" s="146"/>
      <c r="P75" s="151" t="str">
        <f t="shared" ca="1" si="1"/>
        <v xml:space="preserve">3 tahun 3 bulan </v>
      </c>
      <c r="Q75" s="132" t="s">
        <v>359</v>
      </c>
      <c r="R75" s="132">
        <v>81234464242</v>
      </c>
      <c r="S75" s="132" t="s">
        <v>360</v>
      </c>
    </row>
    <row r="76" spans="1:19" ht="18.95">
      <c r="A76" s="132">
        <v>75</v>
      </c>
      <c r="B76" s="132" t="s">
        <v>361</v>
      </c>
      <c r="C76" s="132" t="s">
        <v>20</v>
      </c>
      <c r="D76" s="132" t="s">
        <v>21</v>
      </c>
      <c r="E76" s="132" t="str">
        <f>IF(D76="DOSEN",VLOOKUP(B76,Dosen!B:Z,11,FALSE),VLOOKUP(B76,TPA!B:Z,7,FALSE))</f>
        <v>L</v>
      </c>
      <c r="F76" s="132" t="s">
        <v>330</v>
      </c>
      <c r="G76" s="149">
        <v>20900019</v>
      </c>
      <c r="H76" s="149">
        <v>705109006</v>
      </c>
      <c r="I76" s="169" t="s">
        <v>362</v>
      </c>
      <c r="J76" s="149" t="str">
        <f>IF(D76="DOSEN",VLOOKUP(B76,Dosen!B:Z,7,FALSE),VLOOKUP(B76,TPA!B:Z,5,FALSE))</f>
        <v>PROFESIONAL</v>
      </c>
      <c r="K76" s="149" t="s">
        <v>143</v>
      </c>
      <c r="L76" s="149" t="s">
        <v>363</v>
      </c>
      <c r="M76" s="132" t="str">
        <f>IF(D76="DOSEN",VLOOKUP(B76,Dosen!B:ZZ,33,FALSE),VLOOKUP(B76,TPA!B:ZZ,44,FALSE))</f>
        <v>S3</v>
      </c>
      <c r="N76" s="146">
        <v>43885</v>
      </c>
      <c r="O76" s="146"/>
      <c r="P76" s="151" t="str">
        <f t="shared" ca="1" si="1"/>
        <v xml:space="preserve">5 tahun 10 bulan </v>
      </c>
      <c r="Q76" s="132" t="s">
        <v>364</v>
      </c>
      <c r="R76" s="132">
        <v>82140058468</v>
      </c>
      <c r="S76" s="132" t="s">
        <v>365</v>
      </c>
    </row>
    <row r="77" spans="1:19" ht="18.95">
      <c r="A77" s="132">
        <v>76</v>
      </c>
      <c r="B77" s="132" t="s">
        <v>366</v>
      </c>
      <c r="C77" s="132" t="s">
        <v>46</v>
      </c>
      <c r="D77" s="132" t="s">
        <v>21</v>
      </c>
      <c r="E77" s="132" t="str">
        <f>IF(D77="DOSEN",VLOOKUP(B77,Dosen!B:Z,11,FALSE),VLOOKUP(B77,TPA!B:Z,7,FALSE))</f>
        <v>GB</v>
      </c>
      <c r="F77" s="132" t="s">
        <v>330</v>
      </c>
      <c r="G77" s="132">
        <v>19700004</v>
      </c>
      <c r="H77" s="149">
        <v>12027005</v>
      </c>
      <c r="I77" s="149"/>
      <c r="J77" s="149" t="str">
        <f>IF(D77="DOSEN",VLOOKUP(B77,Dosen!B:Z,7,FALSE),VLOOKUP(B77,TPA!B:Z,5,FALSE))</f>
        <v>PERBANTUAN</v>
      </c>
      <c r="K77" s="132" t="s">
        <v>367</v>
      </c>
      <c r="L77" s="132" t="s">
        <v>176</v>
      </c>
      <c r="M77" s="132" t="str">
        <f>IF(D77="DOSEN",VLOOKUP(B77,Dosen!B:ZZ,33,FALSE),VLOOKUP(B77,TPA!B:ZZ,44,FALSE))</f>
        <v>S3</v>
      </c>
      <c r="N77" s="146">
        <v>43770</v>
      </c>
      <c r="O77" s="146">
        <v>45761</v>
      </c>
      <c r="P77" s="151" t="str">
        <f t="shared" ca="1" si="1"/>
        <v xml:space="preserve">5 tahun 5 bulan </v>
      </c>
      <c r="Q77" s="132" t="s">
        <v>368</v>
      </c>
      <c r="R77" s="132" t="s">
        <v>30</v>
      </c>
      <c r="S77" s="132" t="s">
        <v>30</v>
      </c>
    </row>
    <row r="78" spans="1:19" ht="18.95">
      <c r="A78" s="132">
        <v>77</v>
      </c>
      <c r="B78" s="132" t="s">
        <v>369</v>
      </c>
      <c r="C78" s="132" t="s">
        <v>20</v>
      </c>
      <c r="D78" s="132" t="s">
        <v>21</v>
      </c>
      <c r="E78" s="132" t="str">
        <f>IF(D78="DOSEN",VLOOKUP(B78,Dosen!B:Z,11,FALSE),VLOOKUP(B78,TPA!B:Z,7,FALSE))</f>
        <v>L</v>
      </c>
      <c r="F78" s="132" t="s">
        <v>370</v>
      </c>
      <c r="G78" s="132">
        <v>23880010</v>
      </c>
      <c r="H78" s="132">
        <v>401078801</v>
      </c>
      <c r="I78" s="150" t="s">
        <v>371</v>
      </c>
      <c r="J78" s="149" t="str">
        <f>IF(D78="DOSEN",VLOOKUP(B78,Dosen!B:Z,7,FALSE),VLOOKUP(B78,TPA!B:Z,5,FALSE))</f>
        <v>TETAP</v>
      </c>
      <c r="K78" s="132" t="s">
        <v>30</v>
      </c>
      <c r="L78" s="132" t="s">
        <v>176</v>
      </c>
      <c r="M78" s="132" t="str">
        <f>IF(D78="DOSEN",VLOOKUP(B78,Dosen!B:ZZ,33,FALSE),VLOOKUP(B78,TPA!B:ZZ,44,FALSE))</f>
        <v>S2</v>
      </c>
      <c r="N78" s="146">
        <v>44013</v>
      </c>
      <c r="O78" s="146"/>
      <c r="P78" s="151" t="str">
        <f t="shared" ca="1" si="1"/>
        <v xml:space="preserve">5 tahun 6 bulan </v>
      </c>
      <c r="Q78" s="132" t="s">
        <v>372</v>
      </c>
      <c r="R78" s="132">
        <v>81395224118</v>
      </c>
      <c r="S78" s="132" t="s">
        <v>373</v>
      </c>
    </row>
    <row r="79" spans="1:19" ht="18.95">
      <c r="A79" s="132">
        <v>78</v>
      </c>
      <c r="B79" s="132" t="s">
        <v>374</v>
      </c>
      <c r="C79" s="132" t="s">
        <v>20</v>
      </c>
      <c r="D79" s="132" t="s">
        <v>21</v>
      </c>
      <c r="E79" s="132" t="str">
        <f>IF(D79="DOSEN",VLOOKUP(B79,Dosen!B:Z,11,FALSE),VLOOKUP(B79,TPA!B:Z,7,FALSE))</f>
        <v>L</v>
      </c>
      <c r="F79" s="132" t="s">
        <v>370</v>
      </c>
      <c r="G79" s="132">
        <v>20930043</v>
      </c>
      <c r="H79" s="132">
        <v>703119301</v>
      </c>
      <c r="I79" s="150" t="s">
        <v>375</v>
      </c>
      <c r="J79" s="149" t="str">
        <f>IF(D79="DOSEN",VLOOKUP(B79,Dosen!B:Z,7,FALSE),VLOOKUP(B79,TPA!B:Z,5,FALSE))</f>
        <v>TETAP</v>
      </c>
      <c r="K79" s="132" t="s">
        <v>30</v>
      </c>
      <c r="L79" s="132" t="s">
        <v>176</v>
      </c>
      <c r="M79" s="132" t="str">
        <f>IF(D79="DOSEN",VLOOKUP(B79,Dosen!B:ZZ,33,FALSE),VLOOKUP(B79,TPA!B:ZZ,44,FALSE))</f>
        <v>S3</v>
      </c>
      <c r="N79" s="146">
        <v>43282</v>
      </c>
      <c r="O79" s="146"/>
      <c r="P79" s="151" t="str">
        <f t="shared" ca="1" si="1"/>
        <v xml:space="preserve">7 tahun 6 bulan </v>
      </c>
      <c r="Q79" s="132" t="s">
        <v>376</v>
      </c>
      <c r="R79" s="132">
        <v>81329464686</v>
      </c>
      <c r="S79" s="132" t="s">
        <v>377</v>
      </c>
    </row>
    <row r="80" spans="1:19" ht="18.95">
      <c r="A80" s="132">
        <v>79</v>
      </c>
      <c r="B80" s="132" t="s">
        <v>378</v>
      </c>
      <c r="C80" s="132" t="s">
        <v>20</v>
      </c>
      <c r="D80" s="132" t="s">
        <v>21</v>
      </c>
      <c r="E80" s="132" t="str">
        <f>IF(D80="DOSEN",VLOOKUP(B80,Dosen!B:Z,11,FALSE),VLOOKUP(B80,TPA!B:Z,7,FALSE))</f>
        <v>AA</v>
      </c>
      <c r="F80" s="132" t="s">
        <v>370</v>
      </c>
      <c r="G80" s="132">
        <v>20920036</v>
      </c>
      <c r="H80" s="132">
        <v>725059202</v>
      </c>
      <c r="I80" s="150" t="s">
        <v>379</v>
      </c>
      <c r="J80" s="149" t="str">
        <f>IF(D80="DOSEN",VLOOKUP(B80,Dosen!B:Z,7,FALSE),VLOOKUP(B80,TPA!B:Z,5,FALSE))</f>
        <v>TETAP</v>
      </c>
      <c r="K80" s="132" t="s">
        <v>30</v>
      </c>
      <c r="L80" s="132" t="s">
        <v>176</v>
      </c>
      <c r="M80" s="132" t="str">
        <f>IF(D80="DOSEN",VLOOKUP(B80,Dosen!B:ZZ,33,FALSE),VLOOKUP(B80,TPA!B:ZZ,44,FALSE))</f>
        <v>S2</v>
      </c>
      <c r="N80" s="146">
        <v>43101</v>
      </c>
      <c r="O80" s="146"/>
      <c r="P80" s="151" t="str">
        <f t="shared" ca="1" si="1"/>
        <v xml:space="preserve">8 tahun 0 bulan </v>
      </c>
      <c r="Q80" s="152" t="s">
        <v>380</v>
      </c>
      <c r="R80" s="132">
        <v>82231018193</v>
      </c>
      <c r="S80" s="132" t="s">
        <v>381</v>
      </c>
    </row>
    <row r="81" spans="1:19" ht="18.95">
      <c r="A81" s="132">
        <v>80</v>
      </c>
      <c r="B81" s="132" t="s">
        <v>382</v>
      </c>
      <c r="C81" s="132" t="s">
        <v>20</v>
      </c>
      <c r="D81" s="132" t="s">
        <v>21</v>
      </c>
      <c r="E81" s="132" t="str">
        <f>IF(D81="DOSEN",VLOOKUP(B81,Dosen!B:Z,11,FALSE),VLOOKUP(B81,TPA!B:Z,7,FALSE))</f>
        <v>L</v>
      </c>
      <c r="F81" s="132" t="s">
        <v>370</v>
      </c>
      <c r="G81" s="132">
        <v>20930036</v>
      </c>
      <c r="H81" s="132">
        <v>711069301</v>
      </c>
      <c r="I81" s="150" t="s">
        <v>383</v>
      </c>
      <c r="J81" s="149" t="str">
        <f>IF(D81="DOSEN",VLOOKUP(B81,Dosen!B:Z,7,FALSE),VLOOKUP(B81,TPA!B:Z,5,FALSE))</f>
        <v>TETAP</v>
      </c>
      <c r="K81" s="132" t="s">
        <v>30</v>
      </c>
      <c r="L81" s="132" t="s">
        <v>176</v>
      </c>
      <c r="M81" s="132" t="str">
        <f>IF(D81="DOSEN",VLOOKUP(B81,Dosen!B:ZZ,33,FALSE),VLOOKUP(B81,TPA!B:ZZ,44,FALSE))</f>
        <v>S2</v>
      </c>
      <c r="N81" s="146">
        <v>43282</v>
      </c>
      <c r="O81" s="146"/>
      <c r="P81" s="151" t="str">
        <f t="shared" ca="1" si="1"/>
        <v xml:space="preserve">7 tahun 6 bulan </v>
      </c>
      <c r="Q81" s="132" t="s">
        <v>384</v>
      </c>
      <c r="R81" s="132">
        <v>81221804899</v>
      </c>
      <c r="S81" s="132" t="s">
        <v>385</v>
      </c>
    </row>
    <row r="82" spans="1:19" ht="18.95">
      <c r="A82" s="132">
        <v>81</v>
      </c>
      <c r="B82" s="132" t="s">
        <v>386</v>
      </c>
      <c r="C82" s="132" t="s">
        <v>20</v>
      </c>
      <c r="D82" s="132" t="s">
        <v>21</v>
      </c>
      <c r="E82" s="132" t="str">
        <f>IF(D82="DOSEN",VLOOKUP(B82,Dosen!B:Z,11,FALSE),VLOOKUP(B82,TPA!B:Z,7,FALSE))</f>
        <v>AA</v>
      </c>
      <c r="F82" s="132" t="s">
        <v>370</v>
      </c>
      <c r="G82" s="132">
        <v>22960010</v>
      </c>
      <c r="H82" s="132">
        <v>523119601</v>
      </c>
      <c r="I82" s="150" t="s">
        <v>387</v>
      </c>
      <c r="J82" s="149" t="str">
        <f>IF(D82="DOSEN",VLOOKUP(B82,Dosen!B:Z,7,FALSE),VLOOKUP(B82,TPA!B:Z,5,FALSE))</f>
        <v>PROFESIONAL</v>
      </c>
      <c r="K82" s="132" t="s">
        <v>30</v>
      </c>
      <c r="L82" s="132" t="s">
        <v>176</v>
      </c>
      <c r="M82" s="132" t="str">
        <f>IF(D82="DOSEN",VLOOKUP(B82,Dosen!B:ZZ,33,FALSE),VLOOKUP(B82,TPA!B:ZZ,44,FALSE))</f>
        <v>S2</v>
      </c>
      <c r="N82" s="146">
        <v>44627</v>
      </c>
      <c r="O82" s="146"/>
      <c r="P82" s="151" t="str">
        <f t="shared" ca="1" si="1"/>
        <v xml:space="preserve">3 tahun 10 bulan </v>
      </c>
      <c r="Q82" s="152" t="s">
        <v>388</v>
      </c>
      <c r="R82" s="132">
        <v>82213601320</v>
      </c>
      <c r="S82" s="132" t="s">
        <v>389</v>
      </c>
    </row>
    <row r="83" spans="1:19" ht="18.95">
      <c r="A83" s="132">
        <v>82</v>
      </c>
      <c r="B83" s="132" t="s">
        <v>390</v>
      </c>
      <c r="C83" s="132" t="s">
        <v>46</v>
      </c>
      <c r="D83" s="132" t="s">
        <v>21</v>
      </c>
      <c r="E83" s="132" t="str">
        <f>IF(D83="DOSEN",VLOOKUP(B83,Dosen!B:Z,11,FALSE),VLOOKUP(B83,TPA!B:Z,7,FALSE))</f>
        <v>NJAD</v>
      </c>
      <c r="F83" s="132" t="s">
        <v>370</v>
      </c>
      <c r="G83" s="132">
        <v>22950052</v>
      </c>
      <c r="H83" s="132">
        <v>704129501</v>
      </c>
      <c r="I83" s="132"/>
      <c r="J83" s="149" t="str">
        <f>IF(D83="DOSEN",VLOOKUP(B83,Dosen!B:Z,7,FALSE),VLOOKUP(B83,TPA!B:Z,5,FALSE))</f>
        <v>PROFESIONAL</v>
      </c>
      <c r="K83" s="132" t="s">
        <v>30</v>
      </c>
      <c r="L83" s="132" t="s">
        <v>176</v>
      </c>
      <c r="M83" s="132" t="str">
        <f>IF(D83="DOSEN",VLOOKUP(B83,Dosen!B:ZZ,33,FALSE),VLOOKUP(B83,TPA!B:ZZ,44,FALSE))</f>
        <v>S2</v>
      </c>
      <c r="N83" s="146">
        <v>44832</v>
      </c>
      <c r="O83" s="146">
        <v>45535</v>
      </c>
      <c r="P83" s="151" t="str">
        <f t="shared" ca="1" si="1"/>
        <v xml:space="preserve">1 tahun 11 bulan </v>
      </c>
      <c r="Q83" s="132" t="s">
        <v>391</v>
      </c>
      <c r="R83" s="132">
        <v>81287562288</v>
      </c>
      <c r="S83" s="132" t="s">
        <v>392</v>
      </c>
    </row>
    <row r="84" spans="1:19" ht="18.95">
      <c r="A84" s="132">
        <v>83</v>
      </c>
      <c r="B84" s="132" t="s">
        <v>393</v>
      </c>
      <c r="C84" s="132" t="s">
        <v>20</v>
      </c>
      <c r="D84" s="132" t="s">
        <v>21</v>
      </c>
      <c r="E84" s="132" t="str">
        <f>IF(D84="DOSEN",VLOOKUP(B84,Dosen!B:Z,11,FALSE),VLOOKUP(B84,TPA!B:Z,7,FALSE))</f>
        <v>AA</v>
      </c>
      <c r="F84" s="132" t="s">
        <v>370</v>
      </c>
      <c r="G84" s="132">
        <v>22970044</v>
      </c>
      <c r="H84" s="132">
        <v>719079702</v>
      </c>
      <c r="I84" s="150" t="s">
        <v>394</v>
      </c>
      <c r="J84" s="149" t="str">
        <f>IF(D84="DOSEN",VLOOKUP(B84,Dosen!B:Z,7,FALSE),VLOOKUP(B84,TPA!B:Z,5,FALSE))</f>
        <v>PROFESIONAL</v>
      </c>
      <c r="K84" s="132" t="s">
        <v>30</v>
      </c>
      <c r="L84" s="132" t="s">
        <v>395</v>
      </c>
      <c r="M84" s="132" t="str">
        <f>IF(D84="DOSEN",VLOOKUP(B84,Dosen!B:ZZ,33,FALSE),VLOOKUP(B84,TPA!B:ZZ,44,FALSE))</f>
        <v>S2</v>
      </c>
      <c r="N84" s="146">
        <v>44832</v>
      </c>
      <c r="O84" s="146"/>
      <c r="P84" s="151" t="str">
        <f t="shared" ca="1" si="1"/>
        <v xml:space="preserve">3 tahun 3 bulan </v>
      </c>
      <c r="Q84" s="132" t="s">
        <v>396</v>
      </c>
      <c r="R84" s="132">
        <v>81333596409</v>
      </c>
      <c r="S84" s="132" t="s">
        <v>397</v>
      </c>
    </row>
    <row r="85" spans="1:19" ht="18.95">
      <c r="A85" s="132">
        <v>84</v>
      </c>
      <c r="B85" s="132" t="s">
        <v>398</v>
      </c>
      <c r="C85" s="132" t="s">
        <v>20</v>
      </c>
      <c r="D85" s="132" t="s">
        <v>21</v>
      </c>
      <c r="E85" s="132" t="str">
        <f>IF(D85="DOSEN",VLOOKUP(B85,Dosen!B:Z,11,FALSE),VLOOKUP(B85,TPA!B:Z,7,FALSE))</f>
        <v>AA</v>
      </c>
      <c r="F85" s="132" t="s">
        <v>370</v>
      </c>
      <c r="G85" s="132">
        <v>23970026</v>
      </c>
      <c r="H85" s="149">
        <v>718099702</v>
      </c>
      <c r="I85" s="169" t="s">
        <v>399</v>
      </c>
      <c r="J85" s="149" t="str">
        <f>IF(D85="DOSEN",VLOOKUP(B85,Dosen!B:Z,7,FALSE),VLOOKUP(B85,TPA!B:Z,5,FALSE))</f>
        <v>PROFESIONAL</v>
      </c>
      <c r="K85" s="156" t="s">
        <v>30</v>
      </c>
      <c r="L85" s="132" t="s">
        <v>176</v>
      </c>
      <c r="M85" s="132" t="str">
        <f>IF(D85="DOSEN",VLOOKUP(B85,Dosen!B:ZZ,33,FALSE),VLOOKUP(B85,TPA!B:ZZ,44,FALSE))</f>
        <v>S2</v>
      </c>
      <c r="N85" s="146">
        <v>45170</v>
      </c>
      <c r="O85" s="146"/>
      <c r="P85" s="151" t="str">
        <f t="shared" ca="1" si="1"/>
        <v xml:space="preserve">2 tahun 4 bulan </v>
      </c>
      <c r="Q85" s="132" t="s">
        <v>400</v>
      </c>
      <c r="R85" s="132">
        <v>82228377835</v>
      </c>
      <c r="S85" s="132" t="s">
        <v>401</v>
      </c>
    </row>
    <row r="86" spans="1:19" ht="18.95">
      <c r="A86" s="132">
        <v>85</v>
      </c>
      <c r="B86" s="132" t="s">
        <v>402</v>
      </c>
      <c r="C86" s="132" t="s">
        <v>20</v>
      </c>
      <c r="D86" s="132" t="s">
        <v>21</v>
      </c>
      <c r="E86" s="132" t="str">
        <f>IF(D86="DOSEN",VLOOKUP(B86,Dosen!B:Z,11,FALSE),VLOOKUP(B86,TPA!B:Z,7,FALSE))</f>
        <v>NJAD</v>
      </c>
      <c r="F86" s="132" t="s">
        <v>370</v>
      </c>
      <c r="G86" s="132">
        <v>22950019</v>
      </c>
      <c r="H86" s="149">
        <v>706019502</v>
      </c>
      <c r="I86" s="169" t="s">
        <v>403</v>
      </c>
      <c r="J86" s="149" t="str">
        <f>IF(D86="DOSEN",VLOOKUP(B86,Dosen!B:Z,7,FALSE),VLOOKUP(B86,TPA!B:Z,5,FALSE))</f>
        <v>TETAP</v>
      </c>
      <c r="K86" s="156" t="s">
        <v>30</v>
      </c>
      <c r="L86" s="132" t="s">
        <v>176</v>
      </c>
      <c r="M86" s="132" t="str">
        <f>IF(D86="DOSEN",VLOOKUP(B86,Dosen!B:ZZ,33,FALSE),VLOOKUP(B86,TPA!B:ZZ,44,FALSE))</f>
        <v>S2</v>
      </c>
      <c r="N86" s="146">
        <v>45170</v>
      </c>
      <c r="O86" s="146"/>
      <c r="P86" s="151" t="str">
        <f t="shared" ca="1" si="1"/>
        <v xml:space="preserve">2 tahun 4 bulan </v>
      </c>
      <c r="Q86" s="132" t="s">
        <v>404</v>
      </c>
      <c r="R86" s="132">
        <v>81295227089</v>
      </c>
      <c r="S86" s="132" t="s">
        <v>405</v>
      </c>
    </row>
    <row r="87" spans="1:19" ht="18.95">
      <c r="A87" s="132">
        <v>86</v>
      </c>
      <c r="B87" s="132" t="s">
        <v>406</v>
      </c>
      <c r="C87" s="132" t="s">
        <v>46</v>
      </c>
      <c r="D87" s="132" t="s">
        <v>21</v>
      </c>
      <c r="E87" s="132" t="str">
        <f>IF(D87="DOSEN",VLOOKUP(B87,Dosen!B:Z,11,FALSE),VLOOKUP(B87,TPA!B:Z,7,FALSE))</f>
        <v>LK</v>
      </c>
      <c r="F87" s="132" t="s">
        <v>370</v>
      </c>
      <c r="G87" s="132">
        <v>20690002</v>
      </c>
      <c r="H87" s="149">
        <v>7056901</v>
      </c>
      <c r="I87" s="149"/>
      <c r="J87" s="149" t="str">
        <f>IF(D87="DOSEN",VLOOKUP(B87,Dosen!B:Z,7,FALSE),VLOOKUP(B87,TPA!B:Z,5,FALSE))</f>
        <v>PERBANTUAN</v>
      </c>
      <c r="K87" s="132" t="s">
        <v>143</v>
      </c>
      <c r="L87" s="132" t="s">
        <v>176</v>
      </c>
      <c r="M87" s="132" t="str">
        <f>IF(D87="DOSEN",VLOOKUP(B87,Dosen!B:ZZ,33,FALSE),VLOOKUP(B87,TPA!B:ZZ,44,FALSE))</f>
        <v>S3</v>
      </c>
      <c r="N87" s="146">
        <v>43882</v>
      </c>
      <c r="O87" s="146">
        <v>45761</v>
      </c>
      <c r="P87" s="151" t="str">
        <f t="shared" ca="1" si="1"/>
        <v xml:space="preserve">5 tahun 1 bulan </v>
      </c>
      <c r="Q87" s="132" t="s">
        <v>407</v>
      </c>
      <c r="R87" s="132" t="s">
        <v>30</v>
      </c>
      <c r="S87" s="132" t="s">
        <v>30</v>
      </c>
    </row>
    <row r="88" spans="1:19" ht="18.95">
      <c r="A88" s="132">
        <v>87</v>
      </c>
      <c r="B88" s="132" t="s">
        <v>408</v>
      </c>
      <c r="C88" s="132" t="s">
        <v>20</v>
      </c>
      <c r="D88" s="132" t="s">
        <v>21</v>
      </c>
      <c r="E88" s="132" t="str">
        <f>IF(D88="DOSEN",VLOOKUP(B88,Dosen!B:Z,11,FALSE),VLOOKUP(B88,TPA!B:Z,7,FALSE))</f>
        <v>L</v>
      </c>
      <c r="F88" s="132" t="s">
        <v>370</v>
      </c>
      <c r="G88" s="132">
        <v>19870002</v>
      </c>
      <c r="H88" s="132">
        <v>702048705</v>
      </c>
      <c r="I88" s="150" t="s">
        <v>409</v>
      </c>
      <c r="J88" s="149" t="str">
        <f>IF(D88="DOSEN",VLOOKUP(B88,Dosen!B:Z,7,FALSE),VLOOKUP(B88,TPA!B:Z,5,FALSE))</f>
        <v>TETAP</v>
      </c>
      <c r="K88" s="132" t="s">
        <v>30</v>
      </c>
      <c r="L88" s="132" t="s">
        <v>162</v>
      </c>
      <c r="M88" s="132" t="str">
        <f>IF(D88="DOSEN",VLOOKUP(B88,Dosen!B:ZZ,33,FALSE),VLOOKUP(B88,TPA!B:ZZ,44,FALSE))</f>
        <v>S2</v>
      </c>
      <c r="N88" s="146">
        <v>43101</v>
      </c>
      <c r="O88" s="146"/>
      <c r="P88" s="151" t="str">
        <f t="shared" ca="1" si="1"/>
        <v xml:space="preserve">8 tahun 0 bulan </v>
      </c>
      <c r="Q88" s="132" t="s">
        <v>410</v>
      </c>
      <c r="R88" s="132">
        <v>81217225716</v>
      </c>
      <c r="S88" s="132" t="s">
        <v>411</v>
      </c>
    </row>
    <row r="89" spans="1:19" ht="18.95">
      <c r="A89" s="132">
        <v>88</v>
      </c>
      <c r="B89" s="132" t="s">
        <v>412</v>
      </c>
      <c r="C89" s="132" t="s">
        <v>20</v>
      </c>
      <c r="D89" s="132" t="s">
        <v>21</v>
      </c>
      <c r="E89" s="132" t="str">
        <f>IF(D89="DOSEN",VLOOKUP(B89,Dosen!B:Z,11,FALSE),VLOOKUP(B89,TPA!B:Z,7,FALSE))</f>
        <v>L</v>
      </c>
      <c r="F89" s="132" t="s">
        <v>413</v>
      </c>
      <c r="G89" s="132">
        <v>20930033</v>
      </c>
      <c r="H89" s="132">
        <v>714029301</v>
      </c>
      <c r="I89" s="150" t="s">
        <v>414</v>
      </c>
      <c r="J89" s="149" t="str">
        <f>IF(D89="DOSEN",VLOOKUP(B89,Dosen!B:Z,7,FALSE),VLOOKUP(B89,TPA!B:Z,5,FALSE))</f>
        <v>TETAP</v>
      </c>
      <c r="K89" s="132" t="s">
        <v>30</v>
      </c>
      <c r="L89" s="132" t="s">
        <v>354</v>
      </c>
      <c r="M89" s="132" t="str">
        <f>IF(D89="DOSEN",VLOOKUP(B89,Dosen!B:ZZ,33,FALSE),VLOOKUP(B89,TPA!B:ZZ,44,FALSE))</f>
        <v>S2</v>
      </c>
      <c r="N89" s="146">
        <v>43282</v>
      </c>
      <c r="O89" s="146"/>
      <c r="P89" s="151" t="str">
        <f t="shared" ca="1" si="1"/>
        <v xml:space="preserve">7 tahun 6 bulan </v>
      </c>
      <c r="Q89" s="132" t="s">
        <v>415</v>
      </c>
      <c r="R89" s="132">
        <v>81241833022</v>
      </c>
      <c r="S89" s="132" t="s">
        <v>416</v>
      </c>
    </row>
    <row r="90" spans="1:19" ht="18.95">
      <c r="A90" s="132">
        <v>89</v>
      </c>
      <c r="B90" s="132" t="s">
        <v>417</v>
      </c>
      <c r="C90" s="132" t="s">
        <v>20</v>
      </c>
      <c r="D90" s="132" t="s">
        <v>21</v>
      </c>
      <c r="E90" s="132" t="str">
        <f>IF(D90="DOSEN",VLOOKUP(B90,Dosen!B:Z,11,FALSE),VLOOKUP(B90,TPA!B:Z,7,FALSE))</f>
        <v>NJAD</v>
      </c>
      <c r="F90" s="132" t="s">
        <v>413</v>
      </c>
      <c r="G90" s="132">
        <v>17910092</v>
      </c>
      <c r="H90" s="132">
        <v>701129102</v>
      </c>
      <c r="I90" s="150" t="s">
        <v>418</v>
      </c>
      <c r="J90" s="149" t="str">
        <f>IF(D90="DOSEN",VLOOKUP(B90,Dosen!B:Z,7,FALSE),VLOOKUP(B90,TPA!B:Z,5,FALSE))</f>
        <v>PROFESIONAL</v>
      </c>
      <c r="K90" s="132" t="s">
        <v>30</v>
      </c>
      <c r="L90" s="132" t="s">
        <v>419</v>
      </c>
      <c r="M90" s="132" t="str">
        <f>IF(D90="DOSEN",VLOOKUP(B90,Dosen!B:ZZ,33,FALSE),VLOOKUP(B90,TPA!B:ZZ,44,FALSE))</f>
        <v>S3</v>
      </c>
      <c r="N90" s="146">
        <v>43101</v>
      </c>
      <c r="O90" s="146"/>
      <c r="P90" s="151" t="str">
        <f t="shared" ca="1" si="1"/>
        <v xml:space="preserve">8 tahun 0 bulan </v>
      </c>
      <c r="Q90" s="132" t="s">
        <v>420</v>
      </c>
      <c r="R90" s="132">
        <v>81226595253</v>
      </c>
      <c r="S90" s="132" t="s">
        <v>421</v>
      </c>
    </row>
    <row r="91" spans="1:19" ht="18.95">
      <c r="A91" s="132">
        <v>90</v>
      </c>
      <c r="B91" s="132" t="s">
        <v>422</v>
      </c>
      <c r="C91" s="132" t="s">
        <v>20</v>
      </c>
      <c r="D91" s="132" t="s">
        <v>21</v>
      </c>
      <c r="E91" s="132" t="str">
        <f>IF(D91="DOSEN",VLOOKUP(B91,Dosen!B:Z,11,FALSE),VLOOKUP(B91,TPA!B:Z,7,FALSE))</f>
        <v>AA</v>
      </c>
      <c r="F91" s="132" t="s">
        <v>413</v>
      </c>
      <c r="G91" s="132">
        <v>20830012</v>
      </c>
      <c r="H91" s="132">
        <v>721058310</v>
      </c>
      <c r="I91" s="150" t="s">
        <v>423</v>
      </c>
      <c r="J91" s="149" t="str">
        <f>IF(D91="DOSEN",VLOOKUP(B91,Dosen!B:Z,7,FALSE),VLOOKUP(B91,TPA!B:Z,5,FALSE))</f>
        <v>TETAP</v>
      </c>
      <c r="K91" s="132" t="s">
        <v>30</v>
      </c>
      <c r="L91" s="132" t="s">
        <v>424</v>
      </c>
      <c r="M91" s="132" t="str">
        <f>IF(D91="DOSEN",VLOOKUP(B91,Dosen!B:ZZ,33,FALSE),VLOOKUP(B91,TPA!B:ZZ,44,FALSE))</f>
        <v>S2</v>
      </c>
      <c r="N91" s="146">
        <v>43282</v>
      </c>
      <c r="O91" s="146"/>
      <c r="P91" s="151" t="str">
        <f t="shared" ca="1" si="1"/>
        <v xml:space="preserve">7 tahun 6 bulan </v>
      </c>
      <c r="Q91" s="132" t="s">
        <v>425</v>
      </c>
      <c r="R91" s="132">
        <v>85258754375</v>
      </c>
      <c r="S91" s="132" t="s">
        <v>426</v>
      </c>
    </row>
    <row r="92" spans="1:19" ht="18.95">
      <c r="A92" s="132">
        <v>91</v>
      </c>
      <c r="B92" s="132" t="s">
        <v>427</v>
      </c>
      <c r="C92" s="132" t="s">
        <v>20</v>
      </c>
      <c r="D92" s="132" t="s">
        <v>21</v>
      </c>
      <c r="E92" s="132" t="str">
        <f>IF(D92="DOSEN",VLOOKUP(B92,Dosen!B:Z,11,FALSE),VLOOKUP(B92,TPA!B:Z,7,FALSE))</f>
        <v>L</v>
      </c>
      <c r="F92" s="132" t="s">
        <v>413</v>
      </c>
      <c r="G92" s="132">
        <v>22730002</v>
      </c>
      <c r="H92" s="132">
        <v>727097302</v>
      </c>
      <c r="I92" s="150" t="s">
        <v>428</v>
      </c>
      <c r="J92" s="149" t="str">
        <f>IF(D92="DOSEN",VLOOKUP(B92,Dosen!B:Z,7,FALSE),VLOOKUP(B92,TPA!B:Z,5,FALSE))</f>
        <v>TETAP</v>
      </c>
      <c r="K92" s="132" t="s">
        <v>143</v>
      </c>
      <c r="L92" s="132" t="s">
        <v>429</v>
      </c>
      <c r="M92" s="132" t="str">
        <f>IF(D92="DOSEN",VLOOKUP(B92,Dosen!B:ZZ,33,FALSE),VLOOKUP(B92,TPA!B:ZZ,44,FALSE))</f>
        <v>S3</v>
      </c>
      <c r="N92" s="146">
        <v>44075</v>
      </c>
      <c r="O92" s="146"/>
      <c r="P92" s="151" t="str">
        <f t="shared" ca="1" si="1"/>
        <v xml:space="preserve">5 tahun 4 bulan </v>
      </c>
      <c r="Q92" s="132" t="s">
        <v>430</v>
      </c>
      <c r="R92" s="132">
        <v>81216170645</v>
      </c>
      <c r="S92" s="132" t="s">
        <v>431</v>
      </c>
    </row>
    <row r="93" spans="1:19" ht="18.95">
      <c r="A93" s="132">
        <v>92</v>
      </c>
      <c r="B93" s="132" t="s">
        <v>432</v>
      </c>
      <c r="C93" s="132" t="s">
        <v>46</v>
      </c>
      <c r="D93" s="132" t="s">
        <v>21</v>
      </c>
      <c r="E93" s="132" t="str">
        <f>IF(D93="DOSEN",VLOOKUP(B93,Dosen!B:Z,11,FALSE),VLOOKUP(B93,TPA!B:Z,7,FALSE))</f>
        <v>AA</v>
      </c>
      <c r="F93" s="132" t="s">
        <v>413</v>
      </c>
      <c r="G93" s="132">
        <v>23910011</v>
      </c>
      <c r="H93" s="132">
        <v>303069102</v>
      </c>
      <c r="I93" s="132"/>
      <c r="J93" s="149" t="str">
        <f>IF(D93="DOSEN",VLOOKUP(B93,Dosen!B:Z,7,FALSE),VLOOKUP(B93,TPA!B:Z,5,FALSE))</f>
        <v>PROFESIONAL</v>
      </c>
      <c r="K93" s="132" t="s">
        <v>30</v>
      </c>
      <c r="L93" s="132" t="s">
        <v>354</v>
      </c>
      <c r="M93" s="132" t="str">
        <f>IF(D93="DOSEN",VLOOKUP(B93,Dosen!B:ZZ,33,FALSE),VLOOKUP(B93,TPA!B:ZZ,44,FALSE))</f>
        <v>S2</v>
      </c>
      <c r="N93" s="146">
        <v>44562</v>
      </c>
      <c r="O93" s="146">
        <v>45473</v>
      </c>
      <c r="P93" s="151" t="str">
        <f t="shared" ca="1" si="1"/>
        <v xml:space="preserve">2 tahun 5 bulan </v>
      </c>
      <c r="Q93" s="132" t="s">
        <v>433</v>
      </c>
      <c r="R93" s="132">
        <v>82143778029</v>
      </c>
      <c r="S93" s="132" t="s">
        <v>434</v>
      </c>
    </row>
    <row r="94" spans="1:19" ht="18.95">
      <c r="A94" s="132">
        <v>93</v>
      </c>
      <c r="B94" s="132" t="s">
        <v>435</v>
      </c>
      <c r="C94" s="132" t="s">
        <v>46</v>
      </c>
      <c r="D94" s="132" t="s">
        <v>21</v>
      </c>
      <c r="E94" s="132" t="str">
        <f>IF(D94="DOSEN",VLOOKUP(B94,Dosen!B:Z,11,FALSE),VLOOKUP(B94,TPA!B:Z,7,FALSE))</f>
        <v>AA</v>
      </c>
      <c r="F94" s="132" t="s">
        <v>413</v>
      </c>
      <c r="G94" s="148">
        <v>22930046</v>
      </c>
      <c r="H94" s="148">
        <v>604059302</v>
      </c>
      <c r="I94" s="148"/>
      <c r="J94" s="149" t="str">
        <f>IF(D94="DOSEN",VLOOKUP(B94,Dosen!B:Z,7,FALSE),VLOOKUP(B94,TPA!B:Z,5,FALSE))</f>
        <v>PROFESIONAL</v>
      </c>
      <c r="K94" s="148" t="s">
        <v>30</v>
      </c>
      <c r="L94" s="148" t="s">
        <v>176</v>
      </c>
      <c r="M94" s="132" t="str">
        <f>IF(D94="DOSEN",VLOOKUP(B94,Dosen!B:ZZ,33,FALSE),VLOOKUP(B94,TPA!B:ZZ,44,FALSE))</f>
        <v>S2</v>
      </c>
      <c r="N94" s="147">
        <v>44832</v>
      </c>
      <c r="O94" s="146">
        <v>45169</v>
      </c>
      <c r="P94" s="151" t="str">
        <f t="shared" ca="1" si="1"/>
        <v xml:space="preserve">0 tahun 11 bulan </v>
      </c>
      <c r="Q94" s="148" t="s">
        <v>436</v>
      </c>
      <c r="R94" s="148">
        <v>82137220958</v>
      </c>
      <c r="S94" s="148" t="s">
        <v>437</v>
      </c>
    </row>
    <row r="95" spans="1:19" ht="18.95">
      <c r="A95" s="132">
        <v>94</v>
      </c>
      <c r="B95" s="132" t="s">
        <v>438</v>
      </c>
      <c r="C95" s="132" t="s">
        <v>20</v>
      </c>
      <c r="D95" s="132" t="s">
        <v>21</v>
      </c>
      <c r="E95" s="132" t="str">
        <f>IF(D95="DOSEN",VLOOKUP(B95,Dosen!B:Z,11,FALSE),VLOOKUP(B95,TPA!B:Z,7,FALSE))</f>
        <v>L</v>
      </c>
      <c r="F95" s="132" t="s">
        <v>413</v>
      </c>
      <c r="G95" s="132">
        <v>19880003</v>
      </c>
      <c r="H95" s="132">
        <v>727048809</v>
      </c>
      <c r="I95" s="150" t="s">
        <v>439</v>
      </c>
      <c r="J95" s="149" t="str">
        <f>IF(D95="DOSEN",VLOOKUP(B95,Dosen!B:Z,7,FALSE),VLOOKUP(B95,TPA!B:Z,5,FALSE))</f>
        <v>TETAP</v>
      </c>
      <c r="K95" s="132" t="s">
        <v>30</v>
      </c>
      <c r="L95" s="132" t="s">
        <v>354</v>
      </c>
      <c r="M95" s="132" t="str">
        <f>IF(D95="DOSEN",VLOOKUP(B95,Dosen!B:ZZ,33,FALSE),VLOOKUP(B95,TPA!B:ZZ,44,FALSE))</f>
        <v>S2</v>
      </c>
      <c r="N95" s="146">
        <v>43101</v>
      </c>
      <c r="O95" s="146"/>
      <c r="P95" s="151" t="str">
        <f t="shared" ca="1" si="1"/>
        <v xml:space="preserve">8 tahun 0 bulan </v>
      </c>
      <c r="Q95" s="154" t="s">
        <v>440</v>
      </c>
      <c r="R95" s="132">
        <v>82336823404</v>
      </c>
      <c r="S95" s="132" t="s">
        <v>441</v>
      </c>
    </row>
    <row r="96" spans="1:19" ht="18.95">
      <c r="A96" s="132">
        <v>95</v>
      </c>
      <c r="B96" s="132" t="s">
        <v>442</v>
      </c>
      <c r="C96" s="132" t="s">
        <v>20</v>
      </c>
      <c r="D96" s="132" t="s">
        <v>21</v>
      </c>
      <c r="E96" s="132" t="str">
        <f>IF(D96="DOSEN",VLOOKUP(B96,Dosen!B:Z,11,FALSE),VLOOKUP(B96,TPA!B:Z,7,FALSE))</f>
        <v>AA</v>
      </c>
      <c r="F96" s="132" t="s">
        <v>413</v>
      </c>
      <c r="G96" s="132">
        <v>23910008</v>
      </c>
      <c r="H96" s="149">
        <v>404109105</v>
      </c>
      <c r="I96" s="169" t="s">
        <v>443</v>
      </c>
      <c r="J96" s="149" t="str">
        <f>IF(D96="DOSEN",VLOOKUP(B96,Dosen!B:Z,7,FALSE),VLOOKUP(B96,TPA!B:Z,5,FALSE))</f>
        <v>PROFESIONAL</v>
      </c>
      <c r="K96" s="156" t="s">
        <v>30</v>
      </c>
      <c r="L96" s="132" t="s">
        <v>444</v>
      </c>
      <c r="M96" s="132" t="str">
        <f>IF(D96="DOSEN",VLOOKUP(B96,Dosen!B:ZZ,33,FALSE),VLOOKUP(B96,TPA!B:ZZ,44,FALSE))</f>
        <v>S2</v>
      </c>
      <c r="N96" s="146">
        <v>45170</v>
      </c>
      <c r="O96" s="146"/>
      <c r="P96" s="151" t="str">
        <f t="shared" ca="1" si="1"/>
        <v xml:space="preserve">2 tahun 4 bulan </v>
      </c>
      <c r="Q96" s="132" t="s">
        <v>445</v>
      </c>
      <c r="R96" s="132">
        <v>81945944686</v>
      </c>
      <c r="S96" s="132" t="s">
        <v>446</v>
      </c>
    </row>
    <row r="97" spans="1:19" ht="18.95">
      <c r="A97" s="132">
        <v>96</v>
      </c>
      <c r="B97" s="132" t="s">
        <v>447</v>
      </c>
      <c r="C97" s="132" t="s">
        <v>20</v>
      </c>
      <c r="D97" s="132" t="s">
        <v>21</v>
      </c>
      <c r="E97" s="132" t="str">
        <f>IF(D97="DOSEN",VLOOKUP(B97,Dosen!B:Z,11,FALSE),VLOOKUP(B97,TPA!B:Z,7,FALSE))</f>
        <v>L</v>
      </c>
      <c r="F97" s="132" t="s">
        <v>448</v>
      </c>
      <c r="G97" s="132">
        <v>19900001</v>
      </c>
      <c r="H97" s="132">
        <v>702039003</v>
      </c>
      <c r="I97" s="150" t="s">
        <v>449</v>
      </c>
      <c r="J97" s="149" t="str">
        <f>IF(D97="DOSEN",VLOOKUP(B97,Dosen!B:Z,7,FALSE),VLOOKUP(B97,TPA!B:Z,5,FALSE))</f>
        <v>TETAP</v>
      </c>
      <c r="K97" s="132" t="s">
        <v>30</v>
      </c>
      <c r="L97" s="132" t="s">
        <v>450</v>
      </c>
      <c r="M97" s="132" t="str">
        <f>IF(D97="DOSEN",VLOOKUP(B97,Dosen!B:ZZ,33,FALSE),VLOOKUP(B97,TPA!B:ZZ,44,FALSE))</f>
        <v>S3</v>
      </c>
      <c r="N97" s="146">
        <v>43282</v>
      </c>
      <c r="O97" s="146"/>
      <c r="P97" s="151" t="str">
        <f t="shared" ca="1" si="1"/>
        <v xml:space="preserve">7 tahun 6 bulan </v>
      </c>
      <c r="Q97" s="132" t="s">
        <v>451</v>
      </c>
      <c r="R97" s="132">
        <v>82142628195</v>
      </c>
      <c r="S97" s="132" t="s">
        <v>452</v>
      </c>
    </row>
    <row r="98" spans="1:19" ht="18.95">
      <c r="A98" s="132">
        <v>97</v>
      </c>
      <c r="B98" s="132" t="s">
        <v>453</v>
      </c>
      <c r="C98" s="132" t="s">
        <v>20</v>
      </c>
      <c r="D98" s="132" t="s">
        <v>21</v>
      </c>
      <c r="E98" s="132" t="str">
        <f>IF(D98="DOSEN",VLOOKUP(B98,Dosen!B:Z,11,FALSE),VLOOKUP(B98,TPA!B:Z,7,FALSE))</f>
        <v>L</v>
      </c>
      <c r="F98" s="132" t="s">
        <v>448</v>
      </c>
      <c r="G98" s="132">
        <v>25820001</v>
      </c>
      <c r="H98" s="149">
        <v>702038201</v>
      </c>
      <c r="I98" s="149" t="s">
        <v>454</v>
      </c>
      <c r="J98" s="149" t="str">
        <f>IF(D98="DOSEN",VLOOKUP(B98,Dosen!B:Z,7,FALSE),VLOOKUP(B98,TPA!B:Z,5,FALSE))</f>
        <v>PROFESIONAL</v>
      </c>
      <c r="K98" s="132" t="s">
        <v>189</v>
      </c>
      <c r="L98" s="132" t="s">
        <v>176</v>
      </c>
      <c r="M98" s="132" t="str">
        <f>IF(D98="DOSEN",VLOOKUP(B98,Dosen!B:ZZ,33,FALSE),VLOOKUP(B98,TPA!B:ZZ,44,FALSE))</f>
        <v>S3</v>
      </c>
      <c r="N98" s="146">
        <v>45689</v>
      </c>
      <c r="O98" s="146"/>
      <c r="P98" s="151" t="str">
        <f t="shared" ca="1" si="1"/>
        <v xml:space="preserve">0 tahun 11 bulan </v>
      </c>
      <c r="Q98" s="132" t="s">
        <v>455</v>
      </c>
      <c r="R98" s="132">
        <v>82245916300</v>
      </c>
      <c r="S98" s="132" t="s">
        <v>456</v>
      </c>
    </row>
    <row r="99" spans="1:19" ht="18.95">
      <c r="A99" s="132">
        <v>98</v>
      </c>
      <c r="B99" s="132" t="s">
        <v>457</v>
      </c>
      <c r="C99" s="132" t="s">
        <v>46</v>
      </c>
      <c r="D99" s="132" t="s">
        <v>21</v>
      </c>
      <c r="E99" s="132" t="str">
        <f>IF(D99="DOSEN",VLOOKUP(B99,Dosen!B:Z,11,FALSE),VLOOKUP(B99,TPA!B:Z,7,FALSE))</f>
        <v>NJAD</v>
      </c>
      <c r="F99" s="132" t="s">
        <v>448</v>
      </c>
      <c r="G99" s="148">
        <v>20940045</v>
      </c>
      <c r="H99" s="148">
        <v>724019401</v>
      </c>
      <c r="I99" s="148"/>
      <c r="J99" s="149" t="str">
        <f>IF(D99="DOSEN",VLOOKUP(B99,Dosen!B:Z,7,FALSE),VLOOKUP(B99,TPA!B:Z,5,FALSE))</f>
        <v>PROFESIONAL</v>
      </c>
      <c r="K99" s="148" t="s">
        <v>30</v>
      </c>
      <c r="L99" s="148" t="s">
        <v>458</v>
      </c>
      <c r="M99" s="132" t="str">
        <f>IF(D99="DOSEN",VLOOKUP(B99,Dosen!B:ZZ,33,FALSE),VLOOKUP(B99,TPA!B:ZZ,44,FALSE))</f>
        <v>S2</v>
      </c>
      <c r="N99" s="147">
        <v>44166</v>
      </c>
      <c r="O99" s="147">
        <v>45291</v>
      </c>
      <c r="P99" s="151" t="str">
        <f t="shared" ca="1" si="1"/>
        <v xml:space="preserve">3 tahun 0 bulan </v>
      </c>
      <c r="Q99" s="148" t="s">
        <v>459</v>
      </c>
      <c r="R99" s="148">
        <v>81325336037</v>
      </c>
      <c r="S99" s="148" t="s">
        <v>460</v>
      </c>
    </row>
    <row r="100" spans="1:19" ht="18.95">
      <c r="A100" s="132">
        <v>99</v>
      </c>
      <c r="B100" s="132" t="s">
        <v>461</v>
      </c>
      <c r="C100" s="132" t="s">
        <v>20</v>
      </c>
      <c r="D100" s="132" t="s">
        <v>21</v>
      </c>
      <c r="E100" s="132" t="str">
        <f>IF(D100="DOSEN",VLOOKUP(B100,Dosen!B:Z,11,FALSE),VLOOKUP(B100,TPA!B:Z,7,FALSE))</f>
        <v>AA</v>
      </c>
      <c r="F100" s="132" t="s">
        <v>448</v>
      </c>
      <c r="G100" s="132">
        <v>20930071</v>
      </c>
      <c r="H100" s="132">
        <v>707029303</v>
      </c>
      <c r="I100" s="150" t="s">
        <v>462</v>
      </c>
      <c r="J100" s="149" t="str">
        <f>IF(D100="DOSEN",VLOOKUP(B100,Dosen!B:Z,7,FALSE),VLOOKUP(B100,TPA!B:Z,5,FALSE))</f>
        <v>TETAP</v>
      </c>
      <c r="K100" s="132" t="s">
        <v>30</v>
      </c>
      <c r="L100" s="132" t="s">
        <v>395</v>
      </c>
      <c r="M100" s="132" t="str">
        <f>IF(D100="DOSEN",VLOOKUP(B100,Dosen!B:ZZ,33,FALSE),VLOOKUP(B100,TPA!B:ZZ,44,FALSE))</f>
        <v>S2</v>
      </c>
      <c r="N100" s="146">
        <v>44166</v>
      </c>
      <c r="O100" s="146"/>
      <c r="P100" s="151" t="str">
        <f t="shared" ca="1" si="1"/>
        <v xml:space="preserve">5 tahun 1 bulan </v>
      </c>
      <c r="Q100" s="132" t="s">
        <v>463</v>
      </c>
      <c r="R100" s="132">
        <v>8113770702</v>
      </c>
      <c r="S100" s="132" t="s">
        <v>464</v>
      </c>
    </row>
    <row r="101" spans="1:19" ht="18.95">
      <c r="A101" s="132">
        <v>100</v>
      </c>
      <c r="B101" s="132" t="s">
        <v>465</v>
      </c>
      <c r="C101" s="132" t="s">
        <v>20</v>
      </c>
      <c r="D101" s="132" t="s">
        <v>21</v>
      </c>
      <c r="E101" s="132" t="str">
        <f>IF(D101="DOSEN",VLOOKUP(B101,Dosen!B:Z,11,FALSE),VLOOKUP(B101,TPA!B:Z,7,FALSE))</f>
        <v>L</v>
      </c>
      <c r="F101" s="132" t="s">
        <v>448</v>
      </c>
      <c r="G101" s="132">
        <v>24950003</v>
      </c>
      <c r="H101" s="132">
        <v>723079501</v>
      </c>
      <c r="I101" s="150" t="s">
        <v>466</v>
      </c>
      <c r="J101" s="149" t="str">
        <f>IF(D101="DOSEN",VLOOKUP(B101,Dosen!B:Z,7,FALSE),VLOOKUP(B101,TPA!B:Z,5,FALSE))</f>
        <v>TETAP</v>
      </c>
      <c r="K101" s="132" t="s">
        <v>30</v>
      </c>
      <c r="L101" s="132" t="s">
        <v>176</v>
      </c>
      <c r="M101" s="132" t="str">
        <f>IF(D101="DOSEN",VLOOKUP(B101,Dosen!B:ZZ,33,FALSE),VLOOKUP(B101,TPA!B:ZZ,44,FALSE))</f>
        <v>S2</v>
      </c>
      <c r="N101" s="146">
        <v>44166</v>
      </c>
      <c r="O101" s="146"/>
      <c r="P101" s="151" t="str">
        <f t="shared" ca="1" si="1"/>
        <v xml:space="preserve">5 tahun 1 bulan </v>
      </c>
      <c r="Q101" s="132" t="s">
        <v>467</v>
      </c>
      <c r="R101" s="132">
        <v>82143305935</v>
      </c>
      <c r="S101" s="132" t="s">
        <v>468</v>
      </c>
    </row>
    <row r="102" spans="1:19" ht="18.95">
      <c r="A102" s="132">
        <v>101</v>
      </c>
      <c r="B102" s="132" t="s">
        <v>469</v>
      </c>
      <c r="C102" s="132" t="s">
        <v>20</v>
      </c>
      <c r="D102" s="132" t="s">
        <v>21</v>
      </c>
      <c r="E102" s="132" t="str">
        <f>IF(D102="DOSEN",VLOOKUP(B102,Dosen!B:Z,11,FALSE),VLOOKUP(B102,TPA!B:Z,7,FALSE))</f>
        <v>AA</v>
      </c>
      <c r="F102" s="132" t="s">
        <v>448</v>
      </c>
      <c r="G102" s="132">
        <v>20930072</v>
      </c>
      <c r="H102" s="132">
        <v>712059303</v>
      </c>
      <c r="I102" s="150" t="s">
        <v>470</v>
      </c>
      <c r="J102" s="149" t="str">
        <f>IF(D102="DOSEN",VLOOKUP(B102,Dosen!B:Z,7,FALSE),VLOOKUP(B102,TPA!B:Z,5,FALSE))</f>
        <v>TETAP</v>
      </c>
      <c r="K102" s="132" t="s">
        <v>30</v>
      </c>
      <c r="L102" s="132" t="s">
        <v>176</v>
      </c>
      <c r="M102" s="132" t="str">
        <f>IF(D102="DOSEN",VLOOKUP(B102,Dosen!B:ZZ,33,FALSE),VLOOKUP(B102,TPA!B:ZZ,44,FALSE))</f>
        <v>S2</v>
      </c>
      <c r="N102" s="146">
        <v>44166</v>
      </c>
      <c r="O102" s="146"/>
      <c r="P102" s="151" t="str">
        <f t="shared" ca="1" si="1"/>
        <v xml:space="preserve">5 tahun 1 bulan </v>
      </c>
      <c r="Q102" s="132" t="s">
        <v>471</v>
      </c>
      <c r="R102" s="132">
        <v>81331292077</v>
      </c>
      <c r="S102" s="132" t="s">
        <v>472</v>
      </c>
    </row>
    <row r="103" spans="1:19" ht="18.95">
      <c r="A103" s="132">
        <v>102</v>
      </c>
      <c r="B103" s="132" t="s">
        <v>473</v>
      </c>
      <c r="C103" s="132" t="s">
        <v>46</v>
      </c>
      <c r="D103" s="132" t="s">
        <v>21</v>
      </c>
      <c r="E103" s="132" t="str">
        <f>IF(D103="DOSEN",VLOOKUP(B103,Dosen!B:Z,11,FALSE),VLOOKUP(B103,TPA!B:Z,7,FALSE))</f>
        <v> </v>
      </c>
      <c r="F103" s="132" t="s">
        <v>448</v>
      </c>
      <c r="G103" s="148">
        <v>20950049</v>
      </c>
      <c r="H103" s="148" t="s">
        <v>30</v>
      </c>
      <c r="I103" s="148"/>
      <c r="J103" s="149" t="str">
        <f>IF(D103="DOSEN",VLOOKUP(B103,Dosen!B:Z,7,FALSE),VLOOKUP(B103,TPA!B:Z,5,FALSE))</f>
        <v>PROFESIONAL</v>
      </c>
      <c r="K103" s="148" t="s">
        <v>30</v>
      </c>
      <c r="L103" s="148" t="s">
        <v>30</v>
      </c>
      <c r="M103" s="132" t="str">
        <f>IF(D103="DOSEN",VLOOKUP(B103,Dosen!B:ZZ,33,FALSE),VLOOKUP(B103,TPA!B:ZZ,44,FALSE))</f>
        <v> </v>
      </c>
      <c r="N103" s="147">
        <v>44166</v>
      </c>
      <c r="O103" s="147">
        <v>45291</v>
      </c>
      <c r="P103" s="151" t="str">
        <f t="shared" ca="1" si="1"/>
        <v xml:space="preserve">3 tahun 0 bulan </v>
      </c>
      <c r="Q103" s="148" t="s">
        <v>30</v>
      </c>
      <c r="R103" s="148" t="s">
        <v>30</v>
      </c>
      <c r="S103" s="148" t="s">
        <v>30</v>
      </c>
    </row>
    <row r="104" spans="1:19" ht="18.95">
      <c r="A104" s="132">
        <v>103</v>
      </c>
      <c r="B104" s="132" t="s">
        <v>474</v>
      </c>
      <c r="C104" s="132" t="s">
        <v>20</v>
      </c>
      <c r="D104" s="132" t="s">
        <v>21</v>
      </c>
      <c r="E104" s="132" t="str">
        <f>IF(D104="DOSEN",VLOOKUP(B104,Dosen!B:Z,11,FALSE),VLOOKUP(B104,TPA!B:Z,7,FALSE))</f>
        <v>AA</v>
      </c>
      <c r="F104" s="132" t="s">
        <v>475</v>
      </c>
      <c r="G104" s="132">
        <v>18620029</v>
      </c>
      <c r="H104" s="132">
        <v>728016901</v>
      </c>
      <c r="I104" s="150" t="s">
        <v>476</v>
      </c>
      <c r="J104" s="149" t="str">
        <f>IF(D104="DOSEN",VLOOKUP(B104,Dosen!B:Z,7,FALSE),VLOOKUP(B104,TPA!B:Z,5,FALSE))</f>
        <v>TETAP</v>
      </c>
      <c r="K104" s="132" t="s">
        <v>36</v>
      </c>
      <c r="L104" s="132" t="s">
        <v>477</v>
      </c>
      <c r="M104" s="132" t="str">
        <f>IF(D104="DOSEN",VLOOKUP(B104,Dosen!B:ZZ,33,FALSE),VLOOKUP(B104,TPA!B:ZZ,44,FALSE))</f>
        <v>S2</v>
      </c>
      <c r="N104" s="146">
        <v>43101</v>
      </c>
      <c r="O104" s="146"/>
      <c r="P104" s="151" t="str">
        <f t="shared" ca="1" si="1"/>
        <v xml:space="preserve">8 tahun 0 bulan </v>
      </c>
      <c r="Q104" s="132" t="s">
        <v>478</v>
      </c>
      <c r="R104" s="132">
        <v>8123222469</v>
      </c>
      <c r="S104" s="132" t="s">
        <v>479</v>
      </c>
    </row>
    <row r="105" spans="1:19" ht="18.95">
      <c r="A105" s="132">
        <v>104</v>
      </c>
      <c r="B105" s="132" t="s">
        <v>480</v>
      </c>
      <c r="C105" s="132" t="s">
        <v>20</v>
      </c>
      <c r="D105" s="132" t="s">
        <v>21</v>
      </c>
      <c r="E105" s="132" t="str">
        <f>IF(D105="DOSEN",VLOOKUP(B105,Dosen!B:Z,11,FALSE),VLOOKUP(B105,TPA!B:Z,7,FALSE))</f>
        <v>AA</v>
      </c>
      <c r="F105" s="132" t="s">
        <v>475</v>
      </c>
      <c r="G105" s="132">
        <v>17780080</v>
      </c>
      <c r="H105" s="132">
        <v>408067804</v>
      </c>
      <c r="I105" s="150" t="s">
        <v>481</v>
      </c>
      <c r="J105" s="149" t="str">
        <f>IF(D105="DOSEN",VLOOKUP(B105,Dosen!B:Z,7,FALSE),VLOOKUP(B105,TPA!B:Z,5,FALSE))</f>
        <v>TETAP</v>
      </c>
      <c r="K105" s="132" t="s">
        <v>30</v>
      </c>
      <c r="L105" s="132" t="s">
        <v>176</v>
      </c>
      <c r="M105" s="132" t="str">
        <f>IF(D105="DOSEN",VLOOKUP(B105,Dosen!B:ZZ,33,FALSE),VLOOKUP(B105,TPA!B:ZZ,44,FALSE))</f>
        <v>S2</v>
      </c>
      <c r="N105" s="146">
        <v>43101</v>
      </c>
      <c r="O105" s="146"/>
      <c r="P105" s="151" t="str">
        <f t="shared" ca="1" si="1"/>
        <v xml:space="preserve">8 tahun 0 bulan </v>
      </c>
      <c r="Q105" s="132" t="s">
        <v>482</v>
      </c>
      <c r="R105" s="132">
        <v>85235758329</v>
      </c>
      <c r="S105" s="132" t="s">
        <v>483</v>
      </c>
    </row>
    <row r="106" spans="1:19" ht="18.95">
      <c r="A106" s="132">
        <v>105</v>
      </c>
      <c r="B106" s="132" t="s">
        <v>484</v>
      </c>
      <c r="C106" s="132" t="s">
        <v>20</v>
      </c>
      <c r="D106" s="132" t="s">
        <v>21</v>
      </c>
      <c r="E106" s="132" t="str">
        <f>IF(D106="DOSEN",VLOOKUP(B106,Dosen!B:Z,11,FALSE),VLOOKUP(B106,TPA!B:Z,7,FALSE))</f>
        <v>AA</v>
      </c>
      <c r="F106" s="132" t="s">
        <v>475</v>
      </c>
      <c r="G106" s="132">
        <v>19900004</v>
      </c>
      <c r="H106" s="132">
        <v>727059002</v>
      </c>
      <c r="I106" s="150" t="s">
        <v>485</v>
      </c>
      <c r="J106" s="149" t="str">
        <f>IF(D106="DOSEN",VLOOKUP(B106,Dosen!B:Z,7,FALSE),VLOOKUP(B106,TPA!B:Z,5,FALSE))</f>
        <v>TETAP</v>
      </c>
      <c r="K106" s="132" t="s">
        <v>30</v>
      </c>
      <c r="L106" s="132" t="s">
        <v>176</v>
      </c>
      <c r="M106" s="132" t="str">
        <f>IF(D106="DOSEN",VLOOKUP(B106,Dosen!B:ZZ,33,FALSE),VLOOKUP(B106,TPA!B:ZZ,44,FALSE))</f>
        <v>S2</v>
      </c>
      <c r="N106" s="146">
        <v>43101</v>
      </c>
      <c r="O106" s="146"/>
      <c r="P106" s="151" t="str">
        <f t="shared" ca="1" si="1"/>
        <v xml:space="preserve">8 tahun 0 bulan </v>
      </c>
      <c r="Q106" s="132" t="s">
        <v>486</v>
      </c>
      <c r="R106" s="132">
        <v>85316010070</v>
      </c>
      <c r="S106" s="132" t="s">
        <v>487</v>
      </c>
    </row>
    <row r="107" spans="1:19" ht="18.95">
      <c r="A107" s="132">
        <v>106</v>
      </c>
      <c r="B107" s="132" t="s">
        <v>488</v>
      </c>
      <c r="C107" s="132" t="s">
        <v>20</v>
      </c>
      <c r="D107" s="132" t="s">
        <v>21</v>
      </c>
      <c r="E107" s="132" t="str">
        <f>IF(D107="DOSEN",VLOOKUP(B107,Dosen!B:Z,11,FALSE),VLOOKUP(B107,TPA!B:Z,7,FALSE))</f>
        <v>LK</v>
      </c>
      <c r="F107" s="132" t="s">
        <v>475</v>
      </c>
      <c r="G107" s="132">
        <v>22760004</v>
      </c>
      <c r="H107" s="132">
        <v>1001017601</v>
      </c>
      <c r="I107" s="150" t="s">
        <v>489</v>
      </c>
      <c r="J107" s="149" t="str">
        <f>IF(D107="DOSEN",VLOOKUP(B107,Dosen!B:Z,7,FALSE),VLOOKUP(B107,TPA!B:Z,5,FALSE))</f>
        <v>TETAP</v>
      </c>
      <c r="K107" s="132" t="s">
        <v>143</v>
      </c>
      <c r="L107" s="132" t="s">
        <v>176</v>
      </c>
      <c r="M107" s="132" t="str">
        <f>IF(D107="DOSEN",VLOOKUP(B107,Dosen!B:ZZ,33,FALSE),VLOOKUP(B107,TPA!B:ZZ,44,FALSE))</f>
        <v>S3</v>
      </c>
      <c r="N107" s="146">
        <v>44832</v>
      </c>
      <c r="O107" s="146"/>
      <c r="P107" s="151" t="str">
        <f t="shared" ca="1" si="1"/>
        <v xml:space="preserve">3 tahun 3 bulan </v>
      </c>
      <c r="Q107" s="132" t="s">
        <v>490</v>
      </c>
      <c r="R107" s="132">
        <v>82285883545</v>
      </c>
      <c r="S107" s="132" t="s">
        <v>491</v>
      </c>
    </row>
    <row r="108" spans="1:19" ht="18.95">
      <c r="A108" s="132">
        <v>107</v>
      </c>
      <c r="B108" s="132" t="s">
        <v>492</v>
      </c>
      <c r="C108" s="132" t="s">
        <v>20</v>
      </c>
      <c r="D108" s="132" t="s">
        <v>21</v>
      </c>
      <c r="E108" s="132" t="str">
        <f>IF(D108="DOSEN",VLOOKUP(B108,Dosen!B:Z,11,FALSE),VLOOKUP(B108,TPA!B:Z,7,FALSE))</f>
        <v>L</v>
      </c>
      <c r="F108" s="132" t="s">
        <v>475</v>
      </c>
      <c r="G108" s="132">
        <v>19940001</v>
      </c>
      <c r="H108" s="132">
        <v>703049401</v>
      </c>
      <c r="I108" s="150" t="s">
        <v>493</v>
      </c>
      <c r="J108" s="149" t="str">
        <f>IF(D108="DOSEN",VLOOKUP(B108,Dosen!B:Z,7,FALSE),VLOOKUP(B108,TPA!B:Z,5,FALSE))</f>
        <v>TETAP</v>
      </c>
      <c r="K108" s="132" t="s">
        <v>30</v>
      </c>
      <c r="L108" s="132" t="s">
        <v>494</v>
      </c>
      <c r="M108" s="132" t="str">
        <f>IF(D108="DOSEN",VLOOKUP(B108,Dosen!B:ZZ,33,FALSE),VLOOKUP(B108,TPA!B:ZZ,44,FALSE))</f>
        <v>S3</v>
      </c>
      <c r="N108" s="146">
        <v>43101</v>
      </c>
      <c r="O108" s="146"/>
      <c r="P108" s="151" t="str">
        <f t="shared" ca="1" si="1"/>
        <v xml:space="preserve">8 tahun 0 bulan </v>
      </c>
      <c r="Q108" s="132" t="s">
        <v>495</v>
      </c>
      <c r="R108" s="132">
        <v>81277773171</v>
      </c>
      <c r="S108" s="132" t="s">
        <v>496</v>
      </c>
    </row>
    <row r="109" spans="1:19" ht="18.95">
      <c r="A109" s="132">
        <v>108</v>
      </c>
      <c r="B109" s="132" t="s">
        <v>497</v>
      </c>
      <c r="C109" s="132" t="s">
        <v>20</v>
      </c>
      <c r="D109" s="132" t="s">
        <v>21</v>
      </c>
      <c r="E109" s="132" t="str">
        <f>IF(D109="DOSEN",VLOOKUP(B109,Dosen!B:Z,11,FALSE),VLOOKUP(B109,TPA!B:Z,7,FALSE))</f>
        <v>NJAD</v>
      </c>
      <c r="F109" s="132" t="s">
        <v>475</v>
      </c>
      <c r="G109" s="132">
        <v>20910025</v>
      </c>
      <c r="H109" s="132">
        <v>720019102</v>
      </c>
      <c r="I109" s="150" t="s">
        <v>498</v>
      </c>
      <c r="J109" s="149" t="str">
        <f>IF(D109="DOSEN",VLOOKUP(B109,Dosen!B:Z,7,FALSE),VLOOKUP(B109,TPA!B:Z,5,FALSE))</f>
        <v>PROFESIONAL</v>
      </c>
      <c r="K109" s="132" t="s">
        <v>30</v>
      </c>
      <c r="L109" s="132" t="s">
        <v>354</v>
      </c>
      <c r="M109" s="132" t="str">
        <f>IF(D109="DOSEN",VLOOKUP(B109,Dosen!B:ZZ,33,FALSE),VLOOKUP(B109,TPA!B:ZZ,44,FALSE))</f>
        <v>S2</v>
      </c>
      <c r="N109" s="146">
        <v>43885</v>
      </c>
      <c r="O109" s="146"/>
      <c r="P109" s="151" t="str">
        <f t="shared" ca="1" si="1"/>
        <v xml:space="preserve">5 tahun 10 bulan </v>
      </c>
      <c r="Q109" s="132" t="s">
        <v>499</v>
      </c>
      <c r="R109" s="132">
        <v>82134018586</v>
      </c>
      <c r="S109" s="132" t="s">
        <v>500</v>
      </c>
    </row>
    <row r="110" spans="1:19" ht="18.95">
      <c r="A110" s="132">
        <v>109</v>
      </c>
      <c r="B110" s="132" t="s">
        <v>501</v>
      </c>
      <c r="C110" s="132" t="s">
        <v>20</v>
      </c>
      <c r="D110" s="132" t="s">
        <v>21</v>
      </c>
      <c r="E110" s="132" t="str">
        <f>IF(D110="DOSEN",VLOOKUP(B110,Dosen!B:Z,11,FALSE),VLOOKUP(B110,TPA!B:Z,7,FALSE))</f>
        <v>L</v>
      </c>
      <c r="F110" s="132" t="s">
        <v>475</v>
      </c>
      <c r="G110" s="149">
        <v>20910026</v>
      </c>
      <c r="H110" s="132">
        <v>722119101</v>
      </c>
      <c r="I110" s="150" t="s">
        <v>502</v>
      </c>
      <c r="J110" s="149" t="str">
        <f>IF(D110="DOSEN",VLOOKUP(B110,Dosen!B:Z,7,FALSE),VLOOKUP(B110,TPA!B:Z,5,FALSE))</f>
        <v>TETAP</v>
      </c>
      <c r="K110" s="132" t="s">
        <v>143</v>
      </c>
      <c r="L110" s="132" t="s">
        <v>503</v>
      </c>
      <c r="M110" s="132" t="str">
        <f>IF(D110="DOSEN",VLOOKUP(B110,Dosen!B:ZZ,33,FALSE),VLOOKUP(B110,TPA!B:ZZ,44,FALSE))</f>
        <v>S3</v>
      </c>
      <c r="N110" s="146">
        <v>43885</v>
      </c>
      <c r="O110" s="146"/>
      <c r="P110" s="151" t="str">
        <f t="shared" ca="1" si="1"/>
        <v xml:space="preserve">5 tahun 10 bulan </v>
      </c>
      <c r="Q110" s="132" t="s">
        <v>504</v>
      </c>
      <c r="R110" s="132">
        <v>81333391371</v>
      </c>
      <c r="S110" s="132" t="s">
        <v>505</v>
      </c>
    </row>
    <row r="111" spans="1:19" ht="18.95">
      <c r="A111" s="132">
        <v>110</v>
      </c>
      <c r="B111" s="132" t="s">
        <v>506</v>
      </c>
      <c r="C111" s="132" t="s">
        <v>20</v>
      </c>
      <c r="D111" s="132" t="s">
        <v>21</v>
      </c>
      <c r="E111" s="132" t="str">
        <f>IF(D111="DOSEN",VLOOKUP(B111,Dosen!B:Z,11,FALSE),VLOOKUP(B111,TPA!B:Z,7,FALSE))</f>
        <v>NJAD</v>
      </c>
      <c r="F111" s="132" t="s">
        <v>475</v>
      </c>
      <c r="G111" s="132">
        <v>22960009</v>
      </c>
      <c r="H111" s="132">
        <v>714029601</v>
      </c>
      <c r="I111" s="150" t="s">
        <v>507</v>
      </c>
      <c r="J111" s="149" t="str">
        <f>IF(D111="DOSEN",VLOOKUP(B111,Dosen!B:Z,7,FALSE),VLOOKUP(B111,TPA!B:Z,5,FALSE))</f>
        <v>PROFESIONAL</v>
      </c>
      <c r="K111" s="132" t="s">
        <v>30</v>
      </c>
      <c r="L111" s="132" t="s">
        <v>176</v>
      </c>
      <c r="M111" s="132" t="str">
        <f>IF(D111="DOSEN",VLOOKUP(B111,Dosen!B:ZZ,33,FALSE),VLOOKUP(B111,TPA!B:ZZ,44,FALSE))</f>
        <v>S2</v>
      </c>
      <c r="N111" s="146">
        <v>44627</v>
      </c>
      <c r="O111" s="146"/>
      <c r="P111" s="151" t="str">
        <f t="shared" ca="1" si="1"/>
        <v xml:space="preserve">3 tahun 10 bulan </v>
      </c>
      <c r="Q111" s="132" t="s">
        <v>508</v>
      </c>
      <c r="R111" s="132">
        <v>82116869268</v>
      </c>
      <c r="S111" s="132" t="s">
        <v>509</v>
      </c>
    </row>
    <row r="112" spans="1:19" ht="18.95">
      <c r="A112" s="132">
        <v>111</v>
      </c>
      <c r="B112" s="132" t="s">
        <v>510</v>
      </c>
      <c r="C112" s="132" t="s">
        <v>46</v>
      </c>
      <c r="D112" s="132" t="s">
        <v>21</v>
      </c>
      <c r="E112" s="132" t="str">
        <f>IF(D112="DOSEN",VLOOKUP(B112,Dosen!B:Z,11,FALSE),VLOOKUP(B112,TPA!B:Z,7,FALSE))</f>
        <v>NJAD</v>
      </c>
      <c r="F112" s="132" t="s">
        <v>475</v>
      </c>
      <c r="G112" s="148">
        <v>22910003</v>
      </c>
      <c r="H112" s="153" t="s">
        <v>511</v>
      </c>
      <c r="I112" s="153"/>
      <c r="J112" s="149" t="str">
        <f>IF(D112="DOSEN",VLOOKUP(B112,Dosen!B:Z,7,FALSE),VLOOKUP(B112,TPA!B:Z,5,FALSE))</f>
        <v>PROFESIONAL</v>
      </c>
      <c r="K112" s="148" t="s">
        <v>30</v>
      </c>
      <c r="L112" s="148" t="s">
        <v>395</v>
      </c>
      <c r="M112" s="132" t="str">
        <f>IF(D112="DOSEN",VLOOKUP(B112,Dosen!B:ZZ,33,FALSE),VLOOKUP(B112,TPA!B:ZZ,44,FALSE))</f>
        <v>S2</v>
      </c>
      <c r="N112" s="147">
        <v>44627</v>
      </c>
      <c r="O112" s="147">
        <v>45291</v>
      </c>
      <c r="P112" s="151" t="str">
        <f t="shared" ca="1" si="1"/>
        <v xml:space="preserve">1 tahun 9 bulan </v>
      </c>
      <c r="Q112" s="148" t="s">
        <v>512</v>
      </c>
      <c r="R112" s="148">
        <v>8113500343</v>
      </c>
      <c r="S112" s="148" t="s">
        <v>513</v>
      </c>
    </row>
    <row r="113" spans="1:19" ht="18.95">
      <c r="A113" s="132">
        <v>112</v>
      </c>
      <c r="B113" s="132" t="s">
        <v>514</v>
      </c>
      <c r="C113" s="132" t="s">
        <v>20</v>
      </c>
      <c r="D113" s="132" t="s">
        <v>21</v>
      </c>
      <c r="E113" s="132" t="str">
        <f>IF(D113="DOSEN",VLOOKUP(B113,Dosen!B:Z,11,FALSE),VLOOKUP(B113,TPA!B:Z,7,FALSE))</f>
        <v>L</v>
      </c>
      <c r="F113" s="132" t="s">
        <v>475</v>
      </c>
      <c r="G113" s="132">
        <v>23900001</v>
      </c>
      <c r="H113" s="149">
        <v>30079001</v>
      </c>
      <c r="I113" s="169" t="s">
        <v>515</v>
      </c>
      <c r="J113" s="149" t="str">
        <f>IF(D113="DOSEN",VLOOKUP(B113,Dosen!B:Z,7,FALSE),VLOOKUP(B113,TPA!B:Z,5,FALSE))</f>
        <v>PROFESIONAL</v>
      </c>
      <c r="K113" s="132" t="s">
        <v>30</v>
      </c>
      <c r="L113" s="132" t="s">
        <v>516</v>
      </c>
      <c r="M113" s="132" t="str">
        <f>IF(D113="DOSEN",VLOOKUP(B113,Dosen!B:ZZ,33,FALSE),VLOOKUP(B113,TPA!B:ZZ,44,FALSE))</f>
        <v>S3</v>
      </c>
      <c r="N113" s="146">
        <v>44927</v>
      </c>
      <c r="O113" s="146"/>
      <c r="P113" s="151" t="str">
        <f t="shared" ca="1" si="1"/>
        <v xml:space="preserve">3 tahun 0 bulan </v>
      </c>
      <c r="Q113" s="132" t="s">
        <v>517</v>
      </c>
      <c r="R113" s="132">
        <v>81232146437</v>
      </c>
      <c r="S113" s="132" t="s">
        <v>518</v>
      </c>
    </row>
    <row r="114" spans="1:19" ht="18.95">
      <c r="A114" s="132">
        <v>113</v>
      </c>
      <c r="B114" s="132" t="s">
        <v>519</v>
      </c>
      <c r="C114" s="132" t="s">
        <v>20</v>
      </c>
      <c r="D114" s="132" t="s">
        <v>21</v>
      </c>
      <c r="E114" s="132" t="str">
        <f>IF(D114="DOSEN",VLOOKUP(B114,Dosen!B:Z,11,FALSE),VLOOKUP(B114,TPA!B:Z,7,FALSE))</f>
        <v>AA</v>
      </c>
      <c r="F114" s="132" t="s">
        <v>475</v>
      </c>
      <c r="G114" s="132">
        <v>19890002</v>
      </c>
      <c r="H114" s="132">
        <v>713108902</v>
      </c>
      <c r="I114" s="150" t="s">
        <v>520</v>
      </c>
      <c r="J114" s="149" t="str">
        <f>IF(D114="DOSEN",VLOOKUP(B114,Dosen!B:Z,7,FALSE),VLOOKUP(B114,TPA!B:Z,5,FALSE))</f>
        <v>TETAP</v>
      </c>
      <c r="K114" s="132" t="s">
        <v>30</v>
      </c>
      <c r="L114" s="132" t="s">
        <v>176</v>
      </c>
      <c r="M114" s="132" t="str">
        <f>IF(D114="DOSEN",VLOOKUP(B114,Dosen!B:ZZ,33,FALSE),VLOOKUP(B114,TPA!B:ZZ,44,FALSE))</f>
        <v>S2</v>
      </c>
      <c r="N114" s="146">
        <v>43101</v>
      </c>
      <c r="O114" s="146"/>
      <c r="P114" s="151" t="str">
        <f t="shared" ca="1" si="1"/>
        <v xml:space="preserve">8 tahun 0 bulan </v>
      </c>
      <c r="Q114" s="132" t="s">
        <v>521</v>
      </c>
      <c r="R114" s="132">
        <v>8113384848</v>
      </c>
      <c r="S114" s="132" t="s">
        <v>522</v>
      </c>
    </row>
    <row r="115" spans="1:19" ht="18.95">
      <c r="A115" s="132">
        <v>114</v>
      </c>
      <c r="B115" s="132" t="s">
        <v>523</v>
      </c>
      <c r="C115" s="132" t="s">
        <v>20</v>
      </c>
      <c r="D115" s="132" t="s">
        <v>21</v>
      </c>
      <c r="E115" s="132" t="str">
        <f>IF(D115="DOSEN",VLOOKUP(B115,Dosen!B:Z,11,FALSE),VLOOKUP(B115,TPA!B:Z,7,FALSE))</f>
        <v>L</v>
      </c>
      <c r="F115" s="132" t="s">
        <v>524</v>
      </c>
      <c r="G115" s="132">
        <v>23929009</v>
      </c>
      <c r="H115" s="132">
        <v>704039202</v>
      </c>
      <c r="I115" s="150" t="s">
        <v>525</v>
      </c>
      <c r="J115" s="149" t="str">
        <f>IF(D115="DOSEN",VLOOKUP(B115,Dosen!B:Z,7,FALSE),VLOOKUP(B115,TPA!B:Z,5,FALSE))</f>
        <v>TETAP</v>
      </c>
      <c r="K115" s="132" t="s">
        <v>30</v>
      </c>
      <c r="L115" s="132" t="s">
        <v>57</v>
      </c>
      <c r="M115" s="132" t="str">
        <f>IF(D115="DOSEN",VLOOKUP(B115,Dosen!B:ZZ,33,FALSE),VLOOKUP(B115,TPA!B:ZZ,44,FALSE))</f>
        <v>S2</v>
      </c>
      <c r="N115" s="146">
        <v>43282</v>
      </c>
      <c r="O115" s="146"/>
      <c r="P115" s="151" t="str">
        <f t="shared" ca="1" si="1"/>
        <v xml:space="preserve">7 tahun 6 bulan </v>
      </c>
      <c r="Q115" s="132" t="s">
        <v>526</v>
      </c>
      <c r="R115" s="132">
        <v>81324604072</v>
      </c>
      <c r="S115" s="132" t="s">
        <v>527</v>
      </c>
    </row>
    <row r="116" spans="1:19" ht="18.95">
      <c r="A116" s="132">
        <v>115</v>
      </c>
      <c r="B116" s="132" t="s">
        <v>528</v>
      </c>
      <c r="C116" s="132" t="s">
        <v>20</v>
      </c>
      <c r="D116" s="132" t="s">
        <v>21</v>
      </c>
      <c r="E116" s="132" t="str">
        <f>IF(D116="DOSEN",VLOOKUP(B116,Dosen!B:Z,11,FALSE),VLOOKUP(B116,TPA!B:Z,7,FALSE))</f>
        <v>L</v>
      </c>
      <c r="F116" s="132" t="s">
        <v>524</v>
      </c>
      <c r="G116" s="132">
        <v>19940002</v>
      </c>
      <c r="H116" s="132">
        <v>728069401</v>
      </c>
      <c r="I116" s="150" t="s">
        <v>529</v>
      </c>
      <c r="J116" s="149" t="str">
        <f>IF(D116="DOSEN",VLOOKUP(B116,Dosen!B:Z,7,FALSE),VLOOKUP(B116,TPA!B:Z,5,FALSE))</f>
        <v>TETAP</v>
      </c>
      <c r="K116" s="132" t="s">
        <v>30</v>
      </c>
      <c r="L116" s="132" t="s">
        <v>530</v>
      </c>
      <c r="M116" s="132" t="str">
        <f>IF(D116="DOSEN",VLOOKUP(B116,Dosen!B:ZZ,33,FALSE),VLOOKUP(B116,TPA!B:ZZ,44,FALSE))</f>
        <v>S3</v>
      </c>
      <c r="N116" s="146">
        <v>43101</v>
      </c>
      <c r="O116" s="146"/>
      <c r="P116" s="151" t="str">
        <f t="shared" ca="1" si="1"/>
        <v xml:space="preserve">8 tahun 0 bulan </v>
      </c>
      <c r="Q116" s="132" t="s">
        <v>531</v>
      </c>
      <c r="R116" s="132">
        <v>81219685567</v>
      </c>
      <c r="S116" s="132" t="s">
        <v>532</v>
      </c>
    </row>
    <row r="117" spans="1:19" ht="18.95">
      <c r="A117" s="132">
        <v>116</v>
      </c>
      <c r="B117" s="132" t="s">
        <v>533</v>
      </c>
      <c r="C117" s="132" t="s">
        <v>46</v>
      </c>
      <c r="D117" s="132" t="s">
        <v>21</v>
      </c>
      <c r="E117" s="132" t="str">
        <f>IF(D117="DOSEN",VLOOKUP(B117,Dosen!B:Z,11,FALSE),VLOOKUP(B117,TPA!B:Z,7,FALSE))</f>
        <v>AA</v>
      </c>
      <c r="F117" s="132" t="s">
        <v>524</v>
      </c>
      <c r="G117" s="148">
        <v>19910003</v>
      </c>
      <c r="H117" s="148">
        <v>719069101</v>
      </c>
      <c r="I117" s="148"/>
      <c r="J117" s="149" t="str">
        <f>IF(D117="DOSEN",VLOOKUP(B117,Dosen!B:Z,7,FALSE),VLOOKUP(B117,TPA!B:Z,5,FALSE))</f>
        <v>TETAP</v>
      </c>
      <c r="K117" s="148" t="s">
        <v>30</v>
      </c>
      <c r="L117" s="148" t="s">
        <v>176</v>
      </c>
      <c r="M117" s="132" t="str">
        <f>IF(D117="DOSEN",VLOOKUP(B117,Dosen!B:ZZ,33,FALSE),VLOOKUP(B117,TPA!B:ZZ,44,FALSE))</f>
        <v>S2</v>
      </c>
      <c r="N117" s="147">
        <v>43101</v>
      </c>
      <c r="O117" s="147">
        <v>45383</v>
      </c>
      <c r="P117" s="151" t="str">
        <f t="shared" ca="1" si="1"/>
        <v xml:space="preserve">6 tahun 3 bulan </v>
      </c>
      <c r="Q117" s="148" t="s">
        <v>534</v>
      </c>
      <c r="R117" s="148">
        <v>81322295542</v>
      </c>
      <c r="S117" s="148" t="s">
        <v>535</v>
      </c>
    </row>
    <row r="118" spans="1:19" ht="18.95">
      <c r="A118" s="132">
        <v>117</v>
      </c>
      <c r="B118" s="132" t="s">
        <v>536</v>
      </c>
      <c r="C118" s="132" t="s">
        <v>20</v>
      </c>
      <c r="D118" s="132" t="s">
        <v>21</v>
      </c>
      <c r="E118" s="132" t="str">
        <f>IF(D118="DOSEN",VLOOKUP(B118,Dosen!B:Z,11,FALSE),VLOOKUP(B118,TPA!B:Z,7,FALSE))</f>
        <v>L</v>
      </c>
      <c r="F118" s="132" t="s">
        <v>524</v>
      </c>
      <c r="G118" s="132">
        <v>20870006</v>
      </c>
      <c r="H118" s="132">
        <v>715128708</v>
      </c>
      <c r="I118" s="150" t="s">
        <v>537</v>
      </c>
      <c r="J118" s="149" t="str">
        <f>IF(D118="DOSEN",VLOOKUP(B118,Dosen!B:Z,7,FALSE),VLOOKUP(B118,TPA!B:Z,5,FALSE))</f>
        <v>TETAP</v>
      </c>
      <c r="K118" s="132" t="s">
        <v>30</v>
      </c>
      <c r="L118" s="132" t="s">
        <v>354</v>
      </c>
      <c r="M118" s="132" t="str">
        <f>IF(D118="DOSEN",VLOOKUP(B118,Dosen!B:ZZ,33,FALSE),VLOOKUP(B118,TPA!B:ZZ,44,FALSE))</f>
        <v>S2</v>
      </c>
      <c r="N118" s="146">
        <v>43101</v>
      </c>
      <c r="O118" s="146"/>
      <c r="P118" s="151" t="str">
        <f t="shared" ca="1" si="1"/>
        <v xml:space="preserve">8 tahun 0 bulan </v>
      </c>
      <c r="Q118" s="132" t="s">
        <v>538</v>
      </c>
      <c r="R118" s="132">
        <v>82257336595</v>
      </c>
      <c r="S118" s="132" t="s">
        <v>539</v>
      </c>
    </row>
    <row r="119" spans="1:19" ht="18.95">
      <c r="A119" s="132">
        <v>118</v>
      </c>
      <c r="B119" s="132" t="s">
        <v>540</v>
      </c>
      <c r="C119" s="132" t="s">
        <v>20</v>
      </c>
      <c r="D119" s="132" t="s">
        <v>21</v>
      </c>
      <c r="E119" s="132" t="str">
        <f>IF(D119="DOSEN",VLOOKUP(B119,Dosen!B:Z,11,FALSE),VLOOKUP(B119,TPA!B:Z,7,FALSE))</f>
        <v>LK</v>
      </c>
      <c r="F119" s="132" t="s">
        <v>524</v>
      </c>
      <c r="G119" s="132">
        <v>19790001</v>
      </c>
      <c r="H119" s="132">
        <v>717017902</v>
      </c>
      <c r="I119" s="150" t="s">
        <v>541</v>
      </c>
      <c r="J119" s="149" t="str">
        <f>IF(D119="DOSEN",VLOOKUP(B119,Dosen!B:Z,7,FALSE),VLOOKUP(B119,TPA!B:Z,5,FALSE))</f>
        <v>TETAP</v>
      </c>
      <c r="K119" s="132" t="s">
        <v>143</v>
      </c>
      <c r="L119" s="132" t="s">
        <v>444</v>
      </c>
      <c r="M119" s="132" t="str">
        <f>IF(D119="DOSEN",VLOOKUP(B119,Dosen!B:ZZ,33,FALSE),VLOOKUP(B119,TPA!B:ZZ,44,FALSE))</f>
        <v>S3</v>
      </c>
      <c r="N119" s="146">
        <v>43101</v>
      </c>
      <c r="O119" s="146"/>
      <c r="P119" s="151" t="str">
        <f t="shared" ca="1" si="1"/>
        <v xml:space="preserve">8 tahun 0 bulan </v>
      </c>
      <c r="Q119" s="132" t="s">
        <v>542</v>
      </c>
      <c r="R119" s="132">
        <v>8123182116</v>
      </c>
      <c r="S119" s="132" t="s">
        <v>543</v>
      </c>
    </row>
    <row r="120" spans="1:19" ht="18.95">
      <c r="A120" s="132">
        <v>119</v>
      </c>
      <c r="B120" s="132" t="s">
        <v>544</v>
      </c>
      <c r="C120" s="132" t="s">
        <v>20</v>
      </c>
      <c r="D120" s="132" t="s">
        <v>21</v>
      </c>
      <c r="E120" s="132" t="str">
        <f>IF(D120="DOSEN",VLOOKUP(B120,Dosen!B:Z,11,FALSE),VLOOKUP(B120,TPA!B:Z,7,FALSE))</f>
        <v>L</v>
      </c>
      <c r="F120" s="132" t="s">
        <v>524</v>
      </c>
      <c r="G120" s="132">
        <v>19920005</v>
      </c>
      <c r="H120" s="132">
        <v>708069202</v>
      </c>
      <c r="I120" s="150" t="s">
        <v>545</v>
      </c>
      <c r="J120" s="149" t="str">
        <f>IF(D120="DOSEN",VLOOKUP(B120,Dosen!B:Z,7,FALSE),VLOOKUP(B120,TPA!B:Z,5,FALSE))</f>
        <v>TETAP</v>
      </c>
      <c r="K120" s="132" t="s">
        <v>30</v>
      </c>
      <c r="L120" s="132" t="s">
        <v>354</v>
      </c>
      <c r="M120" s="132" t="str">
        <f>IF(D120="DOSEN",VLOOKUP(B120,Dosen!B:ZZ,33,FALSE),VLOOKUP(B120,TPA!B:ZZ,44,FALSE))</f>
        <v>S2</v>
      </c>
      <c r="N120" s="146">
        <v>43101</v>
      </c>
      <c r="O120" s="146"/>
      <c r="P120" s="151" t="str">
        <f t="shared" ca="1" si="1"/>
        <v xml:space="preserve">8 tahun 0 bulan </v>
      </c>
      <c r="Q120" s="154" t="s">
        <v>546</v>
      </c>
      <c r="R120" s="132">
        <v>8113788188</v>
      </c>
      <c r="S120" s="132" t="s">
        <v>547</v>
      </c>
    </row>
    <row r="121" spans="1:19" ht="18.95">
      <c r="A121" s="132">
        <v>120</v>
      </c>
      <c r="B121" s="132" t="s">
        <v>548</v>
      </c>
      <c r="C121" s="132" t="s">
        <v>20</v>
      </c>
      <c r="D121" s="132" t="s">
        <v>21</v>
      </c>
      <c r="E121" s="132" t="str">
        <f>IF(D121="DOSEN",VLOOKUP(B121,Dosen!B:Z,11,FALSE),VLOOKUP(B121,TPA!B:Z,7,FALSE))</f>
        <v>AA</v>
      </c>
      <c r="F121" s="132" t="s">
        <v>524</v>
      </c>
      <c r="G121" s="132">
        <v>19900006</v>
      </c>
      <c r="H121" s="132">
        <v>705109002</v>
      </c>
      <c r="I121" s="150" t="s">
        <v>549</v>
      </c>
      <c r="J121" s="149" t="str">
        <f>IF(D121="DOSEN",VLOOKUP(B121,Dosen!B:Z,7,FALSE),VLOOKUP(B121,TPA!B:Z,5,FALSE))</f>
        <v>TETAP</v>
      </c>
      <c r="K121" s="132" t="s">
        <v>30</v>
      </c>
      <c r="L121" s="132" t="s">
        <v>176</v>
      </c>
      <c r="M121" s="132" t="str">
        <f>IF(D121="DOSEN",VLOOKUP(B121,Dosen!B:ZZ,33,FALSE),VLOOKUP(B121,TPA!B:ZZ,44,FALSE))</f>
        <v>S2</v>
      </c>
      <c r="N121" s="146">
        <v>43101</v>
      </c>
      <c r="O121" s="146"/>
      <c r="P121" s="151" t="str">
        <f t="shared" ca="1" si="1"/>
        <v xml:space="preserve">8 tahun 0 bulan </v>
      </c>
      <c r="Q121" s="132" t="s">
        <v>550</v>
      </c>
      <c r="R121" s="132">
        <v>85218885269</v>
      </c>
      <c r="S121" s="132" t="s">
        <v>551</v>
      </c>
    </row>
    <row r="122" spans="1:19" ht="18.95">
      <c r="A122" s="132">
        <v>121</v>
      </c>
      <c r="B122" s="132" t="s">
        <v>552</v>
      </c>
      <c r="C122" s="132" t="s">
        <v>20</v>
      </c>
      <c r="D122" s="132" t="s">
        <v>21</v>
      </c>
      <c r="E122" s="132" t="str">
        <f>IF(D122="DOSEN",VLOOKUP(B122,Dosen!B:Z,11,FALSE),VLOOKUP(B122,TPA!B:Z,7,FALSE))</f>
        <v>AA</v>
      </c>
      <c r="F122" s="132" t="s">
        <v>524</v>
      </c>
      <c r="G122" s="132">
        <v>22970007</v>
      </c>
      <c r="H122" s="132">
        <v>713029701</v>
      </c>
      <c r="I122" s="150" t="s">
        <v>553</v>
      </c>
      <c r="J122" s="149" t="str">
        <f>IF(D122="DOSEN",VLOOKUP(B122,Dosen!B:Z,7,FALSE),VLOOKUP(B122,TPA!B:Z,5,FALSE))</f>
        <v>PROFESIONAL</v>
      </c>
      <c r="K122" s="132" t="s">
        <v>30</v>
      </c>
      <c r="L122" s="132" t="s">
        <v>554</v>
      </c>
      <c r="M122" s="132" t="str">
        <f>IF(D122="DOSEN",VLOOKUP(B122,Dosen!B:ZZ,33,FALSE),VLOOKUP(B122,TPA!B:ZZ,44,FALSE))</f>
        <v>S2</v>
      </c>
      <c r="N122" s="146">
        <v>44627</v>
      </c>
      <c r="O122" s="146"/>
      <c r="P122" s="151" t="str">
        <f t="shared" ca="1" si="1"/>
        <v xml:space="preserve">3 tahun 10 bulan </v>
      </c>
      <c r="Q122" s="132" t="s">
        <v>555</v>
      </c>
      <c r="R122" s="132">
        <v>81230089797</v>
      </c>
      <c r="S122" s="132" t="s">
        <v>556</v>
      </c>
    </row>
    <row r="123" spans="1:19" ht="18.95">
      <c r="A123" s="132">
        <v>122</v>
      </c>
      <c r="B123" s="132" t="s">
        <v>557</v>
      </c>
      <c r="C123" s="132" t="s">
        <v>46</v>
      </c>
      <c r="D123" s="132" t="s">
        <v>21</v>
      </c>
      <c r="E123" s="132" t="str">
        <f>IF(D123="DOSEN",VLOOKUP(B123,Dosen!B:Z,11,FALSE),VLOOKUP(B123,TPA!B:Z,7,FALSE))</f>
        <v>NJAD</v>
      </c>
      <c r="F123" s="132" t="s">
        <v>524</v>
      </c>
      <c r="G123" s="148">
        <v>22910002</v>
      </c>
      <c r="H123" s="148">
        <v>720119104</v>
      </c>
      <c r="I123" s="148"/>
      <c r="J123" s="149" t="str">
        <f>IF(D123="DOSEN",VLOOKUP(B123,Dosen!B:Z,7,FALSE),VLOOKUP(B123,TPA!B:Z,5,FALSE))</f>
        <v>PROFESIONAL</v>
      </c>
      <c r="K123" s="148" t="s">
        <v>30</v>
      </c>
      <c r="L123" s="148" t="s">
        <v>176</v>
      </c>
      <c r="M123" s="132" t="str">
        <f>IF(D123="DOSEN",VLOOKUP(B123,Dosen!B:ZZ,33,FALSE),VLOOKUP(B123,TPA!B:ZZ,44,FALSE))</f>
        <v>S2</v>
      </c>
      <c r="N123" s="147">
        <v>44627</v>
      </c>
      <c r="O123" s="147">
        <v>45291</v>
      </c>
      <c r="P123" s="151" t="str">
        <f t="shared" ca="1" si="1"/>
        <v xml:space="preserve">1 tahun 9 bulan </v>
      </c>
      <c r="Q123" s="148" t="s">
        <v>558</v>
      </c>
      <c r="R123" s="148">
        <v>8970339520</v>
      </c>
      <c r="S123" s="148" t="s">
        <v>559</v>
      </c>
    </row>
    <row r="124" spans="1:19" ht="18.95">
      <c r="A124" s="132">
        <v>123</v>
      </c>
      <c r="B124" s="132" t="s">
        <v>560</v>
      </c>
      <c r="C124" s="132" t="s">
        <v>20</v>
      </c>
      <c r="D124" s="132" t="s">
        <v>21</v>
      </c>
      <c r="E124" s="132" t="str">
        <f>IF(D124="DOSEN",VLOOKUP(B124,Dosen!B:Z,11,FALSE),VLOOKUP(B124,TPA!B:Z,7,FALSE))</f>
        <v>AA</v>
      </c>
      <c r="F124" s="132" t="s">
        <v>524</v>
      </c>
      <c r="G124" s="132">
        <v>22820015</v>
      </c>
      <c r="H124" s="132">
        <v>722108201</v>
      </c>
      <c r="I124" s="150" t="s">
        <v>561</v>
      </c>
      <c r="J124" s="149" t="str">
        <f>IF(D124="DOSEN",VLOOKUP(B124,Dosen!B:Z,7,FALSE),VLOOKUP(B124,TPA!B:Z,5,FALSE))</f>
        <v>PROFESIONAL</v>
      </c>
      <c r="K124" s="132" t="s">
        <v>30</v>
      </c>
      <c r="L124" s="132" t="s">
        <v>57</v>
      </c>
      <c r="M124" s="132" t="str">
        <f>IF(D124="DOSEN",VLOOKUP(B124,Dosen!B:ZZ,33,FALSE),VLOOKUP(B124,TPA!B:ZZ,44,FALSE))</f>
        <v>S2</v>
      </c>
      <c r="N124" s="146">
        <v>44832</v>
      </c>
      <c r="O124" s="146"/>
      <c r="P124" s="151" t="str">
        <f t="shared" ca="1" si="1"/>
        <v xml:space="preserve">3 tahun 3 bulan </v>
      </c>
      <c r="Q124" s="132" t="s">
        <v>562</v>
      </c>
      <c r="R124" s="132">
        <v>81553010001</v>
      </c>
      <c r="S124" s="132" t="s">
        <v>563</v>
      </c>
    </row>
    <row r="125" spans="1:19" ht="18.95">
      <c r="A125" s="132">
        <v>124</v>
      </c>
      <c r="B125" s="132" t="s">
        <v>564</v>
      </c>
      <c r="C125" s="132" t="s">
        <v>20</v>
      </c>
      <c r="D125" s="132" t="s">
        <v>21</v>
      </c>
      <c r="E125" s="132" t="str">
        <f>IF(D125="DOSEN",VLOOKUP(B125,Dosen!B:Z,11,FALSE),VLOOKUP(B125,TPA!B:Z,7,FALSE))</f>
        <v>AA</v>
      </c>
      <c r="F125" s="132" t="s">
        <v>524</v>
      </c>
      <c r="G125" s="132">
        <v>22950049</v>
      </c>
      <c r="H125" s="132">
        <v>705069501</v>
      </c>
      <c r="I125" s="150" t="s">
        <v>565</v>
      </c>
      <c r="J125" s="149" t="str">
        <f>IF(D125="DOSEN",VLOOKUP(B125,Dosen!B:Z,7,FALSE),VLOOKUP(B125,TPA!B:Z,5,FALSE))</f>
        <v>PROFESIONAL</v>
      </c>
      <c r="K125" s="132" t="s">
        <v>30</v>
      </c>
      <c r="L125" s="132" t="s">
        <v>309</v>
      </c>
      <c r="M125" s="132" t="str">
        <f>IF(D125="DOSEN",VLOOKUP(B125,Dosen!B:ZZ,33,FALSE),VLOOKUP(B125,TPA!B:ZZ,44,FALSE))</f>
        <v>S2</v>
      </c>
      <c r="N125" s="146">
        <v>44832</v>
      </c>
      <c r="O125" s="146"/>
      <c r="P125" s="151" t="str">
        <f t="shared" ca="1" si="1"/>
        <v xml:space="preserve">3 tahun 3 bulan </v>
      </c>
      <c r="Q125" s="132" t="s">
        <v>566</v>
      </c>
      <c r="R125" s="132">
        <v>82140045134</v>
      </c>
      <c r="S125" s="132" t="s">
        <v>567</v>
      </c>
    </row>
    <row r="126" spans="1:19" ht="18.95">
      <c r="A126" s="132">
        <v>125</v>
      </c>
      <c r="B126" s="132" t="s">
        <v>568</v>
      </c>
      <c r="C126" s="132" t="s">
        <v>20</v>
      </c>
      <c r="D126" s="132" t="s">
        <v>21</v>
      </c>
      <c r="E126" s="132" t="str">
        <f>IF(D126="DOSEN",VLOOKUP(B126,Dosen!B:Z,11,FALSE),VLOOKUP(B126,TPA!B:Z,7,FALSE))</f>
        <v>NJAD</v>
      </c>
      <c r="F126" s="132" t="s">
        <v>524</v>
      </c>
      <c r="G126" s="132">
        <v>22970009</v>
      </c>
      <c r="H126" s="149">
        <v>711069702</v>
      </c>
      <c r="I126" s="169" t="s">
        <v>569</v>
      </c>
      <c r="J126" s="149" t="str">
        <f>IF(D126="DOSEN",VLOOKUP(B126,Dosen!B:Z,7,FALSE),VLOOKUP(B126,TPA!B:Z,5,FALSE))</f>
        <v>TETAP</v>
      </c>
      <c r="K126" s="156" t="s">
        <v>30</v>
      </c>
      <c r="L126" s="132" t="s">
        <v>47</v>
      </c>
      <c r="M126" s="132" t="str">
        <f>IF(D126="DOSEN",VLOOKUP(B126,Dosen!B:ZZ,33,FALSE),VLOOKUP(B126,TPA!B:ZZ,44,FALSE))</f>
        <v>S2</v>
      </c>
      <c r="N126" s="146">
        <v>45170</v>
      </c>
      <c r="O126" s="146"/>
      <c r="P126" s="151" t="str">
        <f t="shared" ca="1" si="1"/>
        <v xml:space="preserve">2 tahun 4 bulan </v>
      </c>
      <c r="Q126" s="132" t="s">
        <v>570</v>
      </c>
      <c r="R126" s="132">
        <v>82217002454</v>
      </c>
      <c r="S126" s="132" t="s">
        <v>571</v>
      </c>
    </row>
    <row r="127" spans="1:19" ht="18.95">
      <c r="A127" s="143"/>
      <c r="B127" s="131" t="s">
        <v>572</v>
      </c>
      <c r="C127" s="143" t="s">
        <v>20</v>
      </c>
      <c r="D127" s="143" t="s">
        <v>573</v>
      </c>
      <c r="E127" s="132" t="str">
        <f>IF(D127="DOSEN",VLOOKUP(B127,Dosen!B:Z,11,FALSE),VLOOKUP(B127,TPA!B:Z,7,FALSE))</f>
        <v>MADYA.2</v>
      </c>
      <c r="F127" s="131" t="s">
        <v>574</v>
      </c>
      <c r="G127" s="131">
        <v>20930001</v>
      </c>
      <c r="H127" s="143"/>
      <c r="I127" s="143"/>
      <c r="J127" s="149" t="str">
        <f>IF(D127="DOSEN",VLOOKUP(B127,Dosen!B:Z,7,FALSE),VLOOKUP(B127,TPA!B:Z,5,FALSE))</f>
        <v>TETAP</v>
      </c>
      <c r="K127" s="143"/>
      <c r="L127" s="131" t="s">
        <v>575</v>
      </c>
      <c r="M127" s="132" t="str">
        <f>IF(D127="DOSEN",VLOOKUP(B127,Dosen!B:ZZ,33,FALSE),VLOOKUP(B127,TPA!B:ZZ,44,FALSE))</f>
        <v>S1</v>
      </c>
      <c r="N127" s="172">
        <v>43221</v>
      </c>
      <c r="O127" s="267"/>
      <c r="P127" s="151" t="str">
        <f t="shared" ca="1" si="1"/>
        <v xml:space="preserve">7 tahun 8 bulan </v>
      </c>
      <c r="Q127" s="143"/>
      <c r="R127" s="173">
        <v>81334505778</v>
      </c>
      <c r="S127" s="131" t="s">
        <v>576</v>
      </c>
    </row>
    <row r="128" spans="1:19" ht="18.95">
      <c r="A128" s="143"/>
      <c r="B128" s="131" t="s">
        <v>577</v>
      </c>
      <c r="C128" s="143" t="s">
        <v>20</v>
      </c>
      <c r="D128" s="143" t="s">
        <v>573</v>
      </c>
      <c r="E128" s="132" t="str">
        <f>IF(D128="DOSEN",VLOOKUP(B128,Dosen!B:Z,11,FALSE),VLOOKUP(B128,TPA!B:Z,7,FALSE))</f>
        <v>MADYA.2</v>
      </c>
      <c r="F128" s="131" t="s">
        <v>578</v>
      </c>
      <c r="G128" s="131">
        <v>20950002</v>
      </c>
      <c r="H128" s="143"/>
      <c r="I128" s="143"/>
      <c r="J128" s="149" t="str">
        <f>IF(D128="DOSEN",VLOOKUP(B128,Dosen!B:Z,7,FALSE),VLOOKUP(B128,TPA!B:Z,5,FALSE))</f>
        <v>TETAP</v>
      </c>
      <c r="K128" s="143"/>
      <c r="L128" s="131" t="s">
        <v>579</v>
      </c>
      <c r="M128" s="132" t="str">
        <f>IF(D128="DOSEN",VLOOKUP(B128,Dosen!B:ZZ,33,FALSE),VLOOKUP(B128,TPA!B:ZZ,44,FALSE))</f>
        <v>S2</v>
      </c>
      <c r="N128" s="172">
        <v>43234</v>
      </c>
      <c r="O128" s="180"/>
      <c r="P128" s="151" t="str">
        <f t="shared" ca="1" si="1"/>
        <v xml:space="preserve">7 tahun 8 bulan </v>
      </c>
      <c r="Q128" s="143"/>
      <c r="R128" s="173">
        <v>81341544618</v>
      </c>
      <c r="S128" s="131" t="s">
        <v>580</v>
      </c>
    </row>
    <row r="129" spans="1:19" ht="18.95">
      <c r="A129" s="143"/>
      <c r="B129" s="131" t="s">
        <v>581</v>
      </c>
      <c r="C129" s="143" t="s">
        <v>20</v>
      </c>
      <c r="D129" s="143" t="s">
        <v>573</v>
      </c>
      <c r="E129" s="132" t="str">
        <f>IF(D129="DOSEN",VLOOKUP(B129,Dosen!B:Z,11,FALSE),VLOOKUP(B129,TPA!B:Z,7,FALSE))</f>
        <v>MADYA.2</v>
      </c>
      <c r="F129" s="131" t="s">
        <v>582</v>
      </c>
      <c r="G129" s="131">
        <v>20940003</v>
      </c>
      <c r="H129" s="143"/>
      <c r="I129" s="143"/>
      <c r="J129" s="149" t="str">
        <f>IF(D129="DOSEN",VLOOKUP(B129,Dosen!B:Z,7,FALSE),VLOOKUP(B129,TPA!B:Z,5,FALSE))</f>
        <v>TETAP</v>
      </c>
      <c r="K129" s="143"/>
      <c r="L129" s="131" t="s">
        <v>583</v>
      </c>
      <c r="M129" s="132" t="str">
        <f>IF(D129="DOSEN",VLOOKUP(B129,Dosen!B:ZZ,33,FALSE),VLOOKUP(B129,TPA!B:ZZ,44,FALSE))</f>
        <v>S1</v>
      </c>
      <c r="N129" s="172">
        <v>43435</v>
      </c>
      <c r="O129" s="180"/>
      <c r="P129" s="151" t="str">
        <f t="shared" ca="1" si="1"/>
        <v xml:space="preserve">7 tahun 1 bulan </v>
      </c>
      <c r="Q129" s="143"/>
      <c r="R129" s="173">
        <v>81244065640</v>
      </c>
      <c r="S129" s="131" t="s">
        <v>584</v>
      </c>
    </row>
    <row r="130" spans="1:19" ht="18.95">
      <c r="A130" s="143"/>
      <c r="B130" s="131" t="s">
        <v>585</v>
      </c>
      <c r="C130" s="143" t="s">
        <v>20</v>
      </c>
      <c r="D130" s="143" t="s">
        <v>573</v>
      </c>
      <c r="E130" s="132" t="str">
        <f>IF(D130="DOSEN",VLOOKUP(B130,Dosen!B:Z,11,FALSE),VLOOKUP(B130,TPA!B:Z,7,FALSE))</f>
        <v>MADYA.2</v>
      </c>
      <c r="F130" s="131" t="s">
        <v>586</v>
      </c>
      <c r="G130" s="131">
        <v>20950022</v>
      </c>
      <c r="H130" s="143"/>
      <c r="I130" s="143"/>
      <c r="J130" s="149" t="str">
        <f>IF(D130="DOSEN",VLOOKUP(B130,Dosen!B:Z,7,FALSE),VLOOKUP(B130,TPA!B:Z,5,FALSE))</f>
        <v>TETAP</v>
      </c>
      <c r="K130" s="143"/>
      <c r="L130" s="131" t="s">
        <v>583</v>
      </c>
      <c r="M130" s="132" t="str">
        <f>IF(D130="DOSEN",VLOOKUP(B130,Dosen!B:ZZ,33,FALSE),VLOOKUP(B130,TPA!B:ZZ,44,FALSE))</f>
        <v>S1</v>
      </c>
      <c r="N130" s="172">
        <v>43252</v>
      </c>
      <c r="O130" s="180"/>
      <c r="P130" s="151" t="str">
        <f t="shared" ca="1" si="1"/>
        <v xml:space="preserve">7 tahun 7 bulan </v>
      </c>
      <c r="Q130" s="143"/>
      <c r="R130" s="173">
        <v>85235692422</v>
      </c>
      <c r="S130" s="131" t="s">
        <v>587</v>
      </c>
    </row>
    <row r="131" spans="1:19" ht="18.95">
      <c r="A131" s="143"/>
      <c r="B131" s="131" t="s">
        <v>588</v>
      </c>
      <c r="C131" s="143" t="s">
        <v>20</v>
      </c>
      <c r="D131" s="143" t="s">
        <v>573</v>
      </c>
      <c r="E131" s="132" t="str">
        <f>IF(D131="DOSEN",VLOOKUP(B131,Dosen!B:Z,11,FALSE),VLOOKUP(B131,TPA!B:Z,7,FALSE))</f>
        <v>MADYA.2</v>
      </c>
      <c r="F131" s="131" t="s">
        <v>589</v>
      </c>
      <c r="G131" s="131">
        <v>20850009</v>
      </c>
      <c r="H131" s="143"/>
      <c r="I131" s="143"/>
      <c r="J131" s="149" t="str">
        <f>IF(D131="DOSEN",VLOOKUP(B131,Dosen!B:Z,7,FALSE),VLOOKUP(B131,TPA!B:Z,5,FALSE))</f>
        <v>TETAP</v>
      </c>
      <c r="K131" s="143"/>
      <c r="L131" s="131" t="s">
        <v>590</v>
      </c>
      <c r="M131" s="132" t="str">
        <f>IF(D131="DOSEN",VLOOKUP(B131,Dosen!B:ZZ,33,FALSE),VLOOKUP(B131,TPA!B:ZZ,44,FALSE))</f>
        <v>D4</v>
      </c>
      <c r="N131" s="172">
        <v>43252</v>
      </c>
      <c r="O131" s="180"/>
      <c r="P131" s="151" t="str">
        <f t="shared" ref="P131:P194" ca="1" si="2">IF(O131="",DATEDIF(N131,TODAY(),"y")&amp;" tahun "&amp;DATEDIF(N131,TODAY(),"ym")&amp;" bulan ",DATEDIF(N131,O131,"y")&amp;" tahun "&amp;DATEDIF(N131,O131,"ym")&amp;" bulan ")</f>
        <v xml:space="preserve">7 tahun 7 bulan </v>
      </c>
      <c r="Q131" s="143"/>
      <c r="R131" s="173">
        <v>81336134584</v>
      </c>
      <c r="S131" s="131" t="s">
        <v>591</v>
      </c>
    </row>
    <row r="132" spans="1:19" ht="18.95">
      <c r="A132" s="143"/>
      <c r="B132" s="171" t="s">
        <v>592</v>
      </c>
      <c r="C132" s="143" t="s">
        <v>20</v>
      </c>
      <c r="D132" s="143" t="s">
        <v>573</v>
      </c>
      <c r="E132" s="132" t="str">
        <f>IF(D132="DOSEN",VLOOKUP(B132,Dosen!B:Z,11,FALSE),VLOOKUP(B132,TPA!B:Z,7,FALSE))</f>
        <v>MADYA.2</v>
      </c>
      <c r="F132" s="131" t="s">
        <v>593</v>
      </c>
      <c r="G132" s="171">
        <v>20950024</v>
      </c>
      <c r="H132" s="143"/>
      <c r="I132" s="143"/>
      <c r="J132" s="149" t="str">
        <f>IF(D132="DOSEN",VLOOKUP(B132,Dosen!B:Z,7,FALSE),VLOOKUP(B132,TPA!B:Z,5,FALSE))</f>
        <v>TETAP</v>
      </c>
      <c r="K132" s="143"/>
      <c r="L132" s="131" t="s">
        <v>594</v>
      </c>
      <c r="M132" s="132" t="str">
        <f>IF(D132="DOSEN",VLOOKUP(B132,Dosen!B:ZZ,33,FALSE),VLOOKUP(B132,TPA!B:ZZ,44,FALSE))</f>
        <v>S1</v>
      </c>
      <c r="N132" s="172">
        <v>43252</v>
      </c>
      <c r="O132" s="180"/>
      <c r="P132" s="151" t="str">
        <f t="shared" ca="1" si="2"/>
        <v xml:space="preserve">7 tahun 7 bulan </v>
      </c>
      <c r="Q132" s="143"/>
      <c r="R132" s="173">
        <v>81220285518</v>
      </c>
      <c r="S132" s="131" t="s">
        <v>595</v>
      </c>
    </row>
    <row r="133" spans="1:19" ht="18.95">
      <c r="A133" s="143"/>
      <c r="B133" s="171" t="s">
        <v>596</v>
      </c>
      <c r="C133" s="143" t="s">
        <v>20</v>
      </c>
      <c r="D133" s="143" t="s">
        <v>573</v>
      </c>
      <c r="E133" s="132" t="str">
        <f>IF(D133="DOSEN",VLOOKUP(B133,Dosen!B:Z,11,FALSE),VLOOKUP(B133,TPA!B:Z,7,FALSE))</f>
        <v>MADYA.2</v>
      </c>
      <c r="F133" s="131" t="s">
        <v>597</v>
      </c>
      <c r="G133" s="171">
        <v>20940020</v>
      </c>
      <c r="H133" s="143"/>
      <c r="I133" s="143"/>
      <c r="J133" s="149" t="str">
        <f>IF(D133="DOSEN",VLOOKUP(B133,Dosen!B:Z,7,FALSE),VLOOKUP(B133,TPA!B:Z,5,FALSE))</f>
        <v>TETAP</v>
      </c>
      <c r="K133" s="143"/>
      <c r="L133" s="131" t="s">
        <v>575</v>
      </c>
      <c r="M133" s="132" t="str">
        <f>IF(D133="DOSEN",VLOOKUP(B133,Dosen!B:ZZ,33,FALSE),VLOOKUP(B133,TPA!B:ZZ,44,FALSE))</f>
        <v>S1</v>
      </c>
      <c r="N133" s="172">
        <v>43374</v>
      </c>
      <c r="O133" s="180"/>
      <c r="P133" s="151" t="str">
        <f t="shared" ca="1" si="2"/>
        <v xml:space="preserve">7 tahun 3 bulan </v>
      </c>
      <c r="Q133" s="143"/>
      <c r="R133" s="173">
        <v>82331336800</v>
      </c>
      <c r="S133" s="131" t="s">
        <v>598</v>
      </c>
    </row>
    <row r="134" spans="1:19" ht="18.95">
      <c r="A134" s="143"/>
      <c r="B134" s="171" t="s">
        <v>599</v>
      </c>
      <c r="C134" s="143" t="s">
        <v>20</v>
      </c>
      <c r="D134" s="143" t="s">
        <v>573</v>
      </c>
      <c r="E134" s="132" t="str">
        <f>IF(D134="DOSEN",VLOOKUP(B134,Dosen!B:Z,11,FALSE),VLOOKUP(B134,TPA!B:Z,7,FALSE))</f>
        <v>MADYA.2</v>
      </c>
      <c r="F134" s="131" t="s">
        <v>597</v>
      </c>
      <c r="G134" s="171">
        <v>20930038</v>
      </c>
      <c r="H134" s="143"/>
      <c r="I134" s="143"/>
      <c r="J134" s="149" t="str">
        <f>IF(D134="DOSEN",VLOOKUP(B134,Dosen!B:Z,7,FALSE),VLOOKUP(B134,TPA!B:Z,5,FALSE))</f>
        <v>TETAP</v>
      </c>
      <c r="K134" s="143"/>
      <c r="L134" s="131" t="s">
        <v>600</v>
      </c>
      <c r="M134" s="132" t="str">
        <f>IF(D134="DOSEN",VLOOKUP(B134,Dosen!B:ZZ,33,FALSE),VLOOKUP(B134,TPA!B:ZZ,44,FALSE))</f>
        <v>D4</v>
      </c>
      <c r="N134" s="172">
        <v>43405</v>
      </c>
      <c r="O134" s="180"/>
      <c r="P134" s="151" t="str">
        <f t="shared" ca="1" si="2"/>
        <v xml:space="preserve">7 tahun 2 bulan </v>
      </c>
      <c r="Q134" s="143"/>
      <c r="R134" s="173">
        <v>81336443559</v>
      </c>
      <c r="S134" s="131" t="s">
        <v>601</v>
      </c>
    </row>
    <row r="135" spans="1:19" ht="18.95">
      <c r="A135" s="143"/>
      <c r="B135" s="171" t="s">
        <v>602</v>
      </c>
      <c r="C135" s="143" t="s">
        <v>20</v>
      </c>
      <c r="D135" s="143" t="s">
        <v>573</v>
      </c>
      <c r="E135" s="132" t="str">
        <f>IF(D135="DOSEN",VLOOKUP(B135,Dosen!B:Z,11,FALSE),VLOOKUP(B135,TPA!B:Z,7,FALSE))</f>
        <v>MUDA.3</v>
      </c>
      <c r="F135" s="131" t="s">
        <v>603</v>
      </c>
      <c r="G135" s="171">
        <v>20920041</v>
      </c>
      <c r="H135" s="143"/>
      <c r="I135" s="143"/>
      <c r="J135" s="149" t="str">
        <f>IF(D135="DOSEN",VLOOKUP(B135,Dosen!B:Z,7,FALSE),VLOOKUP(B135,TPA!B:Z,5,FALSE))</f>
        <v>TETAP</v>
      </c>
      <c r="K135" s="143"/>
      <c r="L135" s="131" t="s">
        <v>604</v>
      </c>
      <c r="M135" s="132" t="str">
        <f>IF(D135="DOSEN",VLOOKUP(B135,Dosen!B:ZZ,33,FALSE),VLOOKUP(B135,TPA!B:ZZ,44,FALSE))</f>
        <v>D3</v>
      </c>
      <c r="N135" s="172">
        <v>43435</v>
      </c>
      <c r="O135" s="180"/>
      <c r="P135" s="151" t="str">
        <f t="shared" ca="1" si="2"/>
        <v xml:space="preserve">7 tahun 1 bulan </v>
      </c>
      <c r="Q135" s="143"/>
      <c r="R135" s="173">
        <v>82233007249</v>
      </c>
      <c r="S135" s="131" t="s">
        <v>605</v>
      </c>
    </row>
    <row r="136" spans="1:19" ht="18.95">
      <c r="A136" s="143"/>
      <c r="B136" s="171" t="s">
        <v>606</v>
      </c>
      <c r="C136" s="143" t="s">
        <v>20</v>
      </c>
      <c r="D136" s="143" t="s">
        <v>573</v>
      </c>
      <c r="E136" s="132" t="str">
        <f>IF(D136="DOSEN",VLOOKUP(B136,Dosen!B:Z,11,FALSE),VLOOKUP(B136,TPA!B:Z,7,FALSE))</f>
        <v>AHLI.2</v>
      </c>
      <c r="F136" s="131" t="s">
        <v>603</v>
      </c>
      <c r="G136" s="175" t="s">
        <v>607</v>
      </c>
      <c r="H136" s="143"/>
      <c r="I136" s="143"/>
      <c r="J136" s="149" t="str">
        <f>IF(D136="DOSEN",VLOOKUP(B136,Dosen!B:Z,7,FALSE),VLOOKUP(B136,TPA!B:Z,5,FALSE))</f>
        <v>TETAP</v>
      </c>
      <c r="K136" s="143"/>
      <c r="L136" s="131" t="s">
        <v>176</v>
      </c>
      <c r="M136" s="132" t="str">
        <f>IF(D136="DOSEN",VLOOKUP(B136,Dosen!B:ZZ,33,FALSE),VLOOKUP(B136,TPA!B:ZZ,44,FALSE))</f>
        <v>S2</v>
      </c>
      <c r="N136" s="172">
        <v>44652</v>
      </c>
      <c r="O136" s="180"/>
      <c r="P136" s="151" t="str">
        <f t="shared" ca="1" si="2"/>
        <v xml:space="preserve">3 tahun 9 bulan </v>
      </c>
      <c r="Q136" s="143"/>
      <c r="R136" s="173">
        <v>82114576275</v>
      </c>
      <c r="S136" s="131" t="s">
        <v>608</v>
      </c>
    </row>
    <row r="137" spans="1:19" ht="18.95">
      <c r="A137" s="143"/>
      <c r="B137" s="171" t="s">
        <v>609</v>
      </c>
      <c r="C137" s="143" t="s">
        <v>20</v>
      </c>
      <c r="D137" s="143" t="s">
        <v>573</v>
      </c>
      <c r="E137" s="132" t="str">
        <f>IF(D137="DOSEN",VLOOKUP(B137,Dosen!B:Z,11,FALSE),VLOOKUP(B137,TPA!B:Z,7,FALSE))</f>
        <v>MADYA.2</v>
      </c>
      <c r="F137" s="131" t="s">
        <v>610</v>
      </c>
      <c r="G137" s="171">
        <v>22900027</v>
      </c>
      <c r="H137" s="143"/>
      <c r="I137" s="143"/>
      <c r="J137" s="149" t="str">
        <f>IF(D137="DOSEN",VLOOKUP(B137,Dosen!B:Z,7,FALSE),VLOOKUP(B137,TPA!B:Z,5,FALSE))</f>
        <v>TETAP</v>
      </c>
      <c r="K137" s="143"/>
      <c r="L137" s="131" t="s">
        <v>611</v>
      </c>
      <c r="M137" s="132" t="str">
        <f>IF(D137="DOSEN",VLOOKUP(B137,Dosen!B:ZZ,33,FALSE),VLOOKUP(B137,TPA!B:ZZ,44,FALSE))</f>
        <v>S1</v>
      </c>
      <c r="N137" s="172">
        <v>43739</v>
      </c>
      <c r="O137" s="180"/>
      <c r="P137" s="151" t="str">
        <f t="shared" ca="1" si="2"/>
        <v xml:space="preserve">6 tahun 3 bulan </v>
      </c>
      <c r="Q137" s="143"/>
      <c r="R137" s="173">
        <v>82335716017</v>
      </c>
      <c r="S137" s="131" t="s">
        <v>612</v>
      </c>
    </row>
    <row r="138" spans="1:19" ht="18.95">
      <c r="A138" s="143"/>
      <c r="B138" s="171" t="s">
        <v>613</v>
      </c>
      <c r="C138" s="143" t="s">
        <v>20</v>
      </c>
      <c r="D138" s="143" t="s">
        <v>573</v>
      </c>
      <c r="E138" s="132" t="str">
        <f>IF(D138="DOSEN",VLOOKUP(B138,Dosen!B:Z,11,FALSE),VLOOKUP(B138,TPA!B:Z,7,FALSE))</f>
        <v>MADYA.2</v>
      </c>
      <c r="F138" s="131" t="s">
        <v>593</v>
      </c>
      <c r="G138" s="171">
        <v>22930015</v>
      </c>
      <c r="H138" s="143"/>
      <c r="I138" s="143"/>
      <c r="J138" s="149" t="str">
        <f>IF(D138="DOSEN",VLOOKUP(B138,Dosen!B:Z,7,FALSE),VLOOKUP(B138,TPA!B:Z,5,FALSE))</f>
        <v>TETAP</v>
      </c>
      <c r="K138" s="143"/>
      <c r="L138" s="131" t="s">
        <v>614</v>
      </c>
      <c r="M138" s="132" t="str">
        <f>IF(D138="DOSEN",VLOOKUP(B138,Dosen!B:ZZ,33,FALSE),VLOOKUP(B138,TPA!B:ZZ,44,FALSE))</f>
        <v>S1</v>
      </c>
      <c r="N138" s="172">
        <v>43831</v>
      </c>
      <c r="O138" s="180"/>
      <c r="P138" s="151" t="str">
        <f t="shared" ca="1" si="2"/>
        <v xml:space="preserve">6 tahun 0 bulan </v>
      </c>
      <c r="Q138" s="143"/>
      <c r="R138" s="173">
        <v>82231074322</v>
      </c>
      <c r="S138" s="131" t="s">
        <v>615</v>
      </c>
    </row>
    <row r="139" spans="1:19" ht="18.95">
      <c r="A139" s="143"/>
      <c r="B139" s="171" t="s">
        <v>616</v>
      </c>
      <c r="C139" s="143" t="s">
        <v>20</v>
      </c>
      <c r="D139" s="143" t="s">
        <v>573</v>
      </c>
      <c r="E139" s="132" t="str">
        <f>IF(D139="DOSEN",VLOOKUP(B139,Dosen!B:Z,11,FALSE),VLOOKUP(B139,TPA!B:Z,7,FALSE))</f>
        <v>MADYA.2</v>
      </c>
      <c r="F139" s="131" t="s">
        <v>617</v>
      </c>
      <c r="G139" s="171">
        <v>22950018</v>
      </c>
      <c r="H139" s="143"/>
      <c r="I139" s="143"/>
      <c r="J139" s="149" t="str">
        <f>IF(D139="DOSEN",VLOOKUP(B139,Dosen!B:Z,7,FALSE),VLOOKUP(B139,TPA!B:Z,5,FALSE))</f>
        <v>TETAP</v>
      </c>
      <c r="K139" s="143"/>
      <c r="L139" s="131" t="s">
        <v>594</v>
      </c>
      <c r="M139" s="132" t="str">
        <f>IF(D139="DOSEN",VLOOKUP(B139,Dosen!B:ZZ,33,FALSE),VLOOKUP(B139,TPA!B:ZZ,44,FALSE))</f>
        <v>S1</v>
      </c>
      <c r="N139" s="172">
        <v>43831</v>
      </c>
      <c r="O139" s="180"/>
      <c r="P139" s="151" t="str">
        <f t="shared" ca="1" si="2"/>
        <v xml:space="preserve">6 tahun 0 bulan </v>
      </c>
      <c r="Q139" s="143"/>
      <c r="R139" s="173">
        <v>85233100036</v>
      </c>
      <c r="S139" s="131" t="s">
        <v>618</v>
      </c>
    </row>
    <row r="140" spans="1:19" ht="18.95">
      <c r="A140" s="143"/>
      <c r="B140" s="171" t="s">
        <v>619</v>
      </c>
      <c r="C140" s="143" t="s">
        <v>20</v>
      </c>
      <c r="D140" s="143" t="s">
        <v>573</v>
      </c>
      <c r="E140" s="132" t="str">
        <f>IF(D140="DOSEN",VLOOKUP(B140,Dosen!B:Z,11,FALSE),VLOOKUP(B140,TPA!B:Z,7,FALSE))</f>
        <v>MADYA.2</v>
      </c>
      <c r="F140" s="131" t="s">
        <v>620</v>
      </c>
      <c r="G140" s="171">
        <v>22920014</v>
      </c>
      <c r="H140" s="143"/>
      <c r="I140" s="143"/>
      <c r="J140" s="149" t="str">
        <f>IF(D140="DOSEN",VLOOKUP(B140,Dosen!B:Z,7,FALSE),VLOOKUP(B140,TPA!B:Z,5,FALSE))</f>
        <v>TETAP</v>
      </c>
      <c r="K140" s="143"/>
      <c r="L140" s="131" t="s">
        <v>621</v>
      </c>
      <c r="M140" s="132" t="str">
        <f>IF(D140="DOSEN",VLOOKUP(B140,Dosen!B:ZZ,33,FALSE),VLOOKUP(B140,TPA!B:ZZ,44,FALSE))</f>
        <v>S1</v>
      </c>
      <c r="N140" s="172">
        <v>43892</v>
      </c>
      <c r="O140" s="180"/>
      <c r="P140" s="151" t="str">
        <f t="shared" ca="1" si="2"/>
        <v xml:space="preserve">5 tahun 10 bulan </v>
      </c>
      <c r="Q140" s="143"/>
      <c r="R140" s="173">
        <v>81353484808</v>
      </c>
      <c r="S140" s="131" t="s">
        <v>622</v>
      </c>
    </row>
    <row r="141" spans="1:19" ht="18.95">
      <c r="A141" s="143"/>
      <c r="B141" s="171" t="s">
        <v>623</v>
      </c>
      <c r="C141" s="143" t="s">
        <v>20</v>
      </c>
      <c r="D141" s="143" t="s">
        <v>573</v>
      </c>
      <c r="E141" s="132" t="str">
        <f>IF(D141="DOSEN",VLOOKUP(B141,Dosen!B:Z,11,FALSE),VLOOKUP(B141,TPA!B:Z,7,FALSE))</f>
        <v>MADYA.2</v>
      </c>
      <c r="F141" s="131" t="s">
        <v>624</v>
      </c>
      <c r="G141" s="171">
        <v>22930016</v>
      </c>
      <c r="H141" s="143"/>
      <c r="I141" s="143"/>
      <c r="J141" s="149" t="str">
        <f>IF(D141="DOSEN",VLOOKUP(B141,Dosen!B:Z,7,FALSE),VLOOKUP(B141,TPA!B:Z,5,FALSE))</f>
        <v>TETAP</v>
      </c>
      <c r="K141" s="143"/>
      <c r="L141" s="131" t="s">
        <v>625</v>
      </c>
      <c r="M141" s="132" t="str">
        <f>IF(D141="DOSEN",VLOOKUP(B141,Dosen!B:ZZ,33,FALSE),VLOOKUP(B141,TPA!B:ZZ,44,FALSE))</f>
        <v>S1</v>
      </c>
      <c r="N141" s="172">
        <v>43892</v>
      </c>
      <c r="O141" s="180"/>
      <c r="P141" s="151" t="str">
        <f t="shared" ca="1" si="2"/>
        <v xml:space="preserve">5 tahun 10 bulan </v>
      </c>
      <c r="Q141" s="143"/>
      <c r="R141" s="173">
        <v>82132224802</v>
      </c>
      <c r="S141" s="131" t="s">
        <v>626</v>
      </c>
    </row>
    <row r="142" spans="1:19" ht="18.95">
      <c r="A142" s="143"/>
      <c r="B142" s="171" t="s">
        <v>627</v>
      </c>
      <c r="C142" s="143" t="s">
        <v>20</v>
      </c>
      <c r="D142" s="143" t="s">
        <v>573</v>
      </c>
      <c r="E142" s="132" t="str">
        <f>IF(D142="DOSEN",VLOOKUP(B142,Dosen!B:Z,11,FALSE),VLOOKUP(B142,TPA!B:Z,7,FALSE))</f>
        <v>MADYA.1</v>
      </c>
      <c r="F142" s="131" t="s">
        <v>628</v>
      </c>
      <c r="G142" s="171">
        <v>22930017</v>
      </c>
      <c r="H142" s="143"/>
      <c r="I142" s="143"/>
      <c r="J142" s="149" t="str">
        <f>IF(D142="DOSEN",VLOOKUP(B142,Dosen!B:Z,7,FALSE),VLOOKUP(B142,TPA!B:Z,5,FALSE))</f>
        <v>TETAP</v>
      </c>
      <c r="K142" s="143"/>
      <c r="L142" s="131" t="s">
        <v>583</v>
      </c>
      <c r="M142" s="132" t="str">
        <f>IF(D142="DOSEN",VLOOKUP(B142,Dosen!B:ZZ,33,FALSE),VLOOKUP(B142,TPA!B:ZZ,44,FALSE))</f>
        <v>S1</v>
      </c>
      <c r="N142" s="172">
        <v>43892</v>
      </c>
      <c r="O142" s="180"/>
      <c r="P142" s="151" t="str">
        <f t="shared" ca="1" si="2"/>
        <v xml:space="preserve">5 tahun 10 bulan </v>
      </c>
      <c r="Q142" s="143"/>
      <c r="R142" s="173">
        <v>81252988681</v>
      </c>
      <c r="S142" s="131" t="s">
        <v>629</v>
      </c>
    </row>
    <row r="143" spans="1:19" ht="18.95">
      <c r="A143" s="143"/>
      <c r="B143" s="171" t="s">
        <v>630</v>
      </c>
      <c r="C143" s="143" t="s">
        <v>20</v>
      </c>
      <c r="D143" s="143" t="s">
        <v>573</v>
      </c>
      <c r="E143" s="132" t="str">
        <f>IF(D143="DOSEN",VLOOKUP(B143,Dosen!B:Z,11,FALSE),VLOOKUP(B143,TPA!B:Z,7,FALSE))</f>
        <v>MADYA.2</v>
      </c>
      <c r="F143" s="131" t="s">
        <v>631</v>
      </c>
      <c r="G143" s="171">
        <v>22920012</v>
      </c>
      <c r="H143" s="143"/>
      <c r="I143" s="143"/>
      <c r="J143" s="149" t="str">
        <f>IF(D143="DOSEN",VLOOKUP(B143,Dosen!B:Z,7,FALSE),VLOOKUP(B143,TPA!B:Z,5,FALSE))</f>
        <v>TETAP</v>
      </c>
      <c r="K143" s="143"/>
      <c r="L143" s="131" t="s">
        <v>575</v>
      </c>
      <c r="M143" s="132" t="str">
        <f>IF(D143="DOSEN",VLOOKUP(B143,Dosen!B:ZZ,33,FALSE),VLOOKUP(B143,TPA!B:ZZ,44,FALSE))</f>
        <v>S1</v>
      </c>
      <c r="N143" s="172">
        <v>44105</v>
      </c>
      <c r="O143" s="180"/>
      <c r="P143" s="151" t="str">
        <f t="shared" ca="1" si="2"/>
        <v xml:space="preserve">5 tahun 3 bulan </v>
      </c>
      <c r="Q143" s="143"/>
      <c r="R143" s="173">
        <v>81342282890</v>
      </c>
      <c r="S143" s="131" t="s">
        <v>632</v>
      </c>
    </row>
    <row r="144" spans="1:19" ht="18.95">
      <c r="A144" s="143"/>
      <c r="B144" s="171" t="s">
        <v>633</v>
      </c>
      <c r="C144" s="143" t="s">
        <v>20</v>
      </c>
      <c r="D144" s="143" t="s">
        <v>573</v>
      </c>
      <c r="E144" s="132" t="str">
        <f>IF(D144="DOSEN",VLOOKUP(B144,Dosen!B:Z,11,FALSE),VLOOKUP(B144,TPA!B:Z,7,FALSE))</f>
        <v>MADYA.1</v>
      </c>
      <c r="F144" s="131" t="s">
        <v>634</v>
      </c>
      <c r="G144" s="171">
        <v>22920013</v>
      </c>
      <c r="H144" s="143"/>
      <c r="I144" s="143"/>
      <c r="J144" s="149" t="str">
        <f>IF(D144="DOSEN",VLOOKUP(B144,Dosen!B:Z,7,FALSE),VLOOKUP(B144,TPA!B:Z,5,FALSE))</f>
        <v>TETAP</v>
      </c>
      <c r="K144" s="143"/>
      <c r="L144" s="131" t="s">
        <v>635</v>
      </c>
      <c r="M144" s="132" t="str">
        <f>IF(D144="DOSEN",VLOOKUP(B144,Dosen!B:ZZ,33,FALSE),VLOOKUP(B144,TPA!B:ZZ,44,FALSE))</f>
        <v>S1</v>
      </c>
      <c r="N144" s="172">
        <v>43892</v>
      </c>
      <c r="O144" s="180"/>
      <c r="P144" s="151" t="str">
        <f t="shared" ca="1" si="2"/>
        <v xml:space="preserve">5 tahun 10 bulan </v>
      </c>
      <c r="Q144" s="143"/>
      <c r="R144" s="173">
        <v>81210370937</v>
      </c>
      <c r="S144" s="131" t="s">
        <v>636</v>
      </c>
    </row>
    <row r="145" spans="1:19" ht="18.95">
      <c r="A145" s="143"/>
      <c r="B145" s="171" t="s">
        <v>637</v>
      </c>
      <c r="C145" s="143" t="s">
        <v>20</v>
      </c>
      <c r="D145" s="143" t="s">
        <v>573</v>
      </c>
      <c r="E145" s="132" t="str">
        <f>IF(D145="DOSEN",VLOOKUP(B145,Dosen!B:Z,11,FALSE),VLOOKUP(B145,TPA!B:Z,7,FALSE))</f>
        <v>MADYA.2</v>
      </c>
      <c r="F145" s="131" t="s">
        <v>638</v>
      </c>
      <c r="G145" s="171">
        <v>22940011</v>
      </c>
      <c r="H145" s="143"/>
      <c r="I145" s="143"/>
      <c r="J145" s="149" t="str">
        <f>IF(D145="DOSEN",VLOOKUP(B145,Dosen!B:Z,7,FALSE),VLOOKUP(B145,TPA!B:Z,5,FALSE))</f>
        <v>TETAP</v>
      </c>
      <c r="K145" s="143"/>
      <c r="L145" s="131" t="s">
        <v>639</v>
      </c>
      <c r="M145" s="132" t="str">
        <f>IF(D145="DOSEN",VLOOKUP(B145,Dosen!B:ZZ,33,FALSE),VLOOKUP(B145,TPA!B:ZZ,44,FALSE))</f>
        <v>S1</v>
      </c>
      <c r="N145" s="172">
        <v>43709</v>
      </c>
      <c r="O145" s="180"/>
      <c r="P145" s="151" t="str">
        <f t="shared" ca="1" si="2"/>
        <v xml:space="preserve">6 tahun 4 bulan </v>
      </c>
      <c r="Q145" s="143"/>
      <c r="R145" s="173">
        <v>81336683116</v>
      </c>
      <c r="S145" s="131" t="s">
        <v>640</v>
      </c>
    </row>
    <row r="146" spans="1:19" ht="18.95">
      <c r="A146" s="143"/>
      <c r="B146" s="171" t="s">
        <v>641</v>
      </c>
      <c r="C146" s="143" t="s">
        <v>20</v>
      </c>
      <c r="D146" s="143" t="s">
        <v>573</v>
      </c>
      <c r="E146" s="132" t="str">
        <f>IF(D146="DOSEN",VLOOKUP(B146,Dosen!B:Z,11,FALSE),VLOOKUP(B146,TPA!B:Z,7,FALSE))</f>
        <v>MADYA.1</v>
      </c>
      <c r="F146" s="131" t="s">
        <v>628</v>
      </c>
      <c r="G146" s="171">
        <v>23930014</v>
      </c>
      <c r="H146" s="143"/>
      <c r="I146" s="143"/>
      <c r="J146" s="149" t="str">
        <f>IF(D146="DOSEN",VLOOKUP(B146,Dosen!B:Z,7,FALSE),VLOOKUP(B146,TPA!B:Z,5,FALSE))</f>
        <v>TETAP</v>
      </c>
      <c r="K146" s="143"/>
      <c r="L146" s="131" t="s">
        <v>600</v>
      </c>
      <c r="M146" s="132" t="str">
        <f>IF(D146="DOSEN",VLOOKUP(B146,Dosen!B:ZZ,33,FALSE),VLOOKUP(B146,TPA!B:ZZ,44,FALSE))</f>
        <v>D4</v>
      </c>
      <c r="N146" s="172">
        <v>43831</v>
      </c>
      <c r="O146" s="180"/>
      <c r="P146" s="151" t="str">
        <f t="shared" ca="1" si="2"/>
        <v xml:space="preserve">6 tahun 0 bulan </v>
      </c>
      <c r="Q146" s="143"/>
      <c r="R146" s="173">
        <v>81222774817</v>
      </c>
      <c r="S146" s="131" t="s">
        <v>642</v>
      </c>
    </row>
    <row r="147" spans="1:19" ht="18.95">
      <c r="A147" s="143"/>
      <c r="B147" s="171" t="s">
        <v>643</v>
      </c>
      <c r="C147" s="143" t="s">
        <v>20</v>
      </c>
      <c r="D147" s="143" t="s">
        <v>573</v>
      </c>
      <c r="E147" s="132" t="str">
        <f>IF(D147="DOSEN",VLOOKUP(B147,Dosen!B:Z,11,FALSE),VLOOKUP(B147,TPA!B:Z,7,FALSE))</f>
        <v>MADYA.1</v>
      </c>
      <c r="F147" s="131" t="s">
        <v>586</v>
      </c>
      <c r="G147" s="171">
        <v>23930015</v>
      </c>
      <c r="H147" s="143"/>
      <c r="I147" s="143"/>
      <c r="J147" s="149" t="str">
        <f>IF(D147="DOSEN",VLOOKUP(B147,Dosen!B:Z,7,FALSE),VLOOKUP(B147,TPA!B:Z,5,FALSE))</f>
        <v>TETAP</v>
      </c>
      <c r="K147" s="143"/>
      <c r="L147" s="131" t="s">
        <v>583</v>
      </c>
      <c r="M147" s="132" t="str">
        <f>IF(D147="DOSEN",VLOOKUP(B147,Dosen!B:ZZ,33,FALSE),VLOOKUP(B147,TPA!B:ZZ,44,FALSE))</f>
        <v>S1</v>
      </c>
      <c r="N147" s="172">
        <v>43892</v>
      </c>
      <c r="O147" s="180"/>
      <c r="P147" s="151" t="str">
        <f t="shared" ca="1" si="2"/>
        <v xml:space="preserve">5 tahun 10 bulan </v>
      </c>
      <c r="Q147" s="143"/>
      <c r="R147" s="173">
        <v>82131774818</v>
      </c>
      <c r="S147" s="131" t="s">
        <v>644</v>
      </c>
    </row>
    <row r="148" spans="1:19" ht="18.95">
      <c r="A148" s="143"/>
      <c r="B148" s="171" t="s">
        <v>645</v>
      </c>
      <c r="C148" s="143" t="s">
        <v>20</v>
      </c>
      <c r="D148" s="143" t="s">
        <v>573</v>
      </c>
      <c r="E148" s="132" t="str">
        <f>IF(D148="DOSEN",VLOOKUP(B148,Dosen!B:Z,11,FALSE),VLOOKUP(B148,TPA!B:Z,7,FALSE))</f>
        <v>MADYA.1</v>
      </c>
      <c r="F148" s="131" t="s">
        <v>646</v>
      </c>
      <c r="G148" s="171">
        <v>23940011</v>
      </c>
      <c r="H148" s="143"/>
      <c r="I148" s="143"/>
      <c r="J148" s="149" t="str">
        <f>IF(D148="DOSEN",VLOOKUP(B148,Dosen!B:Z,7,FALSE),VLOOKUP(B148,TPA!B:Z,5,FALSE))</f>
        <v>TETAP</v>
      </c>
      <c r="K148" s="143"/>
      <c r="L148" s="131" t="s">
        <v>583</v>
      </c>
      <c r="M148" s="132" t="str">
        <f>IF(D148="DOSEN",VLOOKUP(B148,Dosen!B:ZZ,33,FALSE),VLOOKUP(B148,TPA!B:ZZ,44,FALSE))</f>
        <v>S1</v>
      </c>
      <c r="N148" s="172">
        <v>44197</v>
      </c>
      <c r="O148" s="180"/>
      <c r="P148" s="151" t="str">
        <f t="shared" ca="1" si="2"/>
        <v xml:space="preserve">5 tahun 0 bulan </v>
      </c>
      <c r="Q148" s="143"/>
      <c r="R148" s="173">
        <v>82331579997</v>
      </c>
      <c r="S148" s="131" t="s">
        <v>647</v>
      </c>
    </row>
    <row r="149" spans="1:19" ht="18.95">
      <c r="A149" s="143"/>
      <c r="B149" s="171" t="s">
        <v>648</v>
      </c>
      <c r="C149" s="143" t="s">
        <v>20</v>
      </c>
      <c r="D149" s="143" t="s">
        <v>573</v>
      </c>
      <c r="E149" s="132" t="str">
        <f>IF(D149="DOSEN",VLOOKUP(B149,Dosen!B:Z,11,FALSE),VLOOKUP(B149,TPA!B:Z,7,FALSE))</f>
        <v>MUDA.1</v>
      </c>
      <c r="F149" s="131" t="s">
        <v>649</v>
      </c>
      <c r="G149" s="171">
        <v>23980039</v>
      </c>
      <c r="H149" s="143"/>
      <c r="I149" s="143"/>
      <c r="J149" s="149" t="str">
        <f>IF(D149="DOSEN",VLOOKUP(B149,Dosen!B:Z,7,FALSE),VLOOKUP(B149,TPA!B:Z,5,FALSE))</f>
        <v>TETAP</v>
      </c>
      <c r="K149" s="143"/>
      <c r="L149" s="131" t="s">
        <v>650</v>
      </c>
      <c r="M149" s="132" t="str">
        <f>IF(D149="DOSEN",VLOOKUP(B149,Dosen!B:ZZ,33,FALSE),VLOOKUP(B149,TPA!B:ZZ,44,FALSE))</f>
        <v>D3</v>
      </c>
      <c r="N149" s="172">
        <v>44197</v>
      </c>
      <c r="O149" s="180"/>
      <c r="P149" s="151" t="str">
        <f t="shared" ca="1" si="2"/>
        <v xml:space="preserve">5 tahun 0 bulan </v>
      </c>
      <c r="Q149" s="143"/>
      <c r="R149" s="173">
        <v>82131433223</v>
      </c>
      <c r="S149" s="131" t="s">
        <v>651</v>
      </c>
    </row>
    <row r="150" spans="1:19" ht="18.95">
      <c r="A150" s="143"/>
      <c r="B150" s="171" t="s">
        <v>652</v>
      </c>
      <c r="C150" s="143" t="s">
        <v>20</v>
      </c>
      <c r="D150" s="143" t="s">
        <v>573</v>
      </c>
      <c r="E150" s="132" t="str">
        <f>IF(D150="DOSEN",VLOOKUP(B150,Dosen!B:Z,11,FALSE),VLOOKUP(B150,TPA!B:Z,7,FALSE))</f>
        <v>MADYA.1</v>
      </c>
      <c r="F150" s="131" t="s">
        <v>649</v>
      </c>
      <c r="G150" s="171">
        <v>23950022</v>
      </c>
      <c r="H150" s="143"/>
      <c r="I150" s="143"/>
      <c r="J150" s="149" t="str">
        <f>IF(D150="DOSEN",VLOOKUP(B150,Dosen!B:Z,7,FALSE),VLOOKUP(B150,TPA!B:Z,5,FALSE))</f>
        <v>TETAP</v>
      </c>
      <c r="K150" s="143"/>
      <c r="L150" s="131" t="s">
        <v>653</v>
      </c>
      <c r="M150" s="132" t="str">
        <f>IF(D150="DOSEN",VLOOKUP(B150,Dosen!B:ZZ,33,FALSE),VLOOKUP(B150,TPA!B:ZZ,44,FALSE))</f>
        <v>S1</v>
      </c>
      <c r="N150" s="172">
        <v>44531</v>
      </c>
      <c r="O150" s="180"/>
      <c r="P150" s="151" t="str">
        <f t="shared" ca="1" si="2"/>
        <v xml:space="preserve">4 tahun 1 bulan </v>
      </c>
      <c r="Q150" s="143"/>
      <c r="R150" s="173">
        <v>81334323355</v>
      </c>
      <c r="S150" s="131" t="s">
        <v>654</v>
      </c>
    </row>
    <row r="151" spans="1:19" ht="18.95">
      <c r="A151" s="143"/>
      <c r="B151" s="171" t="s">
        <v>655</v>
      </c>
      <c r="C151" s="143" t="s">
        <v>20</v>
      </c>
      <c r="D151" s="143" t="s">
        <v>573</v>
      </c>
      <c r="E151" s="132" t="str">
        <f>IF(D151="DOSEN",VLOOKUP(B151,Dosen!B:Z,11,FALSE),VLOOKUP(B151,TPA!B:Z,7,FALSE))</f>
        <v>MADYA.1</v>
      </c>
      <c r="F151" s="131" t="s">
        <v>656</v>
      </c>
      <c r="G151" s="171">
        <v>23950025</v>
      </c>
      <c r="H151" s="143"/>
      <c r="I151" s="143"/>
      <c r="J151" s="149" t="str">
        <f>IF(D151="DOSEN",VLOOKUP(B151,Dosen!B:Z,7,FALSE),VLOOKUP(B151,TPA!B:Z,5,FALSE))</f>
        <v>TETAP</v>
      </c>
      <c r="K151" s="143"/>
      <c r="L151" s="131" t="s">
        <v>583</v>
      </c>
      <c r="M151" s="132" t="str">
        <f>IF(D151="DOSEN",VLOOKUP(B151,Dosen!B:ZZ,33,FALSE),VLOOKUP(B151,TPA!B:ZZ,44,FALSE))</f>
        <v>S1</v>
      </c>
      <c r="N151" s="172">
        <v>44621</v>
      </c>
      <c r="O151" s="180"/>
      <c r="P151" s="151" t="str">
        <f t="shared" ca="1" si="2"/>
        <v xml:space="preserve">3 tahun 10 bulan </v>
      </c>
      <c r="Q151" s="143"/>
      <c r="R151" s="173">
        <v>82142624461</v>
      </c>
      <c r="S151" s="131" t="s">
        <v>657</v>
      </c>
    </row>
    <row r="152" spans="1:19" ht="18.95">
      <c r="A152" s="143"/>
      <c r="B152" s="171" t="s">
        <v>658</v>
      </c>
      <c r="C152" s="143" t="s">
        <v>46</v>
      </c>
      <c r="D152" s="143" t="s">
        <v>573</v>
      </c>
      <c r="E152" s="132" t="str">
        <f>IF(D152="DOSEN",VLOOKUP(B152,Dosen!B:Z,11,FALSE),VLOOKUP(B152,TPA!B:Z,7,FALSE))</f>
        <v>MADYA.1</v>
      </c>
      <c r="F152" s="131" t="s">
        <v>597</v>
      </c>
      <c r="G152" s="171">
        <v>24920003</v>
      </c>
      <c r="H152" s="143"/>
      <c r="I152" s="143"/>
      <c r="J152" s="149" t="str">
        <f>IF(D152="DOSEN",VLOOKUP(B152,Dosen!B:Z,7,FALSE),VLOOKUP(B152,TPA!B:Z,5,FALSE))</f>
        <v>TETAP</v>
      </c>
      <c r="K152" s="143"/>
      <c r="L152" s="131" t="s">
        <v>625</v>
      </c>
      <c r="M152" s="132" t="str">
        <f>IF(D152="DOSEN",VLOOKUP(B152,Dosen!B:ZZ,33,FALSE),VLOOKUP(B152,TPA!B:ZZ,44,FALSE))</f>
        <v>S1</v>
      </c>
      <c r="N152" s="172">
        <v>43709</v>
      </c>
      <c r="O152" s="180">
        <v>45839</v>
      </c>
      <c r="P152" s="151" t="str">
        <f t="shared" ca="1" si="2"/>
        <v xml:space="preserve">5 tahun 10 bulan </v>
      </c>
      <c r="Q152" s="143"/>
      <c r="R152" s="173">
        <v>81328973454</v>
      </c>
      <c r="S152" s="131" t="s">
        <v>659</v>
      </c>
    </row>
    <row r="153" spans="1:19" ht="18.95">
      <c r="A153" s="143"/>
      <c r="B153" s="171" t="s">
        <v>660</v>
      </c>
      <c r="C153" s="143" t="s">
        <v>20</v>
      </c>
      <c r="D153" s="143" t="s">
        <v>573</v>
      </c>
      <c r="E153" s="132" t="str">
        <f>IF(D153="DOSEN",VLOOKUP(B153,Dosen!B:Z,11,FALSE),VLOOKUP(B153,TPA!B:Z,7,FALSE))</f>
        <v>MADYA.1</v>
      </c>
      <c r="F153" s="131" t="s">
        <v>661</v>
      </c>
      <c r="G153" s="171">
        <v>24880004</v>
      </c>
      <c r="H153" s="143"/>
      <c r="I153" s="143"/>
      <c r="J153" s="149" t="str">
        <f>IF(D153="DOSEN",VLOOKUP(B153,Dosen!B:Z,7,FALSE),VLOOKUP(B153,TPA!B:Z,5,FALSE))</f>
        <v>TETAP</v>
      </c>
      <c r="K153" s="143"/>
      <c r="L153" s="131" t="s">
        <v>662</v>
      </c>
      <c r="M153" s="132" t="str">
        <f>IF(D153="DOSEN",VLOOKUP(B153,Dosen!B:ZZ,33,FALSE),VLOOKUP(B153,TPA!B:ZZ,44,FALSE))</f>
        <v>S1</v>
      </c>
      <c r="N153" s="172">
        <v>43892</v>
      </c>
      <c r="O153" s="180"/>
      <c r="P153" s="151" t="str">
        <f t="shared" ca="1" si="2"/>
        <v xml:space="preserve">5 tahun 10 bulan </v>
      </c>
      <c r="Q153" s="143"/>
      <c r="R153" s="173">
        <v>81217831761</v>
      </c>
      <c r="S153" s="131" t="s">
        <v>663</v>
      </c>
    </row>
    <row r="154" spans="1:19" ht="18.95">
      <c r="A154" s="143"/>
      <c r="B154" s="171" t="s">
        <v>664</v>
      </c>
      <c r="C154" s="143" t="s">
        <v>20</v>
      </c>
      <c r="D154" s="143" t="s">
        <v>573</v>
      </c>
      <c r="E154" s="132" t="str">
        <f>IF(D154="DOSEN",VLOOKUP(B154,Dosen!B:Z,11,FALSE),VLOOKUP(B154,TPA!B:Z,7,FALSE))</f>
        <v>MADYA.1</v>
      </c>
      <c r="F154" s="131" t="s">
        <v>624</v>
      </c>
      <c r="G154" s="171">
        <v>24950004</v>
      </c>
      <c r="H154" s="143"/>
      <c r="I154" s="143"/>
      <c r="J154" s="149" t="str">
        <f>IF(D154="DOSEN",VLOOKUP(B154,Dosen!B:Z,7,FALSE),VLOOKUP(B154,TPA!B:Z,5,FALSE))</f>
        <v>TETAP</v>
      </c>
      <c r="K154" s="143"/>
      <c r="L154" s="176" t="s">
        <v>503</v>
      </c>
      <c r="M154" s="132" t="str">
        <f>IF(D154="DOSEN",VLOOKUP(B154,Dosen!B:ZZ,33,FALSE),VLOOKUP(B154,TPA!B:ZZ,44,FALSE))</f>
        <v>D4</v>
      </c>
      <c r="N154" s="172">
        <v>44562</v>
      </c>
      <c r="O154" s="180"/>
      <c r="P154" s="151" t="str">
        <f t="shared" ca="1" si="2"/>
        <v xml:space="preserve">4 tahun 0 bulan </v>
      </c>
      <c r="Q154" s="143"/>
      <c r="R154" s="173">
        <v>82143637363</v>
      </c>
      <c r="S154" s="131" t="s">
        <v>665</v>
      </c>
    </row>
    <row r="155" spans="1:19" ht="18.95">
      <c r="A155" s="143"/>
      <c r="B155" s="171" t="s">
        <v>666</v>
      </c>
      <c r="C155" s="143" t="s">
        <v>20</v>
      </c>
      <c r="D155" s="143" t="s">
        <v>573</v>
      </c>
      <c r="E155" s="132" t="str">
        <f>IF(D155="DOSEN",VLOOKUP(B155,Dosen!B:Z,11,FALSE),VLOOKUP(B155,TPA!B:Z,7,FALSE))</f>
        <v>MADYA.1</v>
      </c>
      <c r="F155" s="131" t="s">
        <v>603</v>
      </c>
      <c r="G155" s="171">
        <v>20910022</v>
      </c>
      <c r="H155" s="143"/>
      <c r="I155" s="143"/>
      <c r="J155" s="149" t="str">
        <f>IF(D155="DOSEN",VLOOKUP(B155,Dosen!B:Z,7,FALSE),VLOOKUP(B155,TPA!B:Z,5,FALSE))</f>
        <v>TETAP</v>
      </c>
      <c r="K155" s="143"/>
      <c r="L155" s="131" t="s">
        <v>621</v>
      </c>
      <c r="M155" s="132" t="str">
        <f>IF(D155="DOSEN",VLOOKUP(B155,Dosen!B:ZZ,33,FALSE),VLOOKUP(B155,TPA!B:ZZ,44,FALSE))</f>
        <v>S1</v>
      </c>
      <c r="N155" s="172">
        <v>43831</v>
      </c>
      <c r="O155" s="180"/>
      <c r="P155" s="151" t="str">
        <f t="shared" ca="1" si="2"/>
        <v xml:space="preserve">6 tahun 0 bulan </v>
      </c>
      <c r="Q155" s="143"/>
      <c r="R155" s="173">
        <v>81252474645</v>
      </c>
      <c r="S155" s="131" t="s">
        <v>667</v>
      </c>
    </row>
    <row r="156" spans="1:19" ht="18.95">
      <c r="A156" s="143"/>
      <c r="B156" s="171" t="s">
        <v>668</v>
      </c>
      <c r="C156" s="143" t="s">
        <v>20</v>
      </c>
      <c r="D156" s="143" t="s">
        <v>573</v>
      </c>
      <c r="E156" s="132" t="str">
        <f>IF(D156="DOSEN",VLOOKUP(B156,Dosen!B:Z,11,FALSE),VLOOKUP(B156,TPA!B:Z,7,FALSE))</f>
        <v>MADYA.1</v>
      </c>
      <c r="F156" s="131" t="s">
        <v>669</v>
      </c>
      <c r="G156" s="171">
        <v>20980005</v>
      </c>
      <c r="H156" s="143"/>
      <c r="I156" s="143"/>
      <c r="J156" s="149" t="str">
        <f>IF(D156="DOSEN",VLOOKUP(B156,Dosen!B:Z,7,FALSE),VLOOKUP(B156,TPA!B:Z,5,FALSE))</f>
        <v>TETAP</v>
      </c>
      <c r="K156" s="143"/>
      <c r="L156" s="131" t="s">
        <v>621</v>
      </c>
      <c r="M156" s="132" t="str">
        <f>IF(D156="DOSEN",VLOOKUP(B156,Dosen!B:ZZ,33,FALSE),VLOOKUP(B156,TPA!B:ZZ,44,FALSE))</f>
        <v>S1</v>
      </c>
      <c r="N156" s="172">
        <v>43976</v>
      </c>
      <c r="O156" s="180"/>
      <c r="P156" s="151" t="str">
        <f t="shared" ca="1" si="2"/>
        <v xml:space="preserve">5 tahun 7 bulan </v>
      </c>
      <c r="Q156" s="143"/>
      <c r="R156" s="173">
        <v>82140863668</v>
      </c>
      <c r="S156" s="131" t="s">
        <v>670</v>
      </c>
    </row>
    <row r="157" spans="1:19" ht="18.95">
      <c r="A157" s="143"/>
      <c r="B157" s="171" t="s">
        <v>671</v>
      </c>
      <c r="C157" s="143" t="s">
        <v>20</v>
      </c>
      <c r="D157" s="143" t="s">
        <v>573</v>
      </c>
      <c r="E157" s="132" t="str">
        <f>IF(D157="DOSEN",VLOOKUP(B157,Dosen!B:Z,11,FALSE),VLOOKUP(B157,TPA!B:Z,7,FALSE))</f>
        <v>MADYA.1</v>
      </c>
      <c r="F157" s="131" t="s">
        <v>603</v>
      </c>
      <c r="G157" s="171">
        <v>21960011</v>
      </c>
      <c r="H157" s="143"/>
      <c r="I157" s="143"/>
      <c r="J157" s="149" t="str">
        <f>IF(D157="DOSEN",VLOOKUP(B157,Dosen!B:Z,7,FALSE),VLOOKUP(B157,TPA!B:Z,5,FALSE))</f>
        <v>TETAP</v>
      </c>
      <c r="K157" s="143"/>
      <c r="L157" s="131" t="s">
        <v>611</v>
      </c>
      <c r="M157" s="132" t="str">
        <f>IF(D157="DOSEN",VLOOKUP(B157,Dosen!B:ZZ,33,FALSE),VLOOKUP(B157,TPA!B:ZZ,44,FALSE))</f>
        <v>S1</v>
      </c>
      <c r="N157" s="172">
        <v>44197</v>
      </c>
      <c r="O157" s="180"/>
      <c r="P157" s="151" t="str">
        <f t="shared" ca="1" si="2"/>
        <v xml:space="preserve">5 tahun 0 bulan </v>
      </c>
      <c r="Q157" s="143"/>
      <c r="R157" s="173">
        <v>81231337940</v>
      </c>
      <c r="S157" s="131" t="s">
        <v>672</v>
      </c>
    </row>
    <row r="158" spans="1:19" ht="18.95">
      <c r="A158" s="143"/>
      <c r="B158" s="171" t="s">
        <v>673</v>
      </c>
      <c r="C158" s="143" t="s">
        <v>20</v>
      </c>
      <c r="D158" s="143" t="s">
        <v>573</v>
      </c>
      <c r="E158" s="132" t="str">
        <f>IF(D158="DOSEN",VLOOKUP(B158,Dosen!B:Z,11,FALSE),VLOOKUP(B158,TPA!B:Z,7,FALSE))</f>
        <v>MUDA.1</v>
      </c>
      <c r="F158" s="131" t="s">
        <v>646</v>
      </c>
      <c r="G158" s="171">
        <v>22870001</v>
      </c>
      <c r="H158" s="143"/>
      <c r="I158" s="143"/>
      <c r="J158" s="149" t="str">
        <f>IF(D158="DOSEN",VLOOKUP(B158,Dosen!B:Z,7,FALSE),VLOOKUP(B158,TPA!B:Z,5,FALSE))</f>
        <v>PROFESIONAL</v>
      </c>
      <c r="K158" s="143"/>
      <c r="L158" s="131" t="s">
        <v>674</v>
      </c>
      <c r="M158" s="132" t="str">
        <f>IF(D158="DOSEN",VLOOKUP(B158,Dosen!B:ZZ,33,FALSE),VLOOKUP(B158,TPA!B:ZZ,44,FALSE))</f>
        <v>S1</v>
      </c>
      <c r="N158" s="172">
        <v>44621</v>
      </c>
      <c r="O158" s="180"/>
      <c r="P158" s="151" t="str">
        <f t="shared" ca="1" si="2"/>
        <v xml:space="preserve">3 tahun 10 bulan </v>
      </c>
      <c r="Q158" s="143"/>
      <c r="R158" s="173">
        <v>81217794242</v>
      </c>
      <c r="S158" s="131" t="s">
        <v>675</v>
      </c>
    </row>
    <row r="159" spans="1:19" ht="18.95">
      <c r="A159" s="143"/>
      <c r="B159" s="171" t="s">
        <v>676</v>
      </c>
      <c r="C159" s="143" t="s">
        <v>20</v>
      </c>
      <c r="D159" s="143" t="s">
        <v>573</v>
      </c>
      <c r="E159" s="132" t="str">
        <f>IF(D159="DOSEN",VLOOKUP(B159,Dosen!B:Z,11,FALSE),VLOOKUP(B159,TPA!B:Z,7,FALSE))</f>
        <v>MUDA.1</v>
      </c>
      <c r="F159" s="131" t="s">
        <v>677</v>
      </c>
      <c r="G159" s="171">
        <v>22980040</v>
      </c>
      <c r="H159" s="143"/>
      <c r="I159" s="143"/>
      <c r="J159" s="149" t="str">
        <f>IF(D159="DOSEN",VLOOKUP(B159,Dosen!B:Z,7,FALSE),VLOOKUP(B159,TPA!B:Z,5,FALSE))</f>
        <v>PROFESIONAL</v>
      </c>
      <c r="K159" s="143"/>
      <c r="L159" s="131" t="s">
        <v>621</v>
      </c>
      <c r="M159" s="132" t="str">
        <f>IF(D159="DOSEN",VLOOKUP(B159,Dosen!B:ZZ,33,FALSE),VLOOKUP(B159,TPA!B:ZZ,44,FALSE))</f>
        <v>S1</v>
      </c>
      <c r="N159" s="172">
        <v>44774</v>
      </c>
      <c r="O159" s="180"/>
      <c r="P159" s="151" t="str">
        <f t="shared" ca="1" si="2"/>
        <v xml:space="preserve">3 tahun 5 bulan </v>
      </c>
      <c r="Q159" s="143"/>
      <c r="R159" s="173">
        <v>82332942125</v>
      </c>
      <c r="S159" s="131" t="s">
        <v>678</v>
      </c>
    </row>
    <row r="160" spans="1:19" ht="18.95">
      <c r="A160" s="143"/>
      <c r="B160" s="171" t="s">
        <v>679</v>
      </c>
      <c r="C160" s="143" t="s">
        <v>20</v>
      </c>
      <c r="D160" s="143" t="s">
        <v>573</v>
      </c>
      <c r="E160" s="132" t="str">
        <f>IF(D160="DOSEN",VLOOKUP(B160,Dosen!B:Z,11,FALSE),VLOOKUP(B160,TPA!B:Z,7,FALSE))</f>
        <v>MUDA.1</v>
      </c>
      <c r="F160" s="131" t="s">
        <v>680</v>
      </c>
      <c r="G160" s="171">
        <v>23980004</v>
      </c>
      <c r="H160" s="143"/>
      <c r="I160" s="143"/>
      <c r="J160" s="149" t="str">
        <f>IF(D160="DOSEN",VLOOKUP(B160,Dosen!B:Z,7,FALSE),VLOOKUP(B160,TPA!B:Z,5,FALSE))</f>
        <v>PROFESIONAL</v>
      </c>
      <c r="K160" s="143"/>
      <c r="L160" s="131" t="s">
        <v>650</v>
      </c>
      <c r="M160" s="132" t="str">
        <f>IF(D160="DOSEN",VLOOKUP(B160,Dosen!B:ZZ,33,FALSE),VLOOKUP(B160,TPA!B:ZZ,44,FALSE))</f>
        <v>S1</v>
      </c>
      <c r="N160" s="172">
        <v>44958</v>
      </c>
      <c r="O160" s="180"/>
      <c r="P160" s="151" t="str">
        <f t="shared" ca="1" si="2"/>
        <v xml:space="preserve">2 tahun 11 bulan </v>
      </c>
      <c r="Q160" s="143"/>
      <c r="R160" s="173">
        <v>85336382717</v>
      </c>
      <c r="S160" s="131" t="s">
        <v>681</v>
      </c>
    </row>
    <row r="161" spans="1:19" ht="18.95">
      <c r="A161" s="143"/>
      <c r="B161" s="171" t="s">
        <v>682</v>
      </c>
      <c r="C161" s="143" t="s">
        <v>20</v>
      </c>
      <c r="D161" s="143" t="s">
        <v>573</v>
      </c>
      <c r="E161" s="132" t="str">
        <f>IF(D161="DOSEN",VLOOKUP(B161,Dosen!B:Z,11,FALSE),VLOOKUP(B161,TPA!B:Z,7,FALSE))</f>
        <v>MUDA.1</v>
      </c>
      <c r="F161" s="131" t="s">
        <v>597</v>
      </c>
      <c r="G161" s="171">
        <v>23010008</v>
      </c>
      <c r="H161" s="143"/>
      <c r="I161" s="143"/>
      <c r="J161" s="149" t="str">
        <f>IF(D161="DOSEN",VLOOKUP(B161,Dosen!B:Z,7,FALSE),VLOOKUP(B161,TPA!B:Z,5,FALSE))</f>
        <v>PROFESIONAL</v>
      </c>
      <c r="K161" s="143"/>
      <c r="L161" s="131" t="s">
        <v>621</v>
      </c>
      <c r="M161" s="132" t="str">
        <f>IF(D161="DOSEN",VLOOKUP(B161,Dosen!B:ZZ,33,FALSE),VLOOKUP(B161,TPA!B:ZZ,44,FALSE))</f>
        <v>S1</v>
      </c>
      <c r="N161" s="172">
        <v>45170</v>
      </c>
      <c r="O161" s="180"/>
      <c r="P161" s="151" t="str">
        <f t="shared" ca="1" si="2"/>
        <v xml:space="preserve">2 tahun 4 bulan </v>
      </c>
      <c r="Q161" s="143"/>
      <c r="R161" s="173">
        <v>81703612807</v>
      </c>
      <c r="S161" s="131" t="s">
        <v>683</v>
      </c>
    </row>
    <row r="162" spans="1:19" ht="18.95">
      <c r="A162" s="143"/>
      <c r="B162" s="171" t="s">
        <v>684</v>
      </c>
      <c r="C162" s="143" t="s">
        <v>20</v>
      </c>
      <c r="D162" s="143" t="s">
        <v>573</v>
      </c>
      <c r="E162" s="132" t="str">
        <f>IF(D162="DOSEN",VLOOKUP(B162,Dosen!B:Z,11,FALSE),VLOOKUP(B162,TPA!B:Z,7,FALSE))</f>
        <v>MUDA.1</v>
      </c>
      <c r="F162" s="131" t="s">
        <v>685</v>
      </c>
      <c r="G162" s="171">
        <v>23970025</v>
      </c>
      <c r="H162" s="143"/>
      <c r="I162" s="143"/>
      <c r="J162" s="149" t="str">
        <f>IF(D162="DOSEN",VLOOKUP(B162,Dosen!B:Z,7,FALSE),VLOOKUP(B162,TPA!B:Z,5,FALSE))</f>
        <v>PROFESIONAL</v>
      </c>
      <c r="K162" s="143"/>
      <c r="L162" s="131" t="s">
        <v>575</v>
      </c>
      <c r="M162" s="132" t="str">
        <f>IF(D162="DOSEN",VLOOKUP(B162,Dosen!B:ZZ,33,FALSE),VLOOKUP(B162,TPA!B:ZZ,44,FALSE))</f>
        <v>S1</v>
      </c>
      <c r="N162" s="172">
        <v>45170</v>
      </c>
      <c r="O162" s="180"/>
      <c r="P162" s="151" t="str">
        <f t="shared" ca="1" si="2"/>
        <v xml:space="preserve">2 tahun 4 bulan </v>
      </c>
      <c r="Q162" s="143"/>
      <c r="R162" s="173">
        <v>81217541711</v>
      </c>
      <c r="S162" s="131" t="s">
        <v>686</v>
      </c>
    </row>
    <row r="163" spans="1:19" ht="18.95">
      <c r="A163" s="143"/>
      <c r="B163" s="171" t="s">
        <v>687</v>
      </c>
      <c r="C163" s="143" t="s">
        <v>20</v>
      </c>
      <c r="D163" s="143" t="s">
        <v>573</v>
      </c>
      <c r="E163" s="132" t="str">
        <f>IF(D163="DOSEN",VLOOKUP(B163,Dosen!B:Z,11,FALSE),VLOOKUP(B163,TPA!B:Z,7,FALSE))</f>
        <v>MUDA.1</v>
      </c>
      <c r="F163" s="131" t="s">
        <v>646</v>
      </c>
      <c r="G163" s="171">
        <v>23890016</v>
      </c>
      <c r="H163" s="143"/>
      <c r="I163" s="143"/>
      <c r="J163" s="149" t="str">
        <f>IF(D163="DOSEN",VLOOKUP(B163,Dosen!B:Z,7,FALSE),VLOOKUP(B163,TPA!B:Z,5,FALSE))</f>
        <v>PROFESIONAL</v>
      </c>
      <c r="K163" s="143"/>
      <c r="L163" s="131" t="s">
        <v>575</v>
      </c>
      <c r="M163" s="132" t="str">
        <f>IF(D163="DOSEN",VLOOKUP(B163,Dosen!B:ZZ,33,FALSE),VLOOKUP(B163,TPA!B:ZZ,44,FALSE))</f>
        <v>S1</v>
      </c>
      <c r="N163" s="172">
        <v>45231</v>
      </c>
      <c r="O163" s="180"/>
      <c r="P163" s="151" t="str">
        <f t="shared" ca="1" si="2"/>
        <v xml:space="preserve">2 tahun 2 bulan </v>
      </c>
      <c r="Q163" s="143"/>
      <c r="R163" s="173">
        <v>82236466987</v>
      </c>
      <c r="S163" s="131" t="s">
        <v>688</v>
      </c>
    </row>
    <row r="164" spans="1:19" ht="18.95">
      <c r="A164" s="143"/>
      <c r="B164" s="171" t="s">
        <v>689</v>
      </c>
      <c r="C164" s="143" t="s">
        <v>20</v>
      </c>
      <c r="D164" s="143" t="s">
        <v>573</v>
      </c>
      <c r="E164" s="132" t="str">
        <f>IF(D164="DOSEN",VLOOKUP(B164,Dosen!B:Z,11,FALSE),VLOOKUP(B164,TPA!B:Z,7,FALSE))</f>
        <v>PRA MUDA</v>
      </c>
      <c r="F164" s="131" t="s">
        <v>690</v>
      </c>
      <c r="G164" s="177" t="s">
        <v>691</v>
      </c>
      <c r="H164" s="143"/>
      <c r="I164" s="143"/>
      <c r="J164" s="149" t="str">
        <f>IF(D164="DOSEN",VLOOKUP(B164,Dosen!B:Z,7,FALSE),VLOOKUP(B164,TPA!B:Z,5,FALSE))</f>
        <v>TLH</v>
      </c>
      <c r="K164" s="143"/>
      <c r="L164" s="178" t="s">
        <v>511</v>
      </c>
      <c r="M164" s="132" t="str">
        <f>IF(D164="DOSEN",VLOOKUP(B164,Dosen!B:ZZ,33,FALSE),VLOOKUP(B164,TPA!B:ZZ,44,FALSE))</f>
        <v>SMA</v>
      </c>
      <c r="N164" s="180">
        <v>44562</v>
      </c>
      <c r="O164" s="180"/>
      <c r="P164" s="151" t="str">
        <f t="shared" ca="1" si="2"/>
        <v xml:space="preserve">4 tahun 0 bulan </v>
      </c>
      <c r="Q164" s="143"/>
      <c r="R164" s="173">
        <v>85230251932</v>
      </c>
      <c r="S164" s="131" t="s">
        <v>692</v>
      </c>
    </row>
    <row r="165" spans="1:19" ht="18.95">
      <c r="A165" s="143"/>
      <c r="B165" s="171" t="s">
        <v>693</v>
      </c>
      <c r="C165" s="143" t="s">
        <v>694</v>
      </c>
      <c r="D165" s="143" t="s">
        <v>573</v>
      </c>
      <c r="E165" s="132" t="str">
        <f>IF(D165="DOSEN",VLOOKUP(B165,Dosen!B:Z,11,FALSE),VLOOKUP(B165,TPA!B:Z,7,FALSE))</f>
        <v>-</v>
      </c>
      <c r="F165" s="131" t="s">
        <v>695</v>
      </c>
      <c r="G165" s="171">
        <v>13199909</v>
      </c>
      <c r="H165" s="143"/>
      <c r="I165" s="143"/>
      <c r="J165" s="149" t="str">
        <f>IF(D165="DOSEN",VLOOKUP(B165,Dosen!B:Z,7,FALSE),VLOOKUP(B165,TPA!B:Z,5,FALSE))</f>
        <v>OUTSOURCE</v>
      </c>
      <c r="K165" s="143"/>
      <c r="L165" s="178" t="s">
        <v>511</v>
      </c>
      <c r="M165" s="132" t="str">
        <f>IF(D165="DOSEN",VLOOKUP(B165,Dosen!B:ZZ,33,FALSE),VLOOKUP(B165,TPA!B:ZZ,44,FALSE))</f>
        <v>SMA</v>
      </c>
      <c r="N165" s="180">
        <v>44562</v>
      </c>
      <c r="O165" s="180"/>
      <c r="P165" s="151" t="str">
        <f t="shared" ca="1" si="2"/>
        <v xml:space="preserve">4 tahun 0 bulan </v>
      </c>
      <c r="Q165" s="143"/>
      <c r="R165" s="173">
        <v>82230394139</v>
      </c>
      <c r="S165" s="131" t="s">
        <v>696</v>
      </c>
    </row>
    <row r="166" spans="1:19" ht="18.95">
      <c r="A166" s="143"/>
      <c r="B166" s="171" t="s">
        <v>697</v>
      </c>
      <c r="C166" s="143" t="s">
        <v>694</v>
      </c>
      <c r="D166" s="143" t="s">
        <v>573</v>
      </c>
      <c r="E166" s="132" t="str">
        <f>IF(D166="DOSEN",VLOOKUP(B166,Dosen!B:Z,11,FALSE),VLOOKUP(B166,TPA!B:Z,7,FALSE))</f>
        <v>-</v>
      </c>
      <c r="F166" s="131" t="s">
        <v>695</v>
      </c>
      <c r="G166" s="171">
        <v>13230430</v>
      </c>
      <c r="H166" s="143"/>
      <c r="I166" s="143"/>
      <c r="J166" s="149" t="str">
        <f>IF(D166="DOSEN",VLOOKUP(B166,Dosen!B:Z,7,FALSE),VLOOKUP(B166,TPA!B:Z,5,FALSE))</f>
        <v>OUTSOURCE</v>
      </c>
      <c r="K166" s="143"/>
      <c r="L166" s="178" t="s">
        <v>511</v>
      </c>
      <c r="M166" s="132" t="str">
        <f>IF(D166="DOSEN",VLOOKUP(B166,Dosen!B:ZZ,33,FALSE),VLOOKUP(B166,TPA!B:ZZ,44,FALSE))</f>
        <v>SMA</v>
      </c>
      <c r="N166" s="180">
        <v>44562</v>
      </c>
      <c r="O166" s="180"/>
      <c r="P166" s="151" t="str">
        <f t="shared" ca="1" si="2"/>
        <v xml:space="preserve">4 tahun 0 bulan </v>
      </c>
      <c r="Q166" s="143"/>
      <c r="R166" s="173">
        <v>81357326196</v>
      </c>
      <c r="S166" s="131" t="s">
        <v>698</v>
      </c>
    </row>
    <row r="167" spans="1:19" ht="18.95">
      <c r="A167" s="143"/>
      <c r="B167" s="171" t="s">
        <v>699</v>
      </c>
      <c r="C167" s="143" t="s">
        <v>20</v>
      </c>
      <c r="D167" s="143" t="s">
        <v>573</v>
      </c>
      <c r="E167" s="132" t="str">
        <f>IF(D167="DOSEN",VLOOKUP(B167,Dosen!B:Z,11,FALSE),VLOOKUP(B167,TPA!B:Z,7,FALSE))</f>
        <v>PRA MUDA</v>
      </c>
      <c r="F167" s="131" t="s">
        <v>646</v>
      </c>
      <c r="G167" s="177" t="s">
        <v>700</v>
      </c>
      <c r="H167" s="143"/>
      <c r="I167" s="143"/>
      <c r="J167" s="149" t="str">
        <f>IF(D167="DOSEN",VLOOKUP(B167,Dosen!B:Z,7,FALSE),VLOOKUP(B167,TPA!B:Z,5,FALSE))</f>
        <v>OUTSOURCE</v>
      </c>
      <c r="K167" s="143"/>
      <c r="L167" s="131" t="s">
        <v>701</v>
      </c>
      <c r="M167" s="132" t="str">
        <f>IF(D167="DOSEN",VLOOKUP(B167,Dosen!B:ZZ,33,FALSE),VLOOKUP(B167,TPA!B:ZZ,44,FALSE))</f>
        <v>D1</v>
      </c>
      <c r="N167" s="180">
        <v>44562</v>
      </c>
      <c r="O167" s="180"/>
      <c r="P167" s="151" t="str">
        <f t="shared" ca="1" si="2"/>
        <v xml:space="preserve">4 tahun 0 bulan </v>
      </c>
      <c r="Q167" s="143"/>
      <c r="R167" s="173">
        <v>82141138917</v>
      </c>
      <c r="S167" s="131" t="s">
        <v>702</v>
      </c>
    </row>
    <row r="168" spans="1:19" ht="18.95">
      <c r="A168" s="143"/>
      <c r="B168" s="171" t="s">
        <v>703</v>
      </c>
      <c r="C168" s="143" t="s">
        <v>694</v>
      </c>
      <c r="D168" s="143" t="s">
        <v>573</v>
      </c>
      <c r="E168" s="132" t="str">
        <f>IF(D168="DOSEN",VLOOKUP(B168,Dosen!B:Z,11,FALSE),VLOOKUP(B168,TPA!B:Z,7,FALSE))</f>
        <v>-</v>
      </c>
      <c r="F168" s="131" t="s">
        <v>695</v>
      </c>
      <c r="G168" s="171">
        <v>13239726</v>
      </c>
      <c r="H168" s="143"/>
      <c r="I168" s="143"/>
      <c r="J168" s="149" t="str">
        <f>IF(D168="DOSEN",VLOOKUP(B168,Dosen!B:Z,7,FALSE),VLOOKUP(B168,TPA!B:Z,5,FALSE))</f>
        <v>Koperasi</v>
      </c>
      <c r="K168" s="143"/>
      <c r="L168" s="174"/>
      <c r="M168" s="132" t="str">
        <f>IF(D168="DOSEN",VLOOKUP(B168,Dosen!B:ZZ,33,FALSE),VLOOKUP(B168,TPA!B:ZZ,44,FALSE))</f>
        <v>S1</v>
      </c>
      <c r="N168" s="180">
        <v>44562</v>
      </c>
      <c r="O168" s="180"/>
      <c r="P168" s="151" t="str">
        <f t="shared" ca="1" si="2"/>
        <v xml:space="preserve">4 tahun 0 bulan </v>
      </c>
      <c r="Q168" s="143"/>
      <c r="R168" s="179"/>
      <c r="S168" s="131" t="s">
        <v>704</v>
      </c>
    </row>
    <row r="169" spans="1:19" ht="18.95">
      <c r="A169" s="143"/>
      <c r="B169" s="171" t="s">
        <v>705</v>
      </c>
      <c r="C169" s="143" t="s">
        <v>20</v>
      </c>
      <c r="D169" s="143" t="s">
        <v>573</v>
      </c>
      <c r="E169" s="132" t="str">
        <f>IF(D169="DOSEN",VLOOKUP(B169,Dosen!B:Z,11,FALSE),VLOOKUP(B169,TPA!B:Z,7,FALSE))</f>
        <v>PRA MUDA</v>
      </c>
      <c r="F169" s="131" t="s">
        <v>638</v>
      </c>
      <c r="G169" s="171">
        <v>82400011</v>
      </c>
      <c r="H169" s="143"/>
      <c r="I169" s="143"/>
      <c r="J169" s="149" t="str">
        <f>IF(D169="DOSEN",VLOOKUP(B169,Dosen!B:Z,7,FALSE),VLOOKUP(B169,TPA!B:Z,5,FALSE))</f>
        <v>TLH</v>
      </c>
      <c r="K169" s="143"/>
      <c r="L169" s="131" t="s">
        <v>706</v>
      </c>
      <c r="M169" s="132" t="str">
        <f>IF(D169="DOSEN",VLOOKUP(B169,Dosen!B:ZZ,33,FALSE),VLOOKUP(B169,TPA!B:ZZ,44,FALSE))</f>
        <v>D3</v>
      </c>
      <c r="N169" s="180">
        <v>45444</v>
      </c>
      <c r="O169" s="180"/>
      <c r="P169" s="151" t="str">
        <f t="shared" ca="1" si="2"/>
        <v xml:space="preserve">1 tahun 7 bulan </v>
      </c>
      <c r="Q169" s="143"/>
      <c r="R169" s="173">
        <v>83833519680</v>
      </c>
      <c r="S169" s="131" t="s">
        <v>707</v>
      </c>
    </row>
    <row r="170" spans="1:19" ht="18.95">
      <c r="A170" s="143"/>
      <c r="B170" s="171" t="s">
        <v>708</v>
      </c>
      <c r="C170" s="143" t="s">
        <v>20</v>
      </c>
      <c r="D170" s="143" t="s">
        <v>573</v>
      </c>
      <c r="E170" s="132" t="str">
        <f>IF(D170="DOSEN",VLOOKUP(B170,Dosen!B:Z,11,FALSE),VLOOKUP(B170,TPA!B:Z,7,FALSE))</f>
        <v>MUDA.1</v>
      </c>
      <c r="F170" s="131" t="s">
        <v>709</v>
      </c>
      <c r="G170" s="171">
        <v>62400053</v>
      </c>
      <c r="H170" s="143"/>
      <c r="I170" s="143"/>
      <c r="J170" s="149" t="str">
        <f>IF(D170="DOSEN",VLOOKUP(B170,Dosen!B:Z,7,FALSE),VLOOKUP(B170,TPA!B:Z,5,FALSE))</f>
        <v>PROFESIONAL</v>
      </c>
      <c r="K170" s="143"/>
      <c r="L170" s="131" t="s">
        <v>621</v>
      </c>
      <c r="M170" s="132" t="str">
        <f>IF(D170="DOSEN",VLOOKUP(B170,Dosen!B:ZZ,33,FALSE),VLOOKUP(B170,TPA!B:ZZ,44,FALSE))</f>
        <v>S1</v>
      </c>
      <c r="N170" s="180">
        <v>45566</v>
      </c>
      <c r="O170" s="180"/>
      <c r="P170" s="151" t="str">
        <f t="shared" ca="1" si="2"/>
        <v xml:space="preserve">1 tahun 3 bulan </v>
      </c>
      <c r="Q170" s="143"/>
      <c r="R170" s="173">
        <v>895338336224</v>
      </c>
      <c r="S170" s="131" t="s">
        <v>710</v>
      </c>
    </row>
    <row r="171" spans="1:19" ht="18.95">
      <c r="A171" s="143"/>
      <c r="B171" s="171" t="s">
        <v>711</v>
      </c>
      <c r="C171" s="143" t="s">
        <v>20</v>
      </c>
      <c r="D171" s="143" t="s">
        <v>573</v>
      </c>
      <c r="E171" s="132" t="str">
        <f>IF(D171="DOSEN",VLOOKUP(B171,Dosen!B:Z,11,FALSE),VLOOKUP(B171,TPA!B:Z,7,FALSE))</f>
        <v>MUDA.1</v>
      </c>
      <c r="F171" s="131" t="s">
        <v>712</v>
      </c>
      <c r="G171" s="171">
        <v>62402054</v>
      </c>
      <c r="H171" s="143"/>
      <c r="I171" s="143"/>
      <c r="J171" s="149" t="str">
        <f>IF(D171="DOSEN",VLOOKUP(B171,Dosen!B:Z,7,FALSE),VLOOKUP(B171,TPA!B:Z,5,FALSE))</f>
        <v>PROFESIONAL</v>
      </c>
      <c r="K171" s="143"/>
      <c r="L171" s="131" t="s">
        <v>713</v>
      </c>
      <c r="M171" s="132" t="str">
        <f>IF(D171="DOSEN",VLOOKUP(B171,Dosen!B:ZZ,33,FALSE),VLOOKUP(B171,TPA!B:ZZ,44,FALSE))</f>
        <v>S1</v>
      </c>
      <c r="N171" s="180">
        <v>45566</v>
      </c>
      <c r="O171" s="180"/>
      <c r="P171" s="151" t="str">
        <f t="shared" ca="1" si="2"/>
        <v xml:space="preserve">1 tahun 3 bulan </v>
      </c>
      <c r="Q171" s="143"/>
      <c r="R171" s="173">
        <v>881036441179</v>
      </c>
      <c r="S171" s="131" t="s">
        <v>714</v>
      </c>
    </row>
    <row r="172" spans="1:19" ht="18.95">
      <c r="A172" s="143"/>
      <c r="B172" s="171" t="s">
        <v>715</v>
      </c>
      <c r="C172" s="143" t="s">
        <v>20</v>
      </c>
      <c r="D172" s="143" t="s">
        <v>573</v>
      </c>
      <c r="E172" s="132" t="str">
        <f>IF(D172="DOSEN",VLOOKUP(B172,Dosen!B:Z,11,FALSE),VLOOKUP(B172,TPA!B:Z,7,FALSE))</f>
        <v>MUDA.1</v>
      </c>
      <c r="F172" s="131" t="s">
        <v>631</v>
      </c>
      <c r="G172" s="171">
        <v>62499055</v>
      </c>
      <c r="H172" s="143"/>
      <c r="I172" s="143"/>
      <c r="J172" s="149" t="str">
        <f>IF(D172="DOSEN",VLOOKUP(B172,Dosen!B:Z,7,FALSE),VLOOKUP(B172,TPA!B:Z,5,FALSE))</f>
        <v>PROFESIONAL</v>
      </c>
      <c r="K172" s="143"/>
      <c r="L172" s="131" t="s">
        <v>621</v>
      </c>
      <c r="M172" s="132" t="str">
        <f>IF(D172="DOSEN",VLOOKUP(B172,Dosen!B:ZZ,33,FALSE),VLOOKUP(B172,TPA!B:ZZ,44,FALSE))</f>
        <v>S1</v>
      </c>
      <c r="N172" s="180">
        <v>45566</v>
      </c>
      <c r="O172" s="180"/>
      <c r="P172" s="151" t="str">
        <f t="shared" ca="1" si="2"/>
        <v xml:space="preserve">1 tahun 3 bulan </v>
      </c>
      <c r="Q172" s="143"/>
      <c r="R172" s="173">
        <v>8557822373</v>
      </c>
      <c r="S172" s="131" t="s">
        <v>716</v>
      </c>
    </row>
    <row r="173" spans="1:19" ht="18.95">
      <c r="A173" s="143"/>
      <c r="B173" s="171" t="s">
        <v>717</v>
      </c>
      <c r="C173" s="143" t="s">
        <v>20</v>
      </c>
      <c r="D173" s="143" t="s">
        <v>573</v>
      </c>
      <c r="E173" s="132" t="str">
        <f>IF(D173="DOSEN",VLOOKUP(B173,Dosen!B:Z,11,FALSE),VLOOKUP(B173,TPA!B:Z,7,FALSE))</f>
        <v>PRA MUDA</v>
      </c>
      <c r="F173" s="131" t="s">
        <v>718</v>
      </c>
      <c r="G173" s="171">
        <v>82400014</v>
      </c>
      <c r="H173" s="143"/>
      <c r="I173" s="143"/>
      <c r="J173" s="149" t="str">
        <f>IF(D173="DOSEN",VLOOKUP(B173,Dosen!B:Z,7,FALSE),VLOOKUP(B173,TPA!B:Z,5,FALSE))</f>
        <v>TLH</v>
      </c>
      <c r="K173" s="143"/>
      <c r="L173" s="131" t="s">
        <v>719</v>
      </c>
      <c r="M173" s="132" t="str">
        <f>IF(D173="DOSEN",VLOOKUP(B173,Dosen!B:ZZ,33,FALSE),VLOOKUP(B173,TPA!B:ZZ,44,FALSE))</f>
        <v>S1</v>
      </c>
      <c r="N173" s="180">
        <v>45444</v>
      </c>
      <c r="O173" s="180"/>
      <c r="P173" s="151" t="str">
        <f t="shared" ca="1" si="2"/>
        <v xml:space="preserve">1 tahun 7 bulan </v>
      </c>
      <c r="Q173" s="143"/>
      <c r="R173" s="173">
        <v>81284320928</v>
      </c>
      <c r="S173" s="131" t="s">
        <v>720</v>
      </c>
    </row>
    <row r="174" spans="1:19" ht="18.95">
      <c r="A174" s="143"/>
      <c r="B174" s="181" t="s">
        <v>721</v>
      </c>
      <c r="C174" s="143" t="s">
        <v>46</v>
      </c>
      <c r="D174" s="143" t="s">
        <v>573</v>
      </c>
      <c r="E174" s="132" t="str">
        <f>IF(D174="DOSEN",VLOOKUP(B174,Dosen!B:Z,11,FALSE),VLOOKUP(B174,TPA!B:Z,7,FALSE))</f>
        <v>PRA MUDA</v>
      </c>
      <c r="F174" s="181" t="s">
        <v>718</v>
      </c>
      <c r="G174" s="181">
        <v>82400016</v>
      </c>
      <c r="H174" s="143"/>
      <c r="I174" s="143"/>
      <c r="J174" s="149" t="str">
        <f>IF(D174="DOSEN",VLOOKUP(B174,Dosen!B:Z,7,FALSE),VLOOKUP(B174,TPA!B:Z,5,FALSE))</f>
        <v>TLH</v>
      </c>
      <c r="K174" s="143"/>
      <c r="L174" s="181" t="s">
        <v>621</v>
      </c>
      <c r="M174" s="132" t="str">
        <f>IF(D174="DOSEN",VLOOKUP(B174,Dosen!B:ZZ,33,FALSE),VLOOKUP(B174,TPA!B:ZZ,44,FALSE))</f>
        <v>S1</v>
      </c>
      <c r="N174" s="180">
        <v>44562</v>
      </c>
      <c r="O174" s="180"/>
      <c r="P174" s="151" t="str">
        <f t="shared" ca="1" si="2"/>
        <v xml:space="preserve">4 tahun 0 bulan </v>
      </c>
      <c r="Q174" s="143"/>
      <c r="R174" s="183"/>
      <c r="S174" s="181" t="s">
        <v>722</v>
      </c>
    </row>
    <row r="175" spans="1:19" ht="18.95">
      <c r="A175" s="143"/>
      <c r="B175" s="171" t="s">
        <v>723</v>
      </c>
      <c r="C175" s="143" t="s">
        <v>20</v>
      </c>
      <c r="D175" s="143" t="s">
        <v>573</v>
      </c>
      <c r="E175" s="132" t="str">
        <f>IF(D175="DOSEN",VLOOKUP(B175,Dosen!B:Z,11,FALSE),VLOOKUP(B175,TPA!B:Z,7,FALSE))</f>
        <v>PRA MUDA</v>
      </c>
      <c r="F175" s="131" t="s">
        <v>724</v>
      </c>
      <c r="G175" s="171">
        <v>82401017</v>
      </c>
      <c r="H175" s="143"/>
      <c r="I175" s="143"/>
      <c r="J175" s="149" t="str">
        <f>IF(D175="DOSEN",VLOOKUP(B175,Dosen!B:Z,7,FALSE),VLOOKUP(B175,TPA!B:Z,5,FALSE))</f>
        <v>TLH</v>
      </c>
      <c r="K175" s="143"/>
      <c r="L175" s="131" t="s">
        <v>575</v>
      </c>
      <c r="M175" s="132" t="str">
        <f>IF(D175="DOSEN",VLOOKUP(B175,Dosen!B:ZZ,33,FALSE),VLOOKUP(B175,TPA!B:ZZ,44,FALSE))</f>
        <v>S1</v>
      </c>
      <c r="N175" s="180">
        <v>45444</v>
      </c>
      <c r="O175" s="268"/>
      <c r="P175" s="151" t="str">
        <f t="shared" ca="1" si="2"/>
        <v xml:space="preserve">1 tahun 7 bulan </v>
      </c>
      <c r="Q175" s="143"/>
      <c r="R175" s="173">
        <v>81231909102</v>
      </c>
      <c r="S175" s="131" t="s">
        <v>725</v>
      </c>
    </row>
    <row r="176" spans="1:19" ht="18.95">
      <c r="A176" s="143"/>
      <c r="B176" s="171" t="s">
        <v>726</v>
      </c>
      <c r="C176" s="143" t="s">
        <v>20</v>
      </c>
      <c r="D176" s="143" t="s">
        <v>573</v>
      </c>
      <c r="E176" s="132" t="str">
        <f>IF(D176="DOSEN",VLOOKUP(B176,Dosen!B:Z,11,FALSE),VLOOKUP(B176,TPA!B:Z,7,FALSE))</f>
        <v>PRA MUDA</v>
      </c>
      <c r="F176" s="131" t="s">
        <v>646</v>
      </c>
      <c r="G176" s="171">
        <v>82400018</v>
      </c>
      <c r="H176" s="143"/>
      <c r="I176" s="143"/>
      <c r="J176" s="149" t="str">
        <f>IF(D176="DOSEN",VLOOKUP(B176,Dosen!B:Z,7,FALSE),VLOOKUP(B176,TPA!B:Z,5,FALSE))</f>
        <v>TLH</v>
      </c>
      <c r="K176" s="143"/>
      <c r="L176" s="131" t="s">
        <v>575</v>
      </c>
      <c r="M176" s="132" t="str">
        <f>IF(D176="DOSEN",VLOOKUP(B176,Dosen!B:ZZ,33,FALSE),VLOOKUP(B176,TPA!B:ZZ,44,FALSE))</f>
        <v>S1</v>
      </c>
      <c r="N176" s="180">
        <v>45444</v>
      </c>
      <c r="O176" s="180"/>
      <c r="P176" s="151" t="str">
        <f t="shared" ca="1" si="2"/>
        <v xml:space="preserve">1 tahun 7 bulan </v>
      </c>
      <c r="Q176" s="143"/>
      <c r="R176" s="173">
        <v>82132977153</v>
      </c>
      <c r="S176" s="131" t="s">
        <v>727</v>
      </c>
    </row>
    <row r="177" spans="1:19" ht="18.95">
      <c r="A177" s="143"/>
      <c r="B177" s="171" t="s">
        <v>728</v>
      </c>
      <c r="C177" s="143" t="s">
        <v>46</v>
      </c>
      <c r="D177" s="143" t="s">
        <v>573</v>
      </c>
      <c r="E177" s="132" t="str">
        <f>IF(D177="DOSEN",VLOOKUP(B177,Dosen!B:Z,11,FALSE),VLOOKUP(B177,TPA!B:Z,7,FALSE))</f>
        <v>PRA MUDA</v>
      </c>
      <c r="F177" s="131" t="s">
        <v>729</v>
      </c>
      <c r="G177" s="177" t="s">
        <v>730</v>
      </c>
      <c r="H177" s="143"/>
      <c r="I177" s="143"/>
      <c r="J177" s="149" t="str">
        <f>IF(D177="DOSEN",VLOOKUP(B177,Dosen!B:Z,7,FALSE),VLOOKUP(B177,TPA!B:Z,5,FALSE))</f>
        <v>TLH</v>
      </c>
      <c r="K177" s="143"/>
      <c r="L177" s="131" t="s">
        <v>621</v>
      </c>
      <c r="M177" s="132" t="str">
        <f>IF(D177="DOSEN",VLOOKUP(B177,Dosen!B:ZZ,33,FALSE),VLOOKUP(B177,TPA!B:ZZ,44,FALSE))</f>
        <v>S1</v>
      </c>
      <c r="N177" s="180">
        <v>45444</v>
      </c>
      <c r="O177" s="180">
        <v>45838</v>
      </c>
      <c r="P177" s="151" t="str">
        <f t="shared" ca="1" si="2"/>
        <v xml:space="preserve">1 tahun 0 bulan </v>
      </c>
      <c r="Q177" s="143"/>
      <c r="R177" s="173">
        <v>8979851493</v>
      </c>
      <c r="S177" s="131" t="s">
        <v>731</v>
      </c>
    </row>
    <row r="178" spans="1:19" ht="18.95">
      <c r="A178" s="143"/>
      <c r="B178" s="171" t="s">
        <v>732</v>
      </c>
      <c r="C178" s="143" t="s">
        <v>20</v>
      </c>
      <c r="D178" s="143" t="s">
        <v>573</v>
      </c>
      <c r="E178" s="132" t="str">
        <f>IF(D178="DOSEN",VLOOKUP(B178,Dosen!B:Z,11,FALSE),VLOOKUP(B178,TPA!B:Z,7,FALSE))</f>
        <v>PRA MUDA</v>
      </c>
      <c r="F178" s="131" t="s">
        <v>646</v>
      </c>
      <c r="G178" s="177" t="s">
        <v>733</v>
      </c>
      <c r="H178" s="143"/>
      <c r="I178" s="143"/>
      <c r="J178" s="149" t="str">
        <f>IF(D178="DOSEN",VLOOKUP(B178,Dosen!B:Z,7,FALSE),VLOOKUP(B178,TPA!B:Z,5,FALSE))</f>
        <v>TLH</v>
      </c>
      <c r="K178" s="143"/>
      <c r="L178" s="131" t="s">
        <v>734</v>
      </c>
      <c r="M178" s="132" t="str">
        <f>IF(D178="DOSEN",VLOOKUP(B178,Dosen!B:ZZ,33,FALSE),VLOOKUP(B178,TPA!B:ZZ,44,FALSE))</f>
        <v>S1</v>
      </c>
      <c r="N178" s="180">
        <v>45444</v>
      </c>
      <c r="O178" s="180"/>
      <c r="P178" s="151" t="str">
        <f t="shared" ca="1" si="2"/>
        <v xml:space="preserve">1 tahun 7 bulan </v>
      </c>
      <c r="Q178" s="143"/>
      <c r="R178" s="173">
        <v>82245557424</v>
      </c>
      <c r="S178" s="131" t="s">
        <v>735</v>
      </c>
    </row>
    <row r="179" spans="1:19" ht="18.95">
      <c r="A179" s="143"/>
      <c r="B179" s="391" t="s">
        <v>736</v>
      </c>
      <c r="C179" s="143" t="s">
        <v>20</v>
      </c>
      <c r="D179" s="143" t="s">
        <v>573</v>
      </c>
      <c r="E179" s="132" t="str">
        <f>IF(D179="DOSEN",VLOOKUP(B179,Dosen!B:Z,11,FALSE),VLOOKUP(B179,TPA!B:Z,7,FALSE))</f>
        <v>PRA MUDA</v>
      </c>
      <c r="F179" s="131" t="s">
        <v>729</v>
      </c>
      <c r="G179" s="392" t="s">
        <v>737</v>
      </c>
      <c r="H179" s="143"/>
      <c r="I179" s="143"/>
      <c r="J179" s="149" t="str">
        <f>IF(D179="DOSEN",VLOOKUP(B179,Dosen!B:Z,7,FALSE),VLOOKUP(B179,TPA!B:Z,5,FALSE))</f>
        <v>TLH</v>
      </c>
      <c r="K179" s="143"/>
      <c r="L179" s="131" t="s">
        <v>621</v>
      </c>
      <c r="M179" s="132" t="str">
        <f>IF(D179="DOSEN",VLOOKUP(B179,Dosen!B:ZZ,33,FALSE),VLOOKUP(B179,TPA!B:ZZ,44,FALSE))</f>
        <v>S1</v>
      </c>
      <c r="N179" s="180">
        <v>45444</v>
      </c>
      <c r="O179" s="180"/>
      <c r="P179" s="151" t="str">
        <f t="shared" ca="1" si="2"/>
        <v xml:space="preserve">1 tahun 7 bulan </v>
      </c>
      <c r="Q179" s="143"/>
      <c r="R179" s="173">
        <v>83831760068</v>
      </c>
      <c r="S179" s="391" t="s">
        <v>738</v>
      </c>
    </row>
    <row r="180" spans="1:19" ht="18.95">
      <c r="A180" s="143"/>
      <c r="B180" s="391" t="s">
        <v>739</v>
      </c>
      <c r="C180" s="143" t="s">
        <v>46</v>
      </c>
      <c r="D180" s="143" t="s">
        <v>573</v>
      </c>
      <c r="E180" s="132">
        <f>IF(D180="DOSEN",VLOOKUP(B180,Dosen!B:Z,11,FALSE),VLOOKUP(B180,TPA!B:Z,7,FALSE))</f>
        <v>0</v>
      </c>
      <c r="F180" s="143"/>
      <c r="G180" s="392">
        <v>13229922</v>
      </c>
      <c r="H180" s="143"/>
      <c r="I180" s="143"/>
      <c r="J180" s="149" t="str">
        <f>IF(D180="DOSEN",VLOOKUP(B180,Dosen!B:Z,7,FALSE),VLOOKUP(B180,TPA!B:Z,5,FALSE))</f>
        <v>PROFESIONAL</v>
      </c>
      <c r="K180" s="143"/>
      <c r="L180" s="143"/>
      <c r="M180" s="132">
        <f>IF(D180="DOSEN",VLOOKUP(B180,Dosen!B:ZZ,33,FALSE),VLOOKUP(B180,TPA!B:ZZ,44,FALSE))</f>
        <v>0</v>
      </c>
      <c r="N180" s="180">
        <v>44562</v>
      </c>
      <c r="O180" s="172"/>
      <c r="P180" s="151" t="str">
        <f t="shared" ca="1" si="2"/>
        <v xml:space="preserve">4 tahun 0 bulan </v>
      </c>
      <c r="Q180" s="143"/>
      <c r="R180" s="184"/>
      <c r="S180" s="143"/>
    </row>
    <row r="181" spans="1:19" ht="18.95">
      <c r="A181" s="143"/>
      <c r="B181" s="391" t="s">
        <v>740</v>
      </c>
      <c r="C181" s="143" t="s">
        <v>46</v>
      </c>
      <c r="D181" s="143" t="s">
        <v>573</v>
      </c>
      <c r="E181" s="132">
        <f>IF(D181="DOSEN",VLOOKUP(B181,Dosen!B:Z,11,FALSE),VLOOKUP(B181,TPA!B:Z,7,FALSE))</f>
        <v>0</v>
      </c>
      <c r="F181" s="143"/>
      <c r="G181" s="392">
        <v>20970009</v>
      </c>
      <c r="H181" s="143"/>
      <c r="I181" s="143"/>
      <c r="J181" s="149" t="str">
        <f>IF(D181="DOSEN",VLOOKUP(B181,Dosen!B:Z,7,FALSE),VLOOKUP(B181,TPA!B:Z,5,FALSE))</f>
        <v>PROFESIONAL</v>
      </c>
      <c r="K181" s="143"/>
      <c r="L181" s="143"/>
      <c r="M181" s="132">
        <f>IF(D181="DOSEN",VLOOKUP(B181,Dosen!B:ZZ,33,FALSE),VLOOKUP(B181,TPA!B:ZZ,44,FALSE))</f>
        <v>0</v>
      </c>
      <c r="N181" s="180">
        <v>44562</v>
      </c>
      <c r="O181" s="267">
        <v>45139</v>
      </c>
      <c r="P181" s="151" t="str">
        <f t="shared" ca="1" si="2"/>
        <v xml:space="preserve">1 tahun 7 bulan </v>
      </c>
      <c r="Q181" s="143"/>
      <c r="R181" s="184"/>
      <c r="S181" s="143"/>
    </row>
    <row r="182" spans="1:19" ht="18.95">
      <c r="A182" s="143"/>
      <c r="B182" s="391" t="s">
        <v>741</v>
      </c>
      <c r="C182" s="143" t="s">
        <v>46</v>
      </c>
      <c r="D182" s="143" t="s">
        <v>573</v>
      </c>
      <c r="E182" s="132">
        <f>IF(D182="DOSEN",VLOOKUP(B182,Dosen!B:Z,11,FALSE),VLOOKUP(B182,TPA!B:Z,7,FALSE))</f>
        <v>0</v>
      </c>
      <c r="F182" s="143"/>
      <c r="G182" s="392">
        <v>20970018</v>
      </c>
      <c r="H182" s="143"/>
      <c r="I182" s="143"/>
      <c r="J182" s="149" t="str">
        <f>IF(D182="DOSEN",VLOOKUP(B182,Dosen!B:Z,7,FALSE),VLOOKUP(B182,TPA!B:Z,5,FALSE))</f>
        <v>PROFESIONAL</v>
      </c>
      <c r="K182" s="143"/>
      <c r="L182" s="143"/>
      <c r="M182" s="132">
        <f>IF(D182="DOSEN",VLOOKUP(B182,Dosen!B:ZZ,33,FALSE),VLOOKUP(B182,TPA!B:ZZ,44,FALSE))</f>
        <v>0</v>
      </c>
      <c r="N182" s="180">
        <v>44562</v>
      </c>
      <c r="O182" s="267">
        <v>45195</v>
      </c>
      <c r="P182" s="151" t="str">
        <f t="shared" ca="1" si="2"/>
        <v xml:space="preserve">1 tahun 8 bulan </v>
      </c>
      <c r="Q182" s="143"/>
      <c r="R182" s="184"/>
      <c r="S182" s="143"/>
    </row>
    <row r="183" spans="1:19" ht="18.95">
      <c r="A183" s="143"/>
      <c r="B183" s="391" t="s">
        <v>742</v>
      </c>
      <c r="C183" s="143" t="s">
        <v>46</v>
      </c>
      <c r="D183" s="143" t="s">
        <v>573</v>
      </c>
      <c r="E183" s="132">
        <f>IF(D183="DOSEN",VLOOKUP(B183,Dosen!B:Z,11,FALSE),VLOOKUP(B183,TPA!B:Z,7,FALSE))</f>
        <v>0</v>
      </c>
      <c r="F183" s="143"/>
      <c r="G183" s="392">
        <v>22950004</v>
      </c>
      <c r="H183" s="143"/>
      <c r="I183" s="143"/>
      <c r="J183" s="149" t="str">
        <f>IF(D183="DOSEN",VLOOKUP(B183,Dosen!B:Z,7,FALSE),VLOOKUP(B183,TPA!B:Z,5,FALSE))</f>
        <v>PROFESIONAL</v>
      </c>
      <c r="K183" s="143"/>
      <c r="L183" s="143"/>
      <c r="M183" s="132">
        <f>IF(D183="DOSEN",VLOOKUP(B183,Dosen!B:ZZ,33,FALSE),VLOOKUP(B183,TPA!B:ZZ,44,FALSE))</f>
        <v>0</v>
      </c>
      <c r="N183" s="180">
        <v>44562</v>
      </c>
      <c r="O183" s="267">
        <v>45292</v>
      </c>
      <c r="P183" s="151" t="str">
        <f t="shared" ca="1" si="2"/>
        <v xml:space="preserve">2 tahun 0 bulan </v>
      </c>
      <c r="Q183" s="143"/>
      <c r="R183" s="184"/>
      <c r="S183" s="143"/>
    </row>
    <row r="184" spans="1:19" ht="18.95">
      <c r="A184" s="143"/>
      <c r="B184" s="391" t="s">
        <v>743</v>
      </c>
      <c r="C184" s="143" t="s">
        <v>46</v>
      </c>
      <c r="D184" s="143" t="s">
        <v>573</v>
      </c>
      <c r="E184" s="132">
        <f>IF(D184="DOSEN",VLOOKUP(B184,Dosen!B:Z,11,FALSE),VLOOKUP(B184,TPA!B:Z,7,FALSE))</f>
        <v>0</v>
      </c>
      <c r="F184" s="143"/>
      <c r="G184" s="392">
        <v>22920015</v>
      </c>
      <c r="H184" s="143"/>
      <c r="I184" s="143"/>
      <c r="J184" s="149" t="str">
        <f>IF(D184="DOSEN",VLOOKUP(B184,Dosen!B:Z,7,FALSE),VLOOKUP(B184,TPA!B:Z,5,FALSE))</f>
        <v>PROFESIONAL</v>
      </c>
      <c r="K184" s="143"/>
      <c r="L184" s="143"/>
      <c r="M184" s="132">
        <f>IF(D184="DOSEN",VLOOKUP(B184,Dosen!B:ZZ,33,FALSE),VLOOKUP(B184,TPA!B:ZZ,44,FALSE))</f>
        <v>0</v>
      </c>
      <c r="N184" s="180">
        <v>44562</v>
      </c>
      <c r="O184" s="267">
        <v>45292</v>
      </c>
      <c r="P184" s="151" t="str">
        <f t="shared" ca="1" si="2"/>
        <v xml:space="preserve">2 tahun 0 bulan </v>
      </c>
      <c r="Q184" s="143"/>
      <c r="R184" s="184"/>
      <c r="S184" s="143"/>
    </row>
    <row r="185" spans="1:19" ht="18.95">
      <c r="A185" s="143"/>
      <c r="B185" s="391" t="s">
        <v>744</v>
      </c>
      <c r="C185" s="143" t="s">
        <v>46</v>
      </c>
      <c r="D185" s="143" t="s">
        <v>573</v>
      </c>
      <c r="E185" s="132">
        <f>IF(D185="DOSEN",VLOOKUP(B185,Dosen!B:Z,11,FALSE),VLOOKUP(B185,TPA!B:Z,7,FALSE))</f>
        <v>0</v>
      </c>
      <c r="F185" s="143"/>
      <c r="G185" s="392">
        <v>23980025</v>
      </c>
      <c r="H185" s="143"/>
      <c r="I185" s="143"/>
      <c r="J185" s="149" t="str">
        <f>IF(D185="DOSEN",VLOOKUP(B185,Dosen!B:Z,7,FALSE),VLOOKUP(B185,TPA!B:Z,5,FALSE))</f>
        <v>PROFESIONAL</v>
      </c>
      <c r="K185" s="143"/>
      <c r="L185" s="143"/>
      <c r="M185" s="132">
        <f>IF(D185="DOSEN",VLOOKUP(B185,Dosen!B:ZZ,33,FALSE),VLOOKUP(B185,TPA!B:ZZ,44,FALSE))</f>
        <v>0</v>
      </c>
      <c r="N185" s="180">
        <v>44562</v>
      </c>
      <c r="O185" s="267">
        <v>44866</v>
      </c>
      <c r="P185" s="151" t="str">
        <f t="shared" ca="1" si="2"/>
        <v xml:space="preserve">0 tahun 10 bulan </v>
      </c>
      <c r="Q185" s="143"/>
      <c r="R185" s="184"/>
      <c r="S185" s="143"/>
    </row>
    <row r="186" spans="1:19" ht="18.95">
      <c r="A186" s="143"/>
      <c r="B186" s="391" t="s">
        <v>745</v>
      </c>
      <c r="C186" s="143" t="s">
        <v>46</v>
      </c>
      <c r="D186" s="143" t="s">
        <v>573</v>
      </c>
      <c r="E186" s="132">
        <f>IF(D186="DOSEN",VLOOKUP(B186,Dosen!B:Z,11,FALSE),VLOOKUP(B186,TPA!B:Z,7,FALSE))</f>
        <v>0</v>
      </c>
      <c r="F186" s="143"/>
      <c r="G186" s="392"/>
      <c r="H186" s="143"/>
      <c r="I186" s="143"/>
      <c r="J186" s="149" t="str">
        <f>IF(D186="DOSEN",VLOOKUP(B186,Dosen!B:Z,7,FALSE),VLOOKUP(B186,TPA!B:Z,5,FALSE))</f>
        <v>PROFESIONAL</v>
      </c>
      <c r="K186" s="143"/>
      <c r="L186" s="143"/>
      <c r="M186" s="132">
        <f>IF(D186="DOSEN",VLOOKUP(B186,Dosen!B:ZZ,33,FALSE),VLOOKUP(B186,TPA!B:ZZ,44,FALSE))</f>
        <v>0</v>
      </c>
      <c r="N186" s="180">
        <v>44562</v>
      </c>
      <c r="O186" s="267">
        <v>45292</v>
      </c>
      <c r="P186" s="151" t="str">
        <f t="shared" ca="1" si="2"/>
        <v xml:space="preserve">2 tahun 0 bulan </v>
      </c>
      <c r="Q186" s="143"/>
      <c r="R186" s="184"/>
      <c r="S186" s="143"/>
    </row>
    <row r="187" spans="1:19" ht="18.95">
      <c r="A187" s="143"/>
      <c r="B187" s="131" t="s">
        <v>746</v>
      </c>
      <c r="C187" s="143" t="s">
        <v>46</v>
      </c>
      <c r="D187" s="143" t="s">
        <v>573</v>
      </c>
      <c r="E187" s="132" t="str">
        <f>IF(D187="DOSEN",VLOOKUP(B187,Dosen!B:Z,11,FALSE),VLOOKUP(B187,TPA!B:Z,7,FALSE))</f>
        <v>MUDA.1</v>
      </c>
      <c r="F187" s="131" t="s">
        <v>747</v>
      </c>
      <c r="G187" s="392">
        <v>23920004</v>
      </c>
      <c r="H187" s="143"/>
      <c r="I187" s="143"/>
      <c r="J187" s="149" t="str">
        <f>IF(D187="DOSEN",VLOOKUP(B187,Dosen!B:Z,7,FALSE),VLOOKUP(B187,TPA!B:Z,5,FALSE))</f>
        <v>PROFESIONAL</v>
      </c>
      <c r="K187" s="143"/>
      <c r="L187" s="131" t="s">
        <v>621</v>
      </c>
      <c r="M187" s="132" t="str">
        <f>IF(D187="DOSEN",VLOOKUP(B187,Dosen!B:ZZ,33,FALSE),VLOOKUP(B187,TPA!B:ZZ,44,FALSE))</f>
        <v>S1</v>
      </c>
      <c r="N187" s="172">
        <v>44958</v>
      </c>
      <c r="O187" s="267"/>
      <c r="P187" s="151" t="str">
        <f t="shared" ca="1" si="2"/>
        <v xml:space="preserve">2 tahun 11 bulan </v>
      </c>
      <c r="Q187" s="143"/>
      <c r="R187" s="173">
        <v>81231885564</v>
      </c>
      <c r="S187" s="131" t="s">
        <v>748</v>
      </c>
    </row>
    <row r="188" spans="1:19" ht="18.95">
      <c r="A188" s="143"/>
      <c r="B188" s="131" t="s">
        <v>749</v>
      </c>
      <c r="C188" s="143" t="s">
        <v>46</v>
      </c>
      <c r="D188" s="143" t="s">
        <v>573</v>
      </c>
      <c r="E188" s="132">
        <f>IF(D188="DOSEN",VLOOKUP(B188,Dosen!B:Z,11,FALSE),VLOOKUP(B188,TPA!B:Z,7,FALSE))</f>
        <v>0</v>
      </c>
      <c r="F188" s="143"/>
      <c r="G188" s="392"/>
      <c r="H188" s="143"/>
      <c r="I188" s="143"/>
      <c r="J188" s="149" t="str">
        <f>IF(D188="DOSEN",VLOOKUP(B188,Dosen!B:Z,7,FALSE),VLOOKUP(B188,TPA!B:Z,5,FALSE))</f>
        <v>PROFESIONAL</v>
      </c>
      <c r="K188" s="143"/>
      <c r="L188" s="143"/>
      <c r="M188" s="132">
        <f>IF(D188="DOSEN",VLOOKUP(B188,Dosen!B:ZZ,33,FALSE),VLOOKUP(B188,TPA!B:ZZ,44,FALSE))</f>
        <v>0</v>
      </c>
      <c r="N188" s="180">
        <v>44562</v>
      </c>
      <c r="O188" s="267">
        <v>45566</v>
      </c>
      <c r="P188" s="151" t="str">
        <f t="shared" ca="1" si="2"/>
        <v xml:space="preserve">2 tahun 9 bulan </v>
      </c>
      <c r="Q188" s="143"/>
      <c r="R188" s="184"/>
      <c r="S188" s="143"/>
    </row>
    <row r="189" spans="1:19" ht="18.95">
      <c r="A189" s="143"/>
      <c r="B189" s="131" t="s">
        <v>750</v>
      </c>
      <c r="C189" s="143" t="s">
        <v>46</v>
      </c>
      <c r="D189" s="143" t="s">
        <v>573</v>
      </c>
      <c r="E189" s="132">
        <f>IF(D189="DOSEN",VLOOKUP(B189,Dosen!B:Z,11,FALSE),VLOOKUP(B189,TPA!B:Z,7,FALSE))</f>
        <v>0</v>
      </c>
      <c r="F189" s="143"/>
      <c r="G189" s="392"/>
      <c r="H189" s="143"/>
      <c r="I189" s="143"/>
      <c r="J189" s="149" t="str">
        <f>IF(D189="DOSEN",VLOOKUP(B189,Dosen!B:Z,7,FALSE),VLOOKUP(B189,TPA!B:Z,5,FALSE))</f>
        <v>PROFESIONAL</v>
      </c>
      <c r="K189" s="143"/>
      <c r="L189" s="143"/>
      <c r="M189" s="132">
        <f>IF(D189="DOSEN",VLOOKUP(B189,Dosen!B:ZZ,33,FALSE),VLOOKUP(B189,TPA!B:ZZ,44,FALSE))</f>
        <v>0</v>
      </c>
      <c r="N189" s="180">
        <v>44562</v>
      </c>
      <c r="O189" s="267">
        <v>44810</v>
      </c>
      <c r="P189" s="151" t="str">
        <f t="shared" ca="1" si="2"/>
        <v xml:space="preserve">0 tahun 8 bulan </v>
      </c>
      <c r="Q189" s="143"/>
      <c r="R189" s="184"/>
      <c r="S189" s="143"/>
    </row>
    <row r="190" spans="1:19" ht="18.95">
      <c r="A190" s="143"/>
      <c r="B190" s="131" t="s">
        <v>751</v>
      </c>
      <c r="C190" s="143" t="s">
        <v>46</v>
      </c>
      <c r="D190" s="143" t="s">
        <v>573</v>
      </c>
      <c r="E190" s="132">
        <f>IF(D190="DOSEN",VLOOKUP(B190,Dosen!B:Z,11,FALSE),VLOOKUP(B190,TPA!B:Z,7,FALSE))</f>
        <v>0</v>
      </c>
      <c r="F190" s="143"/>
      <c r="G190" s="392"/>
      <c r="H190" s="143"/>
      <c r="I190" s="143"/>
      <c r="J190" s="149" t="str">
        <f>IF(D190="DOSEN",VLOOKUP(B190,Dosen!B:Z,7,FALSE),VLOOKUP(B190,TPA!B:Z,5,FALSE))</f>
        <v>PROFESIONAL</v>
      </c>
      <c r="K190" s="143"/>
      <c r="L190" s="143"/>
      <c r="M190" s="132">
        <f>IF(D190="DOSEN",VLOOKUP(B190,Dosen!B:ZZ,33,FALSE),VLOOKUP(B190,TPA!B:ZZ,44,FALSE))</f>
        <v>0</v>
      </c>
      <c r="N190" s="180">
        <v>44562</v>
      </c>
      <c r="O190" s="267"/>
      <c r="P190" s="151" t="str">
        <f t="shared" ca="1" si="2"/>
        <v xml:space="preserve">4 tahun 0 bulan </v>
      </c>
      <c r="Q190" s="143"/>
      <c r="R190" s="184"/>
      <c r="S190" s="143"/>
    </row>
    <row r="191" spans="1:19" ht="18.95">
      <c r="A191" s="143"/>
      <c r="B191" s="131" t="s">
        <v>752</v>
      </c>
      <c r="C191" s="143" t="s">
        <v>46</v>
      </c>
      <c r="D191" s="143" t="s">
        <v>573</v>
      </c>
      <c r="E191" s="132">
        <f>IF(D191="DOSEN",VLOOKUP(B191,Dosen!B:Z,11,FALSE),VLOOKUP(B191,TPA!B:Z,7,FALSE))</f>
        <v>0</v>
      </c>
      <c r="F191" s="143"/>
      <c r="G191" s="143"/>
      <c r="H191" s="143"/>
      <c r="I191" s="143"/>
      <c r="J191" s="149" t="str">
        <f>IF(D191="DOSEN",VLOOKUP(B191,Dosen!B:Z,7,FALSE),VLOOKUP(B191,TPA!B:Z,5,FALSE))</f>
        <v>PROFESIONAL</v>
      </c>
      <c r="K191" s="143"/>
      <c r="L191" s="143"/>
      <c r="M191" s="132">
        <f>IF(D191="DOSEN",VLOOKUP(B191,Dosen!B:ZZ,33,FALSE),VLOOKUP(B191,TPA!B:ZZ,44,FALSE))</f>
        <v>0</v>
      </c>
      <c r="N191" s="180">
        <v>44562</v>
      </c>
      <c r="O191" s="267"/>
      <c r="P191" s="151" t="str">
        <f t="shared" ca="1" si="2"/>
        <v xml:space="preserve">4 tahun 0 bulan </v>
      </c>
      <c r="Q191" s="143"/>
      <c r="R191" s="184"/>
      <c r="S191" s="143"/>
    </row>
    <row r="192" spans="1:19" ht="18.95">
      <c r="B192" s="281" t="s">
        <v>753</v>
      </c>
      <c r="C192" s="281" t="s">
        <v>20</v>
      </c>
      <c r="D192" t="s">
        <v>21</v>
      </c>
      <c r="E192" s="132" t="str">
        <f>IF(D192="DOSEN",VLOOKUP(B192,Dosen!B:Z,11,FALSE),VLOOKUP(B192,TPA!B:Z,7,FALSE))</f>
        <v>L</v>
      </c>
      <c r="F192" s="281" t="s">
        <v>170</v>
      </c>
      <c r="J192" s="149" t="str">
        <f>IF(D192="DOSEN",VLOOKUP(B192,Dosen!B:Z,7,FALSE),VLOOKUP(B192,TPA!B:Z,5,FALSE))</f>
        <v>TETAP</v>
      </c>
      <c r="M192" s="132" t="str">
        <f>IF(D192="DOSEN",VLOOKUP(B192,Dosen!B:ZZ,33,FALSE),VLOOKUP(B192,TPA!B:ZZ,44,FALSE))</f>
        <v>S2</v>
      </c>
      <c r="N192" s="180">
        <v>44562</v>
      </c>
      <c r="P192" s="151" t="str">
        <f t="shared" ca="1" si="2"/>
        <v xml:space="preserve">4 tahun 0 bulan </v>
      </c>
    </row>
    <row r="193" spans="2:16" ht="18.95">
      <c r="B193" s="280" t="s">
        <v>754</v>
      </c>
      <c r="C193" s="281" t="s">
        <v>20</v>
      </c>
      <c r="D193" t="s">
        <v>21</v>
      </c>
      <c r="E193" s="132" t="str">
        <f>IF(D193="DOSEN",VLOOKUP(B193,Dosen!B:Z,11,FALSE),VLOOKUP(B193,TPA!B:Z,7,FALSE))</f>
        <v>NJAD</v>
      </c>
      <c r="F193" s="280" t="s">
        <v>22</v>
      </c>
      <c r="J193" s="149" t="str">
        <f>IF(D193="DOSEN",VLOOKUP(B193,Dosen!B:Z,7,FALSE),VLOOKUP(B193,TPA!B:Z,5,FALSE))</f>
        <v>PROFESIONAL</v>
      </c>
      <c r="M193" s="132" t="str">
        <f>IF(D193="DOSEN",VLOOKUP(B193,Dosen!B:ZZ,33,FALSE),VLOOKUP(B193,TPA!B:ZZ,44,FALSE))</f>
        <v>S2</v>
      </c>
      <c r="N193" s="180">
        <v>45870</v>
      </c>
      <c r="P193" s="151" t="str">
        <f t="shared" ca="1" si="2"/>
        <v xml:space="preserve">0 tahun 5 bulan </v>
      </c>
    </row>
    <row r="194" spans="2:16" ht="18.95">
      <c r="B194" s="280" t="s">
        <v>755</v>
      </c>
      <c r="C194" s="281" t="s">
        <v>20</v>
      </c>
      <c r="D194" t="s">
        <v>21</v>
      </c>
      <c r="E194" s="132" t="str">
        <f>IF(D194="DOSEN",VLOOKUP(B194,Dosen!B:Z,11,FALSE),VLOOKUP(B194,TPA!B:Z,7,FALSE))</f>
        <v>NJAD</v>
      </c>
      <c r="F194" s="280" t="s">
        <v>235</v>
      </c>
      <c r="J194" s="149" t="str">
        <f>IF(D194="DOSEN",VLOOKUP(B194,Dosen!B:Z,7,FALSE),VLOOKUP(B194,TPA!B:Z,5,FALSE))</f>
        <v>PROFESIONAL</v>
      </c>
      <c r="M194" s="132" t="str">
        <f>IF(D194="DOSEN",VLOOKUP(B194,Dosen!B:ZZ,33,FALSE),VLOOKUP(B194,TPA!B:ZZ,44,FALSE))</f>
        <v>S2</v>
      </c>
      <c r="N194" s="180">
        <v>45870</v>
      </c>
      <c r="P194" s="151" t="str">
        <f t="shared" ca="1" si="2"/>
        <v xml:space="preserve">0 tahun 5 bulan </v>
      </c>
    </row>
    <row r="195" spans="2:16" ht="18.95">
      <c r="B195" s="280" t="s">
        <v>756</v>
      </c>
      <c r="C195" s="281" t="s">
        <v>20</v>
      </c>
      <c r="D195" t="s">
        <v>21</v>
      </c>
      <c r="E195" s="132" t="str">
        <f>IF(D195="DOSEN",VLOOKUP(B195,Dosen!B:Z,11,FALSE),VLOOKUP(B195,TPA!B:Z,7,FALSE))</f>
        <v>NJAD</v>
      </c>
      <c r="F195" s="280" t="s">
        <v>413</v>
      </c>
      <c r="J195" s="149" t="str">
        <f>IF(D195="DOSEN",VLOOKUP(B195,Dosen!B:Z,7,FALSE),VLOOKUP(B195,TPA!B:Z,5,FALSE))</f>
        <v>PROFESIONAL</v>
      </c>
      <c r="M195" s="132" t="str">
        <f>IF(D195="DOSEN",VLOOKUP(B195,Dosen!B:ZZ,33,FALSE),VLOOKUP(B195,TPA!B:ZZ,44,FALSE))</f>
        <v>S2</v>
      </c>
      <c r="N195" s="180">
        <v>45870</v>
      </c>
      <c r="P195" s="151" t="str">
        <f t="shared" ref="P195:P196" ca="1" si="3">IF(O195="",DATEDIF(N195,TODAY(),"y")&amp;" tahun "&amp;DATEDIF(N195,TODAY(),"ym")&amp;" bulan ",DATEDIF(N195,O195,"y")&amp;" tahun "&amp;DATEDIF(N195,O195,"ym")&amp;" bulan ")</f>
        <v xml:space="preserve">0 tahun 5 bulan </v>
      </c>
    </row>
    <row r="196" spans="2:16" ht="18.95">
      <c r="B196" s="280" t="s">
        <v>757</v>
      </c>
      <c r="C196" s="281" t="s">
        <v>20</v>
      </c>
      <c r="D196" t="s">
        <v>21</v>
      </c>
      <c r="E196" s="132" t="str">
        <f>IF(D196="DOSEN",VLOOKUP(B196,Dosen!B:Z,11,FALSE),VLOOKUP(B196,TPA!B:Z,7,FALSE))</f>
        <v>NJAD</v>
      </c>
      <c r="F196" s="280" t="s">
        <v>370</v>
      </c>
      <c r="J196" s="149" t="str">
        <f>IF(D196="DOSEN",VLOOKUP(B196,Dosen!B:Z,7,FALSE),VLOOKUP(B196,TPA!B:Z,5,FALSE))</f>
        <v>PROFESIONAL</v>
      </c>
      <c r="M196" s="132" t="str">
        <f>IF(D196="DOSEN",VLOOKUP(B196,Dosen!B:ZZ,33,FALSE),VLOOKUP(B196,TPA!B:ZZ,44,FALSE))</f>
        <v>S2</v>
      </c>
      <c r="N196" s="180">
        <v>45870</v>
      </c>
      <c r="P196" s="151" t="str">
        <f t="shared" ca="1" si="3"/>
        <v xml:space="preserve">0 tahun 5 bulan </v>
      </c>
    </row>
  </sheetData>
  <autoFilter ref="A1:S196" xr:uid="{C86CF73D-7C33-4A19-A523-EF43286B8AF2}"/>
  <conditionalFormatting sqref="C192:C196">
    <cfRule type="cellIs" dxfId="21" priority="1" operator="equal">
      <formula>"Non-Aktif"</formula>
    </cfRule>
  </conditionalFormatting>
  <conditionalFormatting sqref="C1:E191 E2:E196">
    <cfRule type="cellIs" dxfId="20" priority="2" operator="equal">
      <formula>"Non-Aktif"</formula>
    </cfRule>
  </conditionalFormatting>
  <hyperlinks>
    <hyperlink ref="Q71" r:id="rId1" xr:uid="{5B802F4A-7EE8-48AD-BEB0-87221FB2CF72}"/>
    <hyperlink ref="Q80" r:id="rId2" xr:uid="{AFF03A7F-A42C-4C65-8161-A06B58F72AE9}"/>
    <hyperlink ref="Q52" r:id="rId3" xr:uid="{E9A99096-7023-462D-92A8-F46401D7D865}"/>
    <hyperlink ref="Q38" r:id="rId4" xr:uid="{EF2BA173-8484-402D-9B9C-5AD7710C175B}"/>
    <hyperlink ref="Q82" r:id="rId5" xr:uid="{74E5DEF4-9BEC-4896-975E-1B19ECF41216}"/>
    <hyperlink ref="Q95" r:id="rId6" xr:uid="{90D8EF6D-F0F5-49DF-BF65-6F1AE187DF68}"/>
    <hyperlink ref="Q18" r:id="rId7" xr:uid="{2864D745-FC4B-4A32-A0F7-AD9E7E8C44B9}"/>
    <hyperlink ref="Q17" r:id="rId8" xr:uid="{B0DF6A4A-9508-41AA-8314-CE0CC6D19373}"/>
    <hyperlink ref="Q46" r:id="rId9" xr:uid="{936C09C3-C300-4706-9784-7B4354DF7B3E}"/>
    <hyperlink ref="Q16" r:id="rId10" xr:uid="{ABDF22C2-B71B-4BB5-9855-4A3A95A86E29}"/>
    <hyperlink ref="Q15" r:id="rId11" xr:uid="{4B4252E3-3743-4E8C-A395-82DE4ACA23CA}"/>
    <hyperlink ref="Q98" r:id="rId12" xr:uid="{A448BC60-100A-49A0-9FE5-A09D4234FB75}"/>
    <hyperlink ref="Q32" r:id="rId13" xr:uid="{05FED91B-D975-4EAE-9CA5-2C422F61BEC4}"/>
    <hyperlink ref="Q120" r:id="rId14" xr:uid="{F9EC0FD0-33C7-4E34-B303-33C64346C360}"/>
    <hyperlink ref="L154" r:id="rId15" xr:uid="{BCB8FFF9-5054-48D4-8202-3502955053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5C81-62EF-4808-A875-09BD03320ECA}">
  <dimension ref="A2:D5"/>
  <sheetViews>
    <sheetView workbookViewId="0">
      <selection activeCell="A6" sqref="A6"/>
    </sheetView>
  </sheetViews>
  <sheetFormatPr defaultRowHeight="15"/>
  <cols>
    <col min="1" max="1" width="36.5703125" bestFit="1" customWidth="1"/>
    <col min="2" max="2" width="22.7109375" bestFit="1" customWidth="1"/>
    <col min="3" max="3" width="40.140625" bestFit="1" customWidth="1"/>
    <col min="4" max="4" width="37.140625" bestFit="1" customWidth="1"/>
  </cols>
  <sheetData>
    <row r="2" spans="1:4" ht="18">
      <c r="A2" s="420"/>
    </row>
    <row r="3" spans="1:4">
      <c r="A3" t="s">
        <v>758</v>
      </c>
      <c r="B3" t="s">
        <v>759</v>
      </c>
      <c r="C3" t="s">
        <v>760</v>
      </c>
      <c r="D3" t="s">
        <v>761</v>
      </c>
    </row>
    <row r="4" spans="1:4" ht="43.5">
      <c r="A4" s="421" t="s">
        <v>762</v>
      </c>
      <c r="B4" t="s">
        <v>763</v>
      </c>
      <c r="C4" s="335" t="s">
        <v>764</v>
      </c>
      <c r="D4" s="281" t="s">
        <v>765</v>
      </c>
    </row>
    <row r="5" spans="1:4" ht="43.5">
      <c r="A5" s="421" t="s">
        <v>766</v>
      </c>
      <c r="B5" t="s">
        <v>767</v>
      </c>
      <c r="C5" s="335" t="s">
        <v>768</v>
      </c>
      <c r="D5" s="281" t="s">
        <v>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AC1F-4C96-4315-AAEA-F2EAED691894}">
  <dimension ref="A1:G35"/>
  <sheetViews>
    <sheetView workbookViewId="0">
      <selection activeCell="I16" sqref="I16"/>
    </sheetView>
  </sheetViews>
  <sheetFormatPr defaultColWidth="36.28515625" defaultRowHeight="15"/>
  <cols>
    <col min="1" max="1" width="7.28515625" bestFit="1" customWidth="1"/>
    <col min="2" max="2" width="39.140625" bestFit="1" customWidth="1"/>
    <col min="3" max="3" width="32.7109375" bestFit="1" customWidth="1"/>
    <col min="4" max="4" width="20.42578125" bestFit="1" customWidth="1"/>
    <col min="5" max="6" width="38.5703125" style="116" bestFit="1" customWidth="1"/>
    <col min="7" max="7" width="11.7109375" bestFit="1" customWidth="1"/>
    <col min="8" max="10" width="36.28515625" bestFit="1" customWidth="1"/>
  </cols>
  <sheetData>
    <row r="1" spans="1:7" ht="19.5" customHeight="1">
      <c r="A1" s="159" t="s">
        <v>0</v>
      </c>
      <c r="B1" s="159" t="s">
        <v>1</v>
      </c>
      <c r="C1" s="159" t="s">
        <v>770</v>
      </c>
      <c r="D1" s="159" t="s">
        <v>771</v>
      </c>
      <c r="E1" s="159" t="s">
        <v>772</v>
      </c>
      <c r="F1" s="159" t="s">
        <v>773</v>
      </c>
      <c r="G1" s="159" t="s">
        <v>774</v>
      </c>
    </row>
    <row r="2" spans="1:7" ht="18">
      <c r="A2" s="281" t="e">
        <f>A1+1</f>
        <v>#VALUE!</v>
      </c>
      <c r="B2" s="281" t="s">
        <v>55</v>
      </c>
      <c r="C2" s="281" t="s">
        <v>22</v>
      </c>
      <c r="D2" s="281" t="s">
        <v>775</v>
      </c>
      <c r="E2" s="418">
        <v>44428</v>
      </c>
      <c r="F2" s="419" t="str">
        <f ca="1">DATEDIF(E2,TODAY(), "Y") &amp; " Tahun " &amp; DATEDIF(E2, TODAY(), "YM") &amp; " Bulan"</f>
        <v>4 Tahun 4 Bulan</v>
      </c>
      <c r="G2" s="115">
        <v>2029</v>
      </c>
    </row>
    <row r="3" spans="1:7" ht="18">
      <c r="A3" s="281" t="e">
        <f>A2+1</f>
        <v>#VALUE!</v>
      </c>
      <c r="B3" s="281" t="s">
        <v>19</v>
      </c>
      <c r="C3" s="281" t="s">
        <v>22</v>
      </c>
      <c r="D3" s="281" t="s">
        <v>775</v>
      </c>
      <c r="E3" s="418">
        <v>44090</v>
      </c>
      <c r="F3" s="419" t="str">
        <f ca="1">DATEDIF(E3,TODAY(), "Y") &amp; " Tahun " &amp; DATEDIF(E3, TODAY(), "YM") &amp; " Bulan"</f>
        <v>5 Tahun 4 Bulan</v>
      </c>
      <c r="G3" s="115">
        <v>2026</v>
      </c>
    </row>
    <row r="4" spans="1:7" ht="18">
      <c r="A4" s="281" t="e">
        <f>A3+1</f>
        <v>#VALUE!</v>
      </c>
      <c r="B4" s="281" t="s">
        <v>111</v>
      </c>
      <c r="C4" s="281" t="s">
        <v>107</v>
      </c>
      <c r="D4" s="281" t="s">
        <v>775</v>
      </c>
      <c r="E4" s="418">
        <v>45901</v>
      </c>
      <c r="F4" s="419" t="str">
        <f ca="1">DATEDIF(E4,TODAY(), "Y") &amp; " Tahun " &amp; DATEDIF(E4, TODAY(), "YM") &amp; " Bulan"</f>
        <v>0 Tahun 4 Bulan</v>
      </c>
      <c r="G4" s="115">
        <v>2033</v>
      </c>
    </row>
    <row r="5" spans="1:7" ht="18">
      <c r="A5" s="281" t="e">
        <f>A4+1</f>
        <v>#VALUE!</v>
      </c>
      <c r="B5" s="281" t="s">
        <v>141</v>
      </c>
      <c r="C5" s="281" t="s">
        <v>107</v>
      </c>
      <c r="D5" s="281" t="s">
        <v>775</v>
      </c>
      <c r="E5" s="418">
        <v>45870</v>
      </c>
      <c r="F5" s="419" t="str">
        <f ca="1">DATEDIF(E5,TODAY(), "Y") &amp; " Tahun " &amp; DATEDIF(E5, TODAY(), "YM") &amp; " Bulan"</f>
        <v>0 Tahun 5 Bulan</v>
      </c>
      <c r="G5" s="115">
        <f>YEAR(E5)+5</f>
        <v>2030</v>
      </c>
    </row>
    <row r="6" spans="1:7" ht="18">
      <c r="A6" s="281" t="e">
        <f>A5+1</f>
        <v>#VALUE!</v>
      </c>
      <c r="B6" s="281" t="s">
        <v>179</v>
      </c>
      <c r="C6" s="281" t="s">
        <v>170</v>
      </c>
      <c r="D6" s="281" t="s">
        <v>775</v>
      </c>
      <c r="E6" s="418">
        <v>45901</v>
      </c>
      <c r="F6" s="419" t="str">
        <f ca="1">DATEDIF(E6,TODAY(), "Y") &amp; " Tahun " &amp; DATEDIF(E6, TODAY(), "YM") &amp; " Bulan"</f>
        <v>0 Tahun 4 Bulan</v>
      </c>
      <c r="G6" s="115">
        <v>2033</v>
      </c>
    </row>
    <row r="7" spans="1:7" ht="18">
      <c r="A7" s="281" t="e">
        <f>A6+1</f>
        <v>#VALUE!</v>
      </c>
      <c r="B7" s="281" t="s">
        <v>187</v>
      </c>
      <c r="C7" s="281" t="s">
        <v>170</v>
      </c>
      <c r="D7" s="281" t="s">
        <v>775</v>
      </c>
      <c r="E7" s="418">
        <v>45108</v>
      </c>
      <c r="F7" s="419" t="str">
        <f ca="1">DATEDIF(E7,TODAY(), "Y") &amp; " Tahun " &amp; DATEDIF(E7, TODAY(), "YM") &amp; " Bulan"</f>
        <v>2 Tahun 6 Bulan</v>
      </c>
      <c r="G7" s="115">
        <f>YEAR(E7)+5</f>
        <v>2028</v>
      </c>
    </row>
    <row r="8" spans="1:7" ht="18">
      <c r="A8" s="281" t="e">
        <f>A7+1</f>
        <v>#VALUE!</v>
      </c>
      <c r="B8" s="281" t="s">
        <v>192</v>
      </c>
      <c r="C8" s="281" t="s">
        <v>170</v>
      </c>
      <c r="D8" s="281" t="s">
        <v>775</v>
      </c>
      <c r="E8" s="418">
        <v>45901</v>
      </c>
      <c r="F8" s="419" t="str">
        <f ca="1">DATEDIF(E8,TODAY(), "Y") &amp; " Tahun " &amp; DATEDIF(E8, TODAY(), "YM") &amp; " Bulan"</f>
        <v>0 Tahun 4 Bulan</v>
      </c>
      <c r="G8" s="115">
        <v>2033</v>
      </c>
    </row>
    <row r="9" spans="1:7" ht="18">
      <c r="A9" s="281" t="e">
        <f>A8+1</f>
        <v>#VALUE!</v>
      </c>
      <c r="B9" s="281" t="s">
        <v>174</v>
      </c>
      <c r="C9" s="281" t="s">
        <v>170</v>
      </c>
      <c r="D9" s="281" t="s">
        <v>775</v>
      </c>
      <c r="E9" s="418">
        <v>45627</v>
      </c>
      <c r="F9" s="419" t="str">
        <f ca="1">DATEDIF(E9,TODAY(), "Y") &amp; " Tahun " &amp; DATEDIF(E9, TODAY(), "YM") &amp; " Bulan"</f>
        <v>1 Tahun 1 Bulan</v>
      </c>
      <c r="G9" s="115">
        <v>2033</v>
      </c>
    </row>
    <row r="10" spans="1:7" ht="18">
      <c r="A10" s="281" t="e">
        <f>A9+1</f>
        <v>#VALUE!</v>
      </c>
      <c r="B10" s="281" t="s">
        <v>753</v>
      </c>
      <c r="C10" s="281" t="s">
        <v>170</v>
      </c>
      <c r="D10" s="281" t="s">
        <v>775</v>
      </c>
      <c r="E10" s="418">
        <v>45261</v>
      </c>
      <c r="F10" s="419" t="str">
        <f ca="1">DATEDIF(E10,TODAY(), "Y") &amp; " Tahun " &amp; DATEDIF(E10, TODAY(), "YM") &amp; " Bulan"</f>
        <v>2 Tahun 1 Bulan</v>
      </c>
      <c r="G10" s="115">
        <f>YEAR(E10)+5</f>
        <v>2028</v>
      </c>
    </row>
    <row r="11" spans="1:7" ht="18">
      <c r="A11" s="281" t="e">
        <f>A10+1</f>
        <v>#VALUE!</v>
      </c>
      <c r="B11" s="281" t="s">
        <v>211</v>
      </c>
      <c r="C11" s="281" t="s">
        <v>201</v>
      </c>
      <c r="D11" s="281" t="s">
        <v>775</v>
      </c>
      <c r="E11" s="418">
        <v>45931</v>
      </c>
      <c r="F11" s="419" t="str">
        <f ca="1">DATEDIF(E11,TODAY(), "Y") &amp; " Tahun " &amp; DATEDIF(E11, TODAY(), "YM") &amp; " Bulan"</f>
        <v>0 Tahun 3 Bulan</v>
      </c>
      <c r="G11" s="115">
        <v>2033</v>
      </c>
    </row>
    <row r="12" spans="1:7" ht="18">
      <c r="A12" s="281" t="e">
        <f>A11+1</f>
        <v>#VALUE!</v>
      </c>
      <c r="B12" s="281" t="s">
        <v>247</v>
      </c>
      <c r="C12" s="281" t="s">
        <v>235</v>
      </c>
      <c r="D12" s="281" t="s">
        <v>775</v>
      </c>
      <c r="E12" s="418">
        <v>45108</v>
      </c>
      <c r="F12" s="419" t="str">
        <f ca="1">DATEDIF(E12,TODAY(), "Y") &amp; " Tahun " &amp; DATEDIF(E12, TODAY(), "YM") &amp; " Bulan"</f>
        <v>2 Tahun 6 Bulan</v>
      </c>
      <c r="G12" s="115">
        <v>2033</v>
      </c>
    </row>
    <row r="13" spans="1:7" ht="18">
      <c r="A13" s="281" t="e">
        <f>A12+1</f>
        <v>#VALUE!</v>
      </c>
      <c r="B13" s="281" t="s">
        <v>255</v>
      </c>
      <c r="C13" s="281" t="s">
        <v>235</v>
      </c>
      <c r="D13" s="281" t="s">
        <v>775</v>
      </c>
      <c r="E13" s="418">
        <v>45444</v>
      </c>
      <c r="F13" s="419" t="str">
        <f ca="1">DATEDIF(E13,TODAY(), "Y") &amp; " Tahun " &amp; DATEDIF(E13, TODAY(), "YM") &amp; " Bulan"</f>
        <v>1 Tahun 7 Bulan</v>
      </c>
      <c r="G13" s="115">
        <v>2033</v>
      </c>
    </row>
    <row r="14" spans="1:7" ht="18">
      <c r="A14" s="281" t="e">
        <f>A13+1</f>
        <v>#VALUE!</v>
      </c>
      <c r="B14" s="281" t="s">
        <v>334</v>
      </c>
      <c r="C14" s="281" t="s">
        <v>330</v>
      </c>
      <c r="D14" s="281" t="s">
        <v>775</v>
      </c>
      <c r="E14" s="418">
        <v>45108</v>
      </c>
      <c r="F14" s="419" t="str">
        <f ca="1">DATEDIF(E14,TODAY(), "Y") &amp; " Tahun " &amp; DATEDIF(E14, TODAY(), "YM") &amp; " Bulan"</f>
        <v>2 Tahun 6 Bulan</v>
      </c>
      <c r="G14" s="115">
        <v>2027</v>
      </c>
    </row>
    <row r="15" spans="1:7" ht="18">
      <c r="A15" s="281" t="e">
        <f>A14+1</f>
        <v>#VALUE!</v>
      </c>
      <c r="B15" s="281" t="s">
        <v>343</v>
      </c>
      <c r="C15" s="281" t="s">
        <v>330</v>
      </c>
      <c r="D15" s="281" t="s">
        <v>775</v>
      </c>
      <c r="E15" s="418">
        <v>45108</v>
      </c>
      <c r="F15" s="419" t="str">
        <f ca="1">DATEDIF(E15,TODAY(), "Y") &amp; " Tahun " &amp; DATEDIF(E15, TODAY(), "YM") &amp; " Bulan"</f>
        <v>2 Tahun 6 Bulan</v>
      </c>
      <c r="G15" s="115">
        <f>YEAR(E15)+5</f>
        <v>2028</v>
      </c>
    </row>
    <row r="16" spans="1:7" ht="18">
      <c r="A16" s="281" t="e">
        <f>A15+1</f>
        <v>#VALUE!</v>
      </c>
      <c r="B16" s="281" t="s">
        <v>347</v>
      </c>
      <c r="C16" s="281" t="s">
        <v>330</v>
      </c>
      <c r="D16" s="281" t="s">
        <v>775</v>
      </c>
      <c r="E16" s="418">
        <v>44805</v>
      </c>
      <c r="F16" s="419" t="str">
        <f ca="1">DATEDIF(E16,TODAY(), "Y") &amp; " Tahun " &amp; DATEDIF(E16, TODAY(), "YM") &amp; " Bulan"</f>
        <v>3 Tahun 4 Bulan</v>
      </c>
      <c r="G16" s="115">
        <v>2033</v>
      </c>
    </row>
    <row r="17" spans="1:7" ht="18">
      <c r="A17" s="281" t="e">
        <f>A16+1</f>
        <v>#VALUE!</v>
      </c>
      <c r="B17" s="333" t="s">
        <v>361</v>
      </c>
      <c r="C17" s="281" t="s">
        <v>330</v>
      </c>
      <c r="D17" s="281" t="s">
        <v>775</v>
      </c>
      <c r="E17" s="418">
        <v>45962</v>
      </c>
      <c r="F17" s="419" t="str">
        <f ca="1">DATEDIF(E17,TODAY(), "Y") &amp; " Tahun " &amp; DATEDIF(E17, TODAY(), "YM") &amp; " Bulan"</f>
        <v>0 Tahun 2 Bulan</v>
      </c>
      <c r="G17" s="115">
        <v>2033</v>
      </c>
    </row>
    <row r="18" spans="1:7" ht="18">
      <c r="A18" s="281" t="e">
        <f>A17+1</f>
        <v>#VALUE!</v>
      </c>
      <c r="B18" s="334" t="s">
        <v>408</v>
      </c>
      <c r="C18" s="281" t="s">
        <v>370</v>
      </c>
      <c r="D18" s="281" t="s">
        <v>775</v>
      </c>
      <c r="E18" s="418">
        <v>45108</v>
      </c>
      <c r="F18" s="419" t="str">
        <f ca="1">DATEDIF(E18,TODAY(), "Y") &amp; " Tahun " &amp; DATEDIF(E18, TODAY(), "YM") &amp; " Bulan"</f>
        <v>2 Tahun 6 Bulan</v>
      </c>
      <c r="G18" s="115">
        <v>2030</v>
      </c>
    </row>
    <row r="19" spans="1:7" ht="18">
      <c r="A19" s="281" t="e">
        <f>A18+1</f>
        <v>#VALUE!</v>
      </c>
      <c r="B19" s="281" t="s">
        <v>382</v>
      </c>
      <c r="C19" s="281" t="s">
        <v>370</v>
      </c>
      <c r="D19" s="281" t="s">
        <v>775</v>
      </c>
      <c r="E19" s="418">
        <v>44927</v>
      </c>
      <c r="F19" s="419" t="str">
        <f ca="1">DATEDIF(E19,TODAY(), "Y") &amp; " Tahun " &amp; DATEDIF(E19, TODAY(), "YM") &amp; " Bulan"</f>
        <v>3 Tahun 0 Bulan</v>
      </c>
      <c r="G19" s="115">
        <v>2033</v>
      </c>
    </row>
    <row r="20" spans="1:7" ht="18">
      <c r="A20" s="281" t="e">
        <f>A19+1</f>
        <v>#VALUE!</v>
      </c>
      <c r="B20" s="281" t="s">
        <v>374</v>
      </c>
      <c r="C20" s="281" t="s">
        <v>370</v>
      </c>
      <c r="D20" s="281" t="s">
        <v>775</v>
      </c>
      <c r="E20" s="418">
        <v>44866</v>
      </c>
      <c r="F20" s="419" t="str">
        <f ca="1">DATEDIF(E20,TODAY(), "Y") &amp; " Tahun " &amp; DATEDIF(E20, TODAY(), "YM") &amp; " Bulan"</f>
        <v>3 Tahun 2 Bulan</v>
      </c>
      <c r="G20" s="115">
        <f>YEAR(E20)+5</f>
        <v>2027</v>
      </c>
    </row>
    <row r="21" spans="1:7" ht="18">
      <c r="A21" s="281" t="e">
        <f>A20+1</f>
        <v>#VALUE!</v>
      </c>
      <c r="B21" s="281" t="s">
        <v>369</v>
      </c>
      <c r="C21" s="281" t="s">
        <v>370</v>
      </c>
      <c r="D21" s="281" t="s">
        <v>775</v>
      </c>
      <c r="E21" s="418">
        <v>45108</v>
      </c>
      <c r="F21" s="419" t="str">
        <f ca="1">DATEDIF(E21,TODAY(), "Y") &amp; " Tahun " &amp; DATEDIF(E21, TODAY(), "YM") &amp; " Bulan"</f>
        <v>2 Tahun 6 Bulan</v>
      </c>
      <c r="G21" s="115">
        <v>2033</v>
      </c>
    </row>
    <row r="22" spans="1:7" ht="18">
      <c r="A22" s="281" t="e">
        <f>A21+1</f>
        <v>#VALUE!</v>
      </c>
      <c r="B22" s="281" t="s">
        <v>438</v>
      </c>
      <c r="C22" s="281" t="s">
        <v>413</v>
      </c>
      <c r="D22" s="281" t="s">
        <v>775</v>
      </c>
      <c r="E22" s="418">
        <v>45413</v>
      </c>
      <c r="F22" s="419" t="str">
        <f ca="1">DATEDIF(E22,TODAY(), "Y") &amp; " Tahun " &amp; DATEDIF(E22, TODAY(), "YM") &amp; " Bulan"</f>
        <v>1 Tahun 8 Bulan</v>
      </c>
      <c r="G22" s="115">
        <v>2030</v>
      </c>
    </row>
    <row r="23" spans="1:7" ht="18">
      <c r="A23" s="281" t="e">
        <f>A22+1</f>
        <v>#VALUE!</v>
      </c>
      <c r="B23" s="281" t="s">
        <v>412</v>
      </c>
      <c r="C23" s="281" t="s">
        <v>413</v>
      </c>
      <c r="D23" s="281" t="s">
        <v>775</v>
      </c>
      <c r="E23" s="418">
        <v>44805</v>
      </c>
      <c r="F23" s="419" t="str">
        <f ca="1">DATEDIF(E23,TODAY(), "Y") &amp; " Tahun " &amp; DATEDIF(E23, TODAY(), "YM") &amp; " Bulan"</f>
        <v>3 Tahun 4 Bulan</v>
      </c>
      <c r="G23" s="115">
        <v>2031</v>
      </c>
    </row>
    <row r="24" spans="1:7" ht="18">
      <c r="A24" s="281" t="e">
        <f>A23+1</f>
        <v>#VALUE!</v>
      </c>
      <c r="B24" s="281" t="s">
        <v>427</v>
      </c>
      <c r="C24" s="281" t="s">
        <v>413</v>
      </c>
      <c r="D24" s="281" t="s">
        <v>775</v>
      </c>
      <c r="E24" s="418">
        <v>45108</v>
      </c>
      <c r="F24" s="419" t="str">
        <f ca="1">DATEDIF(E24,TODAY(), "Y") &amp; " Tahun " &amp; DATEDIF(E24, TODAY(), "YM") &amp; " Bulan"</f>
        <v>2 Tahun 6 Bulan</v>
      </c>
      <c r="G24" s="115">
        <f>YEAR(E24)+5</f>
        <v>2028</v>
      </c>
    </row>
    <row r="25" spans="1:7" ht="18">
      <c r="A25" s="281" t="e">
        <f>A24+1</f>
        <v>#VALUE!</v>
      </c>
      <c r="B25" s="281" t="s">
        <v>447</v>
      </c>
      <c r="C25" s="281" t="s">
        <v>448</v>
      </c>
      <c r="D25" s="281" t="s">
        <v>775</v>
      </c>
      <c r="E25" s="418">
        <v>44032</v>
      </c>
      <c r="F25" s="419" t="str">
        <f ca="1">DATEDIF(E25,TODAY(), "Y") &amp; " Tahun " &amp; DATEDIF(E25, TODAY(), "YM") &amp; " Bulan"</f>
        <v>5 Tahun 5 Bulan</v>
      </c>
      <c r="G25" s="115">
        <v>2027</v>
      </c>
    </row>
    <row r="26" spans="1:7" ht="18">
      <c r="A26" s="281" t="e">
        <f>A25+1</f>
        <v>#VALUE!</v>
      </c>
      <c r="B26" s="281" t="s">
        <v>453</v>
      </c>
      <c r="C26" s="281" t="s">
        <v>448</v>
      </c>
      <c r="D26" s="281" t="s">
        <v>775</v>
      </c>
      <c r="E26" s="418">
        <v>41365</v>
      </c>
      <c r="F26" s="419" t="str">
        <f ca="1">DATEDIF(E26,TODAY(), "Y") &amp; " Tahun " &amp; DATEDIF(E26, TODAY(), "YM") &amp; " Bulan"</f>
        <v>12 Tahun 9 Bulan</v>
      </c>
      <c r="G26" s="115">
        <v>2027</v>
      </c>
    </row>
    <row r="27" spans="1:7" ht="18">
      <c r="A27" s="281" t="e">
        <f>A26+1</f>
        <v>#VALUE!</v>
      </c>
      <c r="B27" s="281" t="s">
        <v>492</v>
      </c>
      <c r="C27" s="281" t="s">
        <v>475</v>
      </c>
      <c r="D27" s="281" t="s">
        <v>775</v>
      </c>
      <c r="E27" s="418">
        <v>45108</v>
      </c>
      <c r="F27" s="419" t="str">
        <f ca="1">DATEDIF(E27,TODAY(), "Y") &amp; " Tahun " &amp; DATEDIF(E27, TODAY(), "YM") &amp; " Bulan"</f>
        <v>2 Tahun 6 Bulan</v>
      </c>
      <c r="G27" s="115">
        <f>YEAR(E27)+5</f>
        <v>2028</v>
      </c>
    </row>
    <row r="28" spans="1:7" ht="18">
      <c r="A28" s="281" t="e">
        <f>A27+1</f>
        <v>#VALUE!</v>
      </c>
      <c r="B28" s="281" t="s">
        <v>501</v>
      </c>
      <c r="C28" s="281" t="s">
        <v>475</v>
      </c>
      <c r="D28" s="281" t="s">
        <v>775</v>
      </c>
      <c r="E28" s="418">
        <v>45108</v>
      </c>
      <c r="F28" s="419" t="str">
        <f ca="1">DATEDIF(E28,TODAY(), "Y") &amp; " Tahun " &amp; DATEDIF(E28, TODAY(), "YM") &amp; " Bulan"</f>
        <v>2 Tahun 6 Bulan</v>
      </c>
      <c r="G28" s="115">
        <f>YEAR(E28)+5</f>
        <v>2028</v>
      </c>
    </row>
    <row r="29" spans="1:7" ht="18">
      <c r="A29" s="281" t="e">
        <f>A28+1</f>
        <v>#VALUE!</v>
      </c>
      <c r="B29" s="281" t="s">
        <v>514</v>
      </c>
      <c r="C29" s="281" t="s">
        <v>475</v>
      </c>
      <c r="D29" s="281" t="s">
        <v>775</v>
      </c>
      <c r="E29" s="418">
        <v>45597</v>
      </c>
      <c r="F29" s="419" t="str">
        <f ca="1">DATEDIF(E29,TODAY(), "Y") &amp; " Tahun " &amp; DATEDIF(E29, TODAY(), "YM") &amp; " Bulan"</f>
        <v>1 Tahun 2 Bulan</v>
      </c>
      <c r="G29" s="115">
        <v>2033</v>
      </c>
    </row>
    <row r="30" spans="1:7" ht="18">
      <c r="A30" s="281">
        <v>1</v>
      </c>
      <c r="B30" s="281" t="s">
        <v>488</v>
      </c>
      <c r="C30" s="281" t="s">
        <v>475</v>
      </c>
      <c r="D30" s="281" t="s">
        <v>776</v>
      </c>
      <c r="E30" s="418">
        <v>41852</v>
      </c>
      <c r="F30" s="419" t="str">
        <f ca="1">DATEDIF(E30,TODAY(), "Y") &amp; " Tahun " &amp; DATEDIF(E30, TODAY(), "YM") &amp; " Bulan"</f>
        <v>11 Tahun 5 Bulan</v>
      </c>
      <c r="G30" s="115">
        <v>2027</v>
      </c>
    </row>
    <row r="31" spans="1:7" ht="18">
      <c r="A31" s="281">
        <f>A30+1</f>
        <v>2</v>
      </c>
      <c r="B31" s="281" t="s">
        <v>544</v>
      </c>
      <c r="C31" s="281" t="s">
        <v>524</v>
      </c>
      <c r="D31" s="281" t="s">
        <v>775</v>
      </c>
      <c r="E31" s="418">
        <v>44958</v>
      </c>
      <c r="F31" s="419" t="str">
        <f ca="1">DATEDIF(E31,TODAY(), "Y") &amp; " Tahun " &amp; DATEDIF(E31, TODAY(), "YM") &amp; " Bulan"</f>
        <v>2 Tahun 11 Bulan</v>
      </c>
      <c r="G31" s="115">
        <v>2029</v>
      </c>
    </row>
    <row r="32" spans="1:7" ht="18">
      <c r="A32" s="281">
        <f>A31+1</f>
        <v>3</v>
      </c>
      <c r="B32" s="281" t="s">
        <v>536</v>
      </c>
      <c r="C32" s="281" t="s">
        <v>524</v>
      </c>
      <c r="D32" s="281" t="s">
        <v>775</v>
      </c>
      <c r="E32" s="418">
        <v>43984</v>
      </c>
      <c r="F32" s="419" t="str">
        <f ca="1">DATEDIF(E32,TODAY(), "Y") &amp; " Tahun " &amp; DATEDIF(E32, TODAY(), "YM") &amp; " Bulan"</f>
        <v>5 Tahun 7 Bulan</v>
      </c>
      <c r="G32" s="115">
        <v>2029</v>
      </c>
    </row>
    <row r="33" spans="1:7" ht="18">
      <c r="A33" s="281">
        <f>A32+1</f>
        <v>4</v>
      </c>
      <c r="B33" s="281" t="s">
        <v>540</v>
      </c>
      <c r="C33" s="281" t="s">
        <v>524</v>
      </c>
      <c r="D33" s="281" t="s">
        <v>776</v>
      </c>
      <c r="E33" s="418">
        <v>45200</v>
      </c>
      <c r="F33" s="419" t="str">
        <f ca="1">DATEDIF(E33,TODAY(), "Y") &amp; " Tahun " &amp; DATEDIF(E33, TODAY(), "YM") &amp; " Bulan"</f>
        <v>2 Tahun 3 Bulan</v>
      </c>
      <c r="G33" s="115">
        <v>2028</v>
      </c>
    </row>
    <row r="34" spans="1:7" ht="18">
      <c r="A34" s="281">
        <f>A33+1</f>
        <v>5</v>
      </c>
      <c r="B34" s="281" t="s">
        <v>528</v>
      </c>
      <c r="C34" s="281" t="s">
        <v>524</v>
      </c>
      <c r="D34" s="281" t="s">
        <v>775</v>
      </c>
      <c r="E34" s="418">
        <v>45597</v>
      </c>
      <c r="F34" s="419" t="str">
        <f ca="1">DATEDIF(E34,TODAY(), "Y") &amp; " Tahun " &amp; DATEDIF(E34, TODAY(), "YM") &amp; " Bulan"</f>
        <v>1 Tahun 2 Bulan</v>
      </c>
      <c r="G34" s="115">
        <f>YEAR(E34)+5</f>
        <v>2029</v>
      </c>
    </row>
    <row r="35" spans="1:7" ht="18">
      <c r="A35" s="281">
        <f>A34+1</f>
        <v>6</v>
      </c>
      <c r="B35" s="281" t="s">
        <v>523</v>
      </c>
      <c r="C35" s="281" t="s">
        <v>524</v>
      </c>
      <c r="D35" s="281" t="s">
        <v>775</v>
      </c>
      <c r="E35" s="418">
        <v>45931</v>
      </c>
      <c r="F35" s="419" t="str">
        <f ca="1">DATEDIF(E35,TODAY(), "Y") &amp; " Tahun " &amp; DATEDIF(E35, TODAY(), "YM") &amp; " Bulan"</f>
        <v>0 Tahun 3 Bulan</v>
      </c>
      <c r="G35" s="115">
        <v>2033</v>
      </c>
    </row>
  </sheetData>
  <autoFilter ref="A1:G1" xr:uid="{EB2AAC1F-4C96-4315-AAEA-F2EAED69189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38"/>
  <sheetViews>
    <sheetView workbookViewId="0">
      <pane xSplit="4" ySplit="1" topLeftCell="S50" activePane="bottomRight" state="frozen"/>
      <selection pane="bottomRight" activeCell="S63" sqref="S63:T63"/>
      <selection pane="bottomLeft"/>
      <selection pane="topRight"/>
    </sheetView>
  </sheetViews>
  <sheetFormatPr defaultColWidth="9.140625" defaultRowHeight="15" customHeight="1"/>
  <cols>
    <col min="1" max="1" width="7.28515625" style="280" bestFit="1" customWidth="1"/>
    <col min="2" max="2" width="39.140625" style="280" bestFit="1" customWidth="1"/>
    <col min="3" max="3" width="18.42578125" style="280" bestFit="1" customWidth="1"/>
    <col min="4" max="4" width="32.7109375" style="280" bestFit="1" customWidth="1"/>
    <col min="5" max="5" width="13.7109375" style="280" bestFit="1" customWidth="1"/>
    <col min="6" max="6" width="15.7109375" style="280" bestFit="1" customWidth="1"/>
    <col min="7" max="7" width="24.42578125" style="280" customWidth="1"/>
    <col min="8" max="8" width="18.28515625" style="280" customWidth="1"/>
    <col min="9" max="9" width="11.7109375" style="280" customWidth="1"/>
    <col min="10" max="10" width="29.140625" style="280" customWidth="1"/>
    <col min="11" max="11" width="9.140625" style="280" customWidth="1"/>
    <col min="12" max="12" width="11.7109375" style="280" bestFit="1" customWidth="1"/>
    <col min="13" max="13" width="11.7109375" style="280" customWidth="1"/>
    <col min="14" max="14" width="19.42578125" style="280" customWidth="1"/>
    <col min="15" max="15" width="11.7109375" style="280" customWidth="1"/>
    <col min="16" max="16" width="189.140625" style="280" customWidth="1"/>
    <col min="17" max="17" width="14.140625" style="280" bestFit="1" customWidth="1"/>
    <col min="18" max="18" width="11.7109375" style="280" customWidth="1"/>
    <col min="19" max="19" width="45.85546875" style="280" customWidth="1"/>
    <col min="20" max="20" width="14.140625" style="280" customWidth="1"/>
    <col min="21" max="21" width="21.85546875" style="280" customWidth="1"/>
    <col min="22" max="22" width="82.85546875" style="280" bestFit="1" customWidth="1"/>
    <col min="23" max="23" width="11.7109375" style="280" bestFit="1" customWidth="1"/>
    <col min="24" max="24" width="24.85546875" style="280" bestFit="1" customWidth="1"/>
    <col min="25" max="25" width="15.85546875" style="280" bestFit="1" customWidth="1"/>
    <col min="26" max="26" width="11.7109375" style="280" bestFit="1" customWidth="1"/>
    <col min="27" max="27" width="17.42578125" style="280" bestFit="1" customWidth="1"/>
    <col min="28" max="28" width="22.28515625" style="280" bestFit="1" customWidth="1"/>
    <col min="29" max="29" width="14.140625" style="280" bestFit="1" customWidth="1"/>
    <col min="30" max="30" width="10.140625" style="280" bestFit="1" customWidth="1"/>
    <col min="31" max="31" width="17.42578125" style="280" bestFit="1" customWidth="1"/>
    <col min="32" max="32" width="19.85546875" style="280" bestFit="1" customWidth="1"/>
    <col min="33" max="33" width="13.85546875" style="280" bestFit="1" customWidth="1"/>
    <col min="34" max="36" width="11.7109375" style="280" bestFit="1" customWidth="1"/>
    <col min="37" max="37" width="8" style="280" bestFit="1" customWidth="1"/>
    <col min="38" max="38" width="23.140625" style="280" bestFit="1" customWidth="1"/>
    <col min="39" max="39" width="15" style="280" bestFit="1" customWidth="1"/>
    <col min="40" max="40" width="30.140625" style="280" bestFit="1" customWidth="1"/>
    <col min="41" max="41" width="11.42578125" style="280" bestFit="1" customWidth="1"/>
    <col min="42" max="42" width="53.85546875" style="280" bestFit="1" customWidth="1"/>
    <col min="43" max="43" width="16.42578125" style="280" bestFit="1" customWidth="1"/>
    <col min="44" max="44" width="51.42578125" style="280" bestFit="1" customWidth="1"/>
    <col min="45" max="45" width="20.42578125" style="280" bestFit="1" customWidth="1"/>
    <col min="46" max="46" width="143.7109375" style="280" bestFit="1" customWidth="1"/>
    <col min="47" max="47" width="26.140625" style="280" bestFit="1" customWidth="1"/>
    <col min="48" max="48" width="23.85546875" style="280" customWidth="1"/>
    <col min="49" max="49" width="66.42578125" style="280" bestFit="1" customWidth="1"/>
    <col min="50" max="50" width="17.140625" style="280" bestFit="1" customWidth="1"/>
    <col min="51" max="51" width="18.7109375" style="280" bestFit="1" customWidth="1"/>
    <col min="52" max="52" width="24.42578125" style="280" bestFit="1" customWidth="1"/>
    <col min="53" max="53" width="8.85546875" style="280" bestFit="1" customWidth="1"/>
    <col min="54" max="54" width="14.140625" style="280" bestFit="1" customWidth="1"/>
    <col min="55" max="55" width="11.42578125" style="280" bestFit="1" customWidth="1"/>
    <col min="56" max="57" width="14.140625" style="280" bestFit="1" customWidth="1"/>
    <col min="58" max="58" width="13.7109375" style="280" bestFit="1" customWidth="1"/>
    <col min="59" max="59" width="31.140625" style="280" bestFit="1" customWidth="1"/>
    <col min="60" max="60" width="13.7109375" style="280" bestFit="1" customWidth="1"/>
    <col min="61" max="63" width="17.42578125" style="280" bestFit="1" customWidth="1"/>
    <col min="64" max="64" width="61" style="280" bestFit="1" customWidth="1"/>
    <col min="65" max="65" width="17.42578125" style="280" bestFit="1" customWidth="1"/>
    <col min="66" max="66" width="13" style="280" bestFit="1" customWidth="1"/>
    <col min="67" max="67" width="12.42578125" style="280" bestFit="1" customWidth="1"/>
    <col min="68" max="68" width="11.42578125" style="280" bestFit="1" customWidth="1"/>
    <col min="69" max="69" width="34.42578125" style="280" bestFit="1" customWidth="1"/>
    <col min="70" max="70" width="90.42578125" style="280" bestFit="1" customWidth="1"/>
    <col min="71" max="71" width="22.140625" style="280" bestFit="1" customWidth="1"/>
    <col min="72" max="72" width="37.85546875" style="280" bestFit="1" customWidth="1"/>
    <col min="73" max="73" width="57" style="280" bestFit="1" customWidth="1"/>
    <col min="74" max="74" width="31.140625" style="280" customWidth="1"/>
    <col min="75" max="75" width="36.42578125" style="280" bestFit="1" customWidth="1"/>
    <col min="76" max="76" width="29" style="280" bestFit="1" customWidth="1"/>
    <col min="77" max="77" width="47.85546875" style="280" bestFit="1" customWidth="1"/>
    <col min="78" max="78" width="36.140625" style="280" bestFit="1" customWidth="1"/>
    <col min="79" max="79" width="56" style="280" bestFit="1" customWidth="1"/>
    <col min="80" max="80" width="10.42578125" style="280" bestFit="1" customWidth="1"/>
    <col min="81" max="81" width="19.42578125" style="280" bestFit="1" customWidth="1"/>
    <col min="82" max="82" width="36.5703125" style="280" bestFit="1" customWidth="1"/>
    <col min="83" max="83" width="36.7109375" style="280" bestFit="1" customWidth="1"/>
    <col min="84" max="84" width="13.85546875" style="280" bestFit="1" customWidth="1"/>
    <col min="85" max="16384" width="9.140625" style="280"/>
  </cols>
  <sheetData>
    <row r="1" spans="1:84" s="160" customFormat="1" ht="77.25" customHeight="1">
      <c r="A1" s="159" t="s">
        <v>0</v>
      </c>
      <c r="B1" s="159" t="s">
        <v>1</v>
      </c>
      <c r="C1" s="159" t="s">
        <v>2</v>
      </c>
      <c r="D1" s="159" t="s">
        <v>770</v>
      </c>
      <c r="E1" s="159" t="s">
        <v>6</v>
      </c>
      <c r="F1" s="159" t="s">
        <v>7</v>
      </c>
      <c r="G1" s="159" t="s">
        <v>8</v>
      </c>
      <c r="H1" s="159" t="s">
        <v>9</v>
      </c>
      <c r="I1" s="159" t="s">
        <v>10</v>
      </c>
      <c r="J1" s="159" t="s">
        <v>11</v>
      </c>
      <c r="K1" s="159" t="s">
        <v>777</v>
      </c>
      <c r="L1" s="159" t="s">
        <v>771</v>
      </c>
      <c r="M1" s="159" t="s">
        <v>778</v>
      </c>
      <c r="N1" s="159" t="s">
        <v>779</v>
      </c>
      <c r="O1" s="159" t="s">
        <v>780</v>
      </c>
      <c r="P1" s="159" t="s">
        <v>781</v>
      </c>
      <c r="Q1" s="159" t="s">
        <v>782</v>
      </c>
      <c r="R1" s="159" t="s">
        <v>783</v>
      </c>
      <c r="S1" s="159" t="s">
        <v>784</v>
      </c>
      <c r="T1" s="159" t="s">
        <v>785</v>
      </c>
      <c r="U1" s="159" t="s">
        <v>786</v>
      </c>
      <c r="V1" s="159" t="s">
        <v>787</v>
      </c>
      <c r="W1" s="159" t="s">
        <v>788</v>
      </c>
      <c r="X1" s="159" t="s">
        <v>789</v>
      </c>
      <c r="Y1" s="159" t="s">
        <v>790</v>
      </c>
      <c r="Z1" s="159" t="s">
        <v>791</v>
      </c>
      <c r="AA1" s="159" t="s">
        <v>792</v>
      </c>
      <c r="AB1" s="159" t="s">
        <v>793</v>
      </c>
      <c r="AC1" s="159" t="s">
        <v>794</v>
      </c>
      <c r="AD1" s="159" t="s">
        <v>795</v>
      </c>
      <c r="AE1" s="159" t="s">
        <v>796</v>
      </c>
      <c r="AF1" s="159" t="s">
        <v>797</v>
      </c>
      <c r="AG1" s="159" t="s">
        <v>798</v>
      </c>
      <c r="AH1" s="159" t="s">
        <v>799</v>
      </c>
      <c r="AI1" s="159" t="s">
        <v>800</v>
      </c>
      <c r="AJ1" s="159" t="s">
        <v>801</v>
      </c>
      <c r="AK1" s="159" t="s">
        <v>802</v>
      </c>
      <c r="AL1" s="159" t="s">
        <v>803</v>
      </c>
      <c r="AM1" s="159" t="s">
        <v>804</v>
      </c>
      <c r="AN1" s="159" t="s">
        <v>15</v>
      </c>
      <c r="AO1" s="159" t="s">
        <v>805</v>
      </c>
      <c r="AP1" s="159" t="s">
        <v>806</v>
      </c>
      <c r="AQ1" s="159" t="s">
        <v>807</v>
      </c>
      <c r="AR1" s="159" t="s">
        <v>808</v>
      </c>
      <c r="AS1" s="159" t="s">
        <v>17</v>
      </c>
      <c r="AT1" s="159" t="s">
        <v>18</v>
      </c>
      <c r="AU1" s="159" t="s">
        <v>809</v>
      </c>
      <c r="AV1" s="159"/>
      <c r="AW1" s="159" t="s">
        <v>810</v>
      </c>
      <c r="AX1" s="159" t="s">
        <v>811</v>
      </c>
      <c r="AY1" s="159" t="s">
        <v>812</v>
      </c>
      <c r="AZ1" s="159" t="s">
        <v>813</v>
      </c>
      <c r="BA1" s="159" t="s">
        <v>814</v>
      </c>
      <c r="BB1" s="159" t="s">
        <v>815</v>
      </c>
      <c r="BC1" s="159" t="s">
        <v>816</v>
      </c>
      <c r="BD1" s="159" t="s">
        <v>815</v>
      </c>
      <c r="BE1" s="159" t="s">
        <v>817</v>
      </c>
      <c r="BF1" s="159" t="s">
        <v>818</v>
      </c>
      <c r="BG1" s="159" t="s">
        <v>819</v>
      </c>
      <c r="BH1" s="159" t="s">
        <v>820</v>
      </c>
      <c r="BI1" s="159" t="s">
        <v>821</v>
      </c>
      <c r="BJ1" s="159" t="s">
        <v>822</v>
      </c>
      <c r="BK1" s="159" t="s">
        <v>823</v>
      </c>
      <c r="BL1" s="159" t="s">
        <v>824</v>
      </c>
      <c r="BM1" s="159" t="s">
        <v>825</v>
      </c>
      <c r="BN1" s="159" t="s">
        <v>826</v>
      </c>
      <c r="BO1" s="159" t="s">
        <v>827</v>
      </c>
      <c r="BP1" s="159" t="s">
        <v>828</v>
      </c>
      <c r="BQ1" s="159" t="s">
        <v>829</v>
      </c>
      <c r="BR1" s="159" t="s">
        <v>830</v>
      </c>
      <c r="BS1" s="159" t="s">
        <v>831</v>
      </c>
      <c r="BT1" s="159" t="s">
        <v>832</v>
      </c>
      <c r="BU1" s="159" t="s">
        <v>833</v>
      </c>
      <c r="BW1" s="160" t="s">
        <v>834</v>
      </c>
      <c r="BX1" s="160" t="s">
        <v>835</v>
      </c>
      <c r="BY1" s="160" t="s">
        <v>836</v>
      </c>
      <c r="BZ1" s="160" t="s">
        <v>837</v>
      </c>
      <c r="CA1" s="280" t="s">
        <v>838</v>
      </c>
      <c r="CB1" s="160" t="s">
        <v>839</v>
      </c>
      <c r="CC1" s="160" t="s">
        <v>840</v>
      </c>
      <c r="CD1" s="160" t="s">
        <v>841</v>
      </c>
      <c r="CE1" s="160" t="s">
        <v>842</v>
      </c>
      <c r="CF1" s="160" t="s">
        <v>843</v>
      </c>
    </row>
    <row r="2" spans="1:84" ht="21.75" customHeight="1">
      <c r="A2" s="281">
        <v>26</v>
      </c>
      <c r="B2" s="281" t="s">
        <v>34</v>
      </c>
      <c r="C2" s="281" t="s">
        <v>20</v>
      </c>
      <c r="D2" s="281" t="s">
        <v>22</v>
      </c>
      <c r="E2" s="281">
        <v>19900005</v>
      </c>
      <c r="F2" s="281" t="s">
        <v>844</v>
      </c>
      <c r="G2" s="282" t="s">
        <v>35</v>
      </c>
      <c r="H2" s="281" t="s">
        <v>845</v>
      </c>
      <c r="I2" s="281" t="s">
        <v>36</v>
      </c>
      <c r="J2" s="281" t="s">
        <v>37</v>
      </c>
      <c r="K2" s="281" t="s">
        <v>846</v>
      </c>
      <c r="L2" s="281" t="s">
        <v>847</v>
      </c>
      <c r="M2" s="283" t="str">
        <f t="shared" ref="M2:M20" si="0">IF(L2="NJAD","AA",IF(L2="AA","L",IF(L2="L","LK","GB")))</f>
        <v>L</v>
      </c>
      <c r="N2" s="282" t="s">
        <v>511</v>
      </c>
      <c r="O2" s="281">
        <v>150</v>
      </c>
      <c r="P2" s="281" t="s">
        <v>848</v>
      </c>
      <c r="Q2" s="284">
        <v>43990</v>
      </c>
      <c r="R2" s="281" t="str">
        <f t="shared" ref="R2:R35" ca="1" si="1">DATEDIF(Q2,TODAY(), "Y") &amp; " Tahun " &amp; DATEDIF(Q2, TODAY(), "YM") &amp; " Bulan"</f>
        <v>5 Tahun 7 Bulan</v>
      </c>
      <c r="S2" s="281" t="s">
        <v>849</v>
      </c>
      <c r="T2" s="285">
        <v>44044</v>
      </c>
      <c r="U2" s="281" t="str">
        <f t="shared" ref="U2:U33" ca="1" si="2">DATEDIF(T2,TODAY(), "Y") &amp; " Tahun " &amp; DATEDIF(T2, TODAY(), "YM") &amp; " Bulan"</f>
        <v>5 Tahun 5 Bulan</v>
      </c>
      <c r="V2" s="281" t="s">
        <v>850</v>
      </c>
      <c r="W2" s="281" t="s">
        <v>851</v>
      </c>
      <c r="X2" s="283" t="str">
        <f t="shared" ref="X2:X33" ca="1" si="3">IF(AND(OR(L2="AA",L2="L"),OR(S2="Penata Muda Tk. I Golongan III/b",S2="Penata Golongan III/c"),DATEDIF(Q2,TODAY(),"m")&gt;=23,ISBLANK(Z2),C2="Aktif"),"Nominasi Serdos","-")</f>
        <v>-</v>
      </c>
      <c r="Y2" s="281"/>
      <c r="Z2" s="281" t="s">
        <v>852</v>
      </c>
      <c r="AA2" s="281">
        <v>22107201905191</v>
      </c>
      <c r="AB2" s="281" t="s">
        <v>853</v>
      </c>
      <c r="AC2" s="285">
        <v>44846</v>
      </c>
      <c r="AD2" s="281" t="s">
        <v>30</v>
      </c>
      <c r="AE2" s="281" t="s">
        <v>30</v>
      </c>
      <c r="AF2" s="281" t="s">
        <v>30</v>
      </c>
      <c r="AG2" s="281" t="s">
        <v>30</v>
      </c>
      <c r="AH2" s="281" t="s">
        <v>854</v>
      </c>
      <c r="AI2" s="281" t="s">
        <v>855</v>
      </c>
      <c r="AJ2" s="281" t="s">
        <v>856</v>
      </c>
      <c r="AK2" s="281" t="s">
        <v>855</v>
      </c>
      <c r="AL2" s="281" t="s">
        <v>857</v>
      </c>
      <c r="AM2" s="286">
        <v>43101</v>
      </c>
      <c r="AN2" s="287" t="str">
        <f t="shared" ref="AN2:AN42" ca="1" si="4">DATEDIF(AM2,TODAY(),"y")&amp;" tahun "&amp;DATEDIF(AM2,TODAY(),"ym")&amp;" bulan "</f>
        <v xml:space="preserve">8 tahun 0 bulan </v>
      </c>
      <c r="AO2" s="281" t="s">
        <v>858</v>
      </c>
      <c r="AP2" s="281" t="s">
        <v>859</v>
      </c>
      <c r="AQ2" s="281" t="s">
        <v>860</v>
      </c>
      <c r="AR2" s="281" t="s">
        <v>38</v>
      </c>
      <c r="AS2" s="281">
        <v>85230001444</v>
      </c>
      <c r="AT2" s="281" t="s">
        <v>39</v>
      </c>
      <c r="AU2" s="281" t="s">
        <v>30</v>
      </c>
      <c r="AV2" s="281"/>
      <c r="AW2" s="281" t="str">
        <f>VLOOKUP(B2,Sheet2!A27:I144,9,FALSE)</f>
        <v>Dominggo Bayu Baskara, S.T., M.MT.</v>
      </c>
      <c r="AX2" s="281" t="s">
        <v>861</v>
      </c>
      <c r="AY2" s="281" t="str">
        <f>VLOOKUP(B2,Sheet2!A27:C144,2,FALSE)</f>
        <v>Denpasar</v>
      </c>
      <c r="AZ2" s="288">
        <f>VLOOKUP(B2,Sheet2!A27:C144,3,FALSE)</f>
        <v>33046</v>
      </c>
      <c r="BA2" s="281">
        <f t="shared" ref="BA2:BA33" ca="1" si="5">DATEDIF(AZ2, TODAY(),"y")</f>
        <v>35</v>
      </c>
      <c r="BB2" s="281"/>
      <c r="BC2" s="281"/>
      <c r="BD2" s="281"/>
      <c r="BE2" s="281"/>
      <c r="BF2" s="289"/>
      <c r="BG2" s="289"/>
      <c r="BH2" s="289"/>
      <c r="BI2" s="289"/>
      <c r="BJ2" s="289"/>
      <c r="BK2" s="289"/>
      <c r="BL2" s="288" t="str">
        <f>VLOOKUP(B2,Sheet2!A27:D144,4,FALSE)</f>
        <v>Dosen</v>
      </c>
      <c r="BM2" s="281"/>
      <c r="BN2" s="281"/>
      <c r="BO2" s="281"/>
      <c r="BP2" s="281"/>
      <c r="BQ2" s="281"/>
      <c r="BR2" s="288" t="str">
        <f>VLOOKUP(B2,Sheet2!A27:E144,5,FALSE)</f>
        <v>Strategy, Human, Entrepreneurship &amp; Economy (SHEE)</v>
      </c>
      <c r="BS2" s="288" t="str">
        <f>VLOOKUP(B2,Sheet2!A27:F144,6,FALSE)</f>
        <v>DBB</v>
      </c>
      <c r="BT2" s="288" t="str">
        <f>VLOOKUP(B2,Sheet2!A27:G144,7,FALSE)</f>
        <v>Fakultas Ekonomi dan Bisnis</v>
      </c>
      <c r="BU2" s="288" t="str">
        <f>VLOOKUP(B2,Sheet2!A27:H144,8,FALSE)</f>
        <v>dominggobayu@telkomuniversity.ac.id</v>
      </c>
      <c r="BV2" s="280">
        <f>COUNTIFS('Join TPA Dosen'!B:B,Dosen!B23)</f>
        <v>1</v>
      </c>
      <c r="BW2" s="273" t="str">
        <f t="shared" ref="BW2:BW18" si="6">DATEDIF(AM2,DATE(2026,1,1),"y")&amp;" tahun "&amp;DATEDIF(AM2,DATE(2026,1,1),"ym")&amp;" bulan "</f>
        <v xml:space="preserve">8 tahun 0 bulan </v>
      </c>
      <c r="BX2" s="280" t="str">
        <f>VLOOKUP($B2,Sheet1!$A:$G,2,FALSE)</f>
        <v>ITS</v>
      </c>
      <c r="BY2" s="280" t="str">
        <f>VLOOKUP($B2,Sheet1!$A:$G,3,FALSE)</f>
        <v>Teknologi Industri/Teknik Industri</v>
      </c>
      <c r="BZ2" s="280" t="str">
        <f>VLOOKUP($B2,Sheet1!$A:$G,4,FALSE)</f>
        <v>ITS</v>
      </c>
      <c r="CA2" s="280" t="str">
        <f>VLOOKUP($B2,Sheet1!$A:$G,5,FALSE)</f>
        <v>Manajemen Teknologi</v>
      </c>
      <c r="CB2" s="280" t="str">
        <f>VLOOKUP($B2,Sheet1!$A:$G,6,FALSE)</f>
        <v>ITS</v>
      </c>
      <c r="CC2" s="280" t="str">
        <f>VLOOKUP($B2,Sheet1!$A:$G,7,FALSE)</f>
        <v>Manajemen Teknologi</v>
      </c>
      <c r="CD2" s="280" t="s">
        <v>862</v>
      </c>
      <c r="CE2" s="280" t="s">
        <v>863</v>
      </c>
    </row>
    <row r="3" spans="1:84" ht="19.5">
      <c r="A3" s="281">
        <v>1</v>
      </c>
      <c r="B3" s="281" t="s">
        <v>474</v>
      </c>
      <c r="C3" s="281" t="s">
        <v>20</v>
      </c>
      <c r="D3" s="281" t="s">
        <v>475</v>
      </c>
      <c r="E3" s="281">
        <v>25620001</v>
      </c>
      <c r="F3" s="281" t="s">
        <v>864</v>
      </c>
      <c r="G3" s="282" t="s">
        <v>476</v>
      </c>
      <c r="H3" s="301" t="s">
        <v>845</v>
      </c>
      <c r="I3" s="281" t="s">
        <v>36</v>
      </c>
      <c r="J3" s="281" t="s">
        <v>477</v>
      </c>
      <c r="K3" s="281" t="s">
        <v>846</v>
      </c>
      <c r="L3" s="281" t="s">
        <v>847</v>
      </c>
      <c r="M3" s="283" t="str">
        <f>IF(L3="NJAD","AA",IF(L3="AA","L",IF(L3="L","LK","GB")))</f>
        <v>L</v>
      </c>
      <c r="N3" s="282" t="s">
        <v>511</v>
      </c>
      <c r="O3" s="281">
        <v>150</v>
      </c>
      <c r="P3" s="281" t="s">
        <v>865</v>
      </c>
      <c r="Q3" s="284">
        <v>44144</v>
      </c>
      <c r="R3" s="281" t="str">
        <f ca="1">DATEDIF(Q3,TODAY(), "Y") &amp; " Tahun " &amp; DATEDIF(Q3, TODAY(), "YM") &amp; " Bulan"</f>
        <v>5 Tahun 2 Bulan</v>
      </c>
      <c r="S3" s="281" t="s">
        <v>849</v>
      </c>
      <c r="T3" s="285">
        <v>44256</v>
      </c>
      <c r="U3" s="281" t="str">
        <f ca="1">DATEDIF(T3,TODAY(), "Y") &amp; " Tahun " &amp; DATEDIF(T3, TODAY(), "YM") &amp; " Bulan"</f>
        <v>4 Tahun 10 Bulan</v>
      </c>
      <c r="V3" s="281" t="s">
        <v>866</v>
      </c>
      <c r="W3" s="281" t="s">
        <v>851</v>
      </c>
      <c r="X3" s="283" t="str">
        <f ca="1">IF(AND(OR(L3="AA",L3="L"),OR(S3="Penata Muda Tk. I Golongan III/b",S3="Penata Golongan III/c"),DATEDIF(Q3,TODAY(),"m")&gt;=23,ISBLANK(Z3),C3="Aktif"),"Nominasi Serdos","-")</f>
        <v>-</v>
      </c>
      <c r="Y3" s="281"/>
      <c r="Z3" s="282" t="s">
        <v>852</v>
      </c>
      <c r="AA3" s="290">
        <v>25104105710770</v>
      </c>
      <c r="AB3" s="281" t="s">
        <v>867</v>
      </c>
      <c r="AC3" s="285">
        <v>45917</v>
      </c>
      <c r="AD3" s="281" t="s">
        <v>30</v>
      </c>
      <c r="AE3" s="281" t="s">
        <v>30</v>
      </c>
      <c r="AF3" s="281" t="s">
        <v>30</v>
      </c>
      <c r="AG3" s="281" t="s">
        <v>30</v>
      </c>
      <c r="AH3" s="281" t="s">
        <v>854</v>
      </c>
      <c r="AI3" s="281" t="s">
        <v>30</v>
      </c>
      <c r="AJ3" s="281" t="s">
        <v>30</v>
      </c>
      <c r="AK3" s="281" t="s">
        <v>30</v>
      </c>
      <c r="AM3" s="286">
        <v>43101</v>
      </c>
      <c r="AN3" s="287" t="str">
        <f ca="1">DATEDIF(AM3,TODAY(),"y")&amp;" tahun "&amp;DATEDIF(AM3,TODAY(),"ym")&amp;" bulan "</f>
        <v xml:space="preserve">8 tahun 0 bulan </v>
      </c>
      <c r="AO3" s="281" t="s">
        <v>868</v>
      </c>
      <c r="AP3" s="281" t="s">
        <v>869</v>
      </c>
      <c r="AQ3" s="281" t="s">
        <v>870</v>
      </c>
      <c r="AR3" s="281" t="s">
        <v>478</v>
      </c>
      <c r="AS3" s="281">
        <v>8123222469</v>
      </c>
      <c r="AT3" s="281" t="s">
        <v>479</v>
      </c>
      <c r="AU3" s="281" t="s">
        <v>30</v>
      </c>
      <c r="AV3" s="302"/>
      <c r="AW3" s="281" t="str">
        <f>VLOOKUP(B3,Sheet2!A2:I119,9,FALSE)</f>
        <v>Ir. Tri Agus Djoko Kuntjoro, M.T.</v>
      </c>
      <c r="AX3" s="281" t="s">
        <v>861</v>
      </c>
      <c r="AY3" s="281" t="str">
        <f>VLOOKUP(B3,Sheet2!A2:C119,2,FALSE)</f>
        <v>Malang</v>
      </c>
      <c r="AZ3" s="288">
        <f>VLOOKUP(B3,Sheet2!A2:C119,3,FALSE)</f>
        <v>22674</v>
      </c>
      <c r="BA3" s="281">
        <f ca="1">DATEDIF(AZ3, TODAY(),"y")</f>
        <v>63</v>
      </c>
      <c r="BB3" s="281"/>
      <c r="BC3" s="281"/>
      <c r="BD3" s="281"/>
      <c r="BE3" s="281"/>
      <c r="BF3" s="289"/>
      <c r="BG3" s="308"/>
      <c r="BH3" s="308"/>
      <c r="BI3" s="308"/>
      <c r="BJ3" s="308"/>
      <c r="BK3" s="308"/>
      <c r="BL3" s="288" t="str">
        <f>VLOOKUP(B3,Sheet2!A2:D119,4,FALSE)</f>
        <v>Dosen</v>
      </c>
      <c r="BM3" s="303"/>
      <c r="BN3" s="302"/>
      <c r="BO3" s="281"/>
      <c r="BP3" s="281"/>
      <c r="BQ3" s="302"/>
      <c r="BR3" s="288" t="str">
        <f>VLOOKUP(B3,Sheet2!A2:E119,5,FALSE)</f>
        <v>Intelligent Communications and Networks (ICON)</v>
      </c>
      <c r="BS3" s="288" t="str">
        <f>VLOOKUP(B3,Sheet2!A2:F119,6,FALSE)</f>
        <v>ORO</v>
      </c>
      <c r="BT3" s="288" t="str">
        <f>VLOOKUP(B3,Sheet2!A2:G119,7,FALSE)</f>
        <v>Fakultas Teknik Elektro</v>
      </c>
      <c r="BU3" s="288" t="str">
        <f>VLOOKUP(B3,Sheet2!A2:H119,8,FALSE)</f>
        <v>triagusdjokokuntjoro@telkomuniversity.ac.id</v>
      </c>
      <c r="BV3" s="280">
        <f>COUNTIFS('Join TPA Dosen'!B:B,Dosen!B2)</f>
        <v>1</v>
      </c>
      <c r="BW3" s="273" t="str">
        <f>DATEDIF(AM3,DATE(2026,1,1),"y")&amp;" tahun "&amp;DATEDIF(AM3,DATE(2026,1,1),"ym")&amp;" bulan "</f>
        <v xml:space="preserve">8 tahun 0 bulan </v>
      </c>
      <c r="BX3" s="280" t="str">
        <f>VLOOKUP($B3,Sheet1!$A:$G,2,FALSE)</f>
        <v>Univ. Brawijaya</v>
      </c>
      <c r="BY3" s="280" t="str">
        <f>VLOOKUP($B3,Sheet1!$A:$G,3,FALSE)</f>
        <v>Teknik Elektro</v>
      </c>
      <c r="BZ3" s="280" t="str">
        <f>VLOOKUP($B3,Sheet1!$A:$G,4,FALSE)</f>
        <v>ITB</v>
      </c>
      <c r="CA3" s="280" t="str">
        <f>VLOOKUP($B3,Sheet1!$A:$G,5,FALSE)</f>
        <v>Elektroteknik</v>
      </c>
      <c r="CB3" s="280" t="str">
        <f>VLOOKUP($B3,Sheet1!$A:$G,6,FALSE)</f>
        <v>-</v>
      </c>
      <c r="CC3" s="280">
        <f>VLOOKUP($B3,Sheet1!$A:$G,7,FALSE)</f>
        <v>0</v>
      </c>
      <c r="CD3" s="280" t="s">
        <v>871</v>
      </c>
      <c r="CE3" s="280" t="s">
        <v>872</v>
      </c>
    </row>
    <row r="4" spans="1:84" ht="19.5">
      <c r="A4" s="281">
        <v>5</v>
      </c>
      <c r="B4" s="281" t="s">
        <v>334</v>
      </c>
      <c r="C4" s="281" t="s">
        <v>20</v>
      </c>
      <c r="D4" s="281" t="s">
        <v>330</v>
      </c>
      <c r="E4" s="281">
        <v>19930001</v>
      </c>
      <c r="F4" s="281" t="s">
        <v>873</v>
      </c>
      <c r="G4" s="282" t="s">
        <v>335</v>
      </c>
      <c r="H4" s="281" t="s">
        <v>845</v>
      </c>
      <c r="I4" s="281" t="s">
        <v>30</v>
      </c>
      <c r="J4" s="281" t="s">
        <v>336</v>
      </c>
      <c r="K4" s="281" t="s">
        <v>874</v>
      </c>
      <c r="L4" s="281" t="s">
        <v>775</v>
      </c>
      <c r="M4" s="283" t="str">
        <f>IF(L4="NJAD","AA",IF(L4="AA","L",IF(L4="L","LK","GB")))</f>
        <v>LK</v>
      </c>
      <c r="N4" s="281" t="s">
        <v>30</v>
      </c>
      <c r="O4" s="281">
        <v>300</v>
      </c>
      <c r="P4" s="281" t="s">
        <v>875</v>
      </c>
      <c r="Q4" s="284">
        <v>45108</v>
      </c>
      <c r="R4" s="281" t="str">
        <f ca="1">DATEDIF(Q4,TODAY(), "Y") &amp; " Tahun " &amp; DATEDIF(Q4, TODAY(), "YM") &amp; " Bulan"</f>
        <v>2 Tahun 6 Bulan</v>
      </c>
      <c r="S4" s="281" t="s">
        <v>876</v>
      </c>
      <c r="T4" s="285">
        <v>45261</v>
      </c>
      <c r="U4" s="281" t="str">
        <f ca="1">DATEDIF(T4,TODAY(), "Y") &amp; " Tahun " &amp; DATEDIF(T4, TODAY(), "YM") &amp; " Bulan"</f>
        <v>2 Tahun 1 Bulan</v>
      </c>
      <c r="V4" s="281" t="s">
        <v>877</v>
      </c>
      <c r="W4" s="281" t="s">
        <v>851</v>
      </c>
      <c r="X4" s="283" t="str">
        <f ca="1">IF(AND(OR(L4="AA",L4="L"),OR(S4="Penata Muda Tk. I Golongan III/b",S4="Penata Golongan III/c"),DATEDIF(Q4,TODAY(),"m")&gt;=23,ISBLANK(Z4),C4="Aktif"),"Nominasi Serdos","-")</f>
        <v>-</v>
      </c>
      <c r="Y4" s="281"/>
      <c r="Z4" s="281" t="s">
        <v>852</v>
      </c>
      <c r="AA4" s="281">
        <v>22107201901078</v>
      </c>
      <c r="AB4" s="281" t="s">
        <v>878</v>
      </c>
      <c r="AC4" s="285">
        <v>44783</v>
      </c>
      <c r="AD4" s="281" t="s">
        <v>30</v>
      </c>
      <c r="AE4" s="281" t="s">
        <v>30</v>
      </c>
      <c r="AF4" s="281" t="s">
        <v>30</v>
      </c>
      <c r="AG4" s="281" t="s">
        <v>30</v>
      </c>
      <c r="AH4" s="281" t="s">
        <v>879</v>
      </c>
      <c r="AI4" s="281" t="s">
        <v>30</v>
      </c>
      <c r="AJ4" s="281" t="s">
        <v>30</v>
      </c>
      <c r="AK4" s="281" t="s">
        <v>30</v>
      </c>
      <c r="AM4" s="286">
        <v>43101</v>
      </c>
      <c r="AN4" s="287" t="str">
        <f ca="1">DATEDIF(AM4,TODAY(),"y")&amp;" tahun "&amp;DATEDIF(AM4,TODAY(),"ym")&amp;" bulan "</f>
        <v xml:space="preserve">8 tahun 0 bulan </v>
      </c>
      <c r="AO4" s="281" t="s">
        <v>868</v>
      </c>
      <c r="AP4" s="281" t="s">
        <v>880</v>
      </c>
      <c r="AQ4" s="281" t="s">
        <v>881</v>
      </c>
      <c r="AR4" s="281" t="s">
        <v>337</v>
      </c>
      <c r="AS4" s="281">
        <v>81335397727</v>
      </c>
      <c r="AT4" s="281" t="s">
        <v>338</v>
      </c>
      <c r="AU4" s="281" t="s">
        <v>30</v>
      </c>
      <c r="AV4" s="281"/>
      <c r="AW4" s="281" t="str">
        <f>VLOOKUP(B4,Sheet2!A6:I123,9,FALSE)</f>
        <v xml:space="preserve"> Dimas Adiputra, B.Sc., M.Phil., Ph.D.</v>
      </c>
      <c r="AX4" s="281" t="s">
        <v>861</v>
      </c>
      <c r="AY4" s="281" t="str">
        <f>VLOOKUP(B4,Sheet2!A6:C123,2,FALSE)</f>
        <v>Jakarta</v>
      </c>
      <c r="AZ4" s="288">
        <f>VLOOKUP(B4,Sheet2!A6:C123,3,FALSE)</f>
        <v>34114</v>
      </c>
      <c r="BA4" s="281">
        <f ca="1">DATEDIF(AZ4, TODAY(),"y")</f>
        <v>32</v>
      </c>
      <c r="BB4" s="281"/>
      <c r="BC4" s="281"/>
      <c r="BD4" s="281"/>
      <c r="BE4" s="281"/>
      <c r="BF4" s="289"/>
      <c r="BG4" s="289"/>
      <c r="BH4" s="289"/>
      <c r="BI4" s="304"/>
      <c r="BJ4" s="304"/>
      <c r="BK4" s="304"/>
      <c r="BL4" s="288" t="str">
        <f>VLOOKUP(B4,Sheet2!A6:D123,4,FALSE)</f>
        <v>COE</v>
      </c>
      <c r="BM4" s="281"/>
      <c r="BN4" s="281"/>
      <c r="BO4" s="281"/>
      <c r="BP4" s="281"/>
      <c r="BQ4" s="281"/>
      <c r="BR4" s="288" t="str">
        <f>VLOOKUP(B4,Sheet2!A6:E123,5,FALSE)</f>
        <v>Control, Elektronics, and Intelligent Systems (CEIS)</v>
      </c>
      <c r="BS4" s="288" t="str">
        <f>VLOOKUP(B4,Sheet2!A6:F123,6,FALSE)</f>
        <v>DIV</v>
      </c>
      <c r="BT4" s="288" t="str">
        <f>VLOOKUP(B4,Sheet2!A6:G123,7,FALSE)</f>
        <v>Fakultas Teknik Elektro</v>
      </c>
      <c r="BU4" s="288" t="str">
        <f>VLOOKUP(B4,Sheet2!A6:H123,8,FALSE)</f>
        <v>dimasze@telkomuniversity.ac.id</v>
      </c>
      <c r="BV4" s="280">
        <f>COUNTIFS('Join TPA Dosen'!B:B,Dosen!B22)</f>
        <v>1</v>
      </c>
      <c r="BW4" s="273" t="str">
        <f>DATEDIF(AM4,DATE(2026,1,1),"y")&amp;" tahun "&amp;DATEDIF(AM4,DATE(2026,1,1),"ym")&amp;" bulan "</f>
        <v xml:space="preserve">8 tahun 0 bulan </v>
      </c>
      <c r="BX4" s="280" t="str">
        <f>VLOOKUP($B4,Sheet1!$A:$G,2,FALSE)</f>
        <v>President Univ</v>
      </c>
      <c r="BY4" s="280" t="str">
        <f>VLOOKUP($B4,Sheet1!$A:$G,3,FALSE)</f>
        <v>Teknik Elektro</v>
      </c>
      <c r="BZ4" s="280" t="str">
        <f>VLOOKUP($B4,Sheet1!$A:$G,4,FALSE)</f>
        <v>Universiti Teknologi Malaysia</v>
      </c>
      <c r="CA4" s="280" t="str">
        <f>VLOOKUP($B4,Sheet1!$A:$G,5,FALSE)</f>
        <v>Teknik Elektro</v>
      </c>
      <c r="CB4" s="280" t="str">
        <f>VLOOKUP($B4,Sheet1!$A:$G,6,FALSE)</f>
        <v>Universiti Teknologi Malaysia</v>
      </c>
      <c r="CC4" s="280" t="str">
        <f>VLOOKUP($B4,Sheet1!$A:$G,7,FALSE)</f>
        <v>Teknik Elektro</v>
      </c>
      <c r="CD4" s="280" t="s">
        <v>882</v>
      </c>
      <c r="CE4" s="280" t="s">
        <v>872</v>
      </c>
    </row>
    <row r="5" spans="1:84" ht="18.95">
      <c r="A5" s="281">
        <v>47</v>
      </c>
      <c r="B5" s="281" t="s">
        <v>45</v>
      </c>
      <c r="C5" s="281" t="s">
        <v>46</v>
      </c>
      <c r="D5" s="281" t="s">
        <v>22</v>
      </c>
      <c r="E5" s="281">
        <v>20940041</v>
      </c>
      <c r="F5" s="281" t="s">
        <v>883</v>
      </c>
      <c r="G5" s="281"/>
      <c r="H5" s="291" t="s">
        <v>884</v>
      </c>
      <c r="I5" s="281" t="s">
        <v>30</v>
      </c>
      <c r="J5" s="281" t="s">
        <v>47</v>
      </c>
      <c r="K5" s="281" t="s">
        <v>846</v>
      </c>
      <c r="L5" s="281" t="s">
        <v>847</v>
      </c>
      <c r="M5" s="283" t="str">
        <f>IF(L5="NJAD","AA",IF(L5="AA","L",IF(L5="L","LK","GB")))</f>
        <v>L</v>
      </c>
      <c r="N5" s="282" t="s">
        <v>511</v>
      </c>
      <c r="O5" s="281">
        <v>150</v>
      </c>
      <c r="P5" s="281" t="s">
        <v>885</v>
      </c>
      <c r="Q5" s="284">
        <v>44805</v>
      </c>
      <c r="R5" s="281" t="str">
        <f ca="1">DATEDIF(Q5,TODAY(), "Y") &amp; " Tahun " &amp; DATEDIF(Q5, TODAY(), "YM") &amp; " Bulan"</f>
        <v>3 Tahun 4 Bulan</v>
      </c>
      <c r="S5" s="281" t="s">
        <v>849</v>
      </c>
      <c r="T5" s="285">
        <v>44927</v>
      </c>
      <c r="U5" s="281" t="str">
        <f ca="1">DATEDIF(T5,TODAY(), "Y") &amp; " Tahun " &amp; DATEDIF(T5, TODAY(), "YM") &amp; " Bulan"</f>
        <v>3 Tahun 0 Bulan</v>
      </c>
      <c r="V5" s="281" t="s">
        <v>850</v>
      </c>
      <c r="W5" s="281" t="s">
        <v>851</v>
      </c>
      <c r="X5" s="283" t="str">
        <f ca="1">IF(AND(OR(L5="AA",L5="L"),OR(S5="Penata Muda Tk. I Golongan III/b",S5="Penata Golongan III/c"),DATEDIF(Q5,TODAY(),"m")&gt;=23,ISBLANK(Z5),C5="Aktif"),"Nominasi Serdos","-")</f>
        <v>-</v>
      </c>
      <c r="Y5" s="281"/>
      <c r="Z5" s="282"/>
      <c r="AA5" s="281"/>
      <c r="AB5" s="281" t="s">
        <v>30</v>
      </c>
      <c r="AC5" s="282" t="s">
        <v>511</v>
      </c>
      <c r="AD5" s="281" t="s">
        <v>30</v>
      </c>
      <c r="AE5" s="281" t="s">
        <v>30</v>
      </c>
      <c r="AF5" s="281" t="s">
        <v>30</v>
      </c>
      <c r="AG5" s="281" t="s">
        <v>30</v>
      </c>
      <c r="AH5" s="281" t="s">
        <v>854</v>
      </c>
      <c r="AI5" s="281" t="s">
        <v>30</v>
      </c>
      <c r="AJ5" s="281" t="s">
        <v>30</v>
      </c>
      <c r="AK5" s="281" t="s">
        <v>30</v>
      </c>
      <c r="AM5" s="286">
        <v>44166</v>
      </c>
      <c r="AN5" s="287" t="str">
        <f ca="1">DATEDIF(AM5,TODAY(),"y")&amp;" tahun "&amp;DATEDIF(AM5,TODAY(),"ym")&amp;" bulan "</f>
        <v xml:space="preserve">5 tahun 1 bulan </v>
      </c>
      <c r="AO5" s="281" t="s">
        <v>858</v>
      </c>
      <c r="AP5" s="281" t="s">
        <v>859</v>
      </c>
      <c r="AQ5" s="281" t="s">
        <v>886</v>
      </c>
      <c r="AR5" s="281" t="s">
        <v>48</v>
      </c>
      <c r="AS5" s="281">
        <v>81286153175</v>
      </c>
      <c r="AT5" s="281" t="s">
        <v>49</v>
      </c>
      <c r="AU5" s="281" t="s">
        <v>30</v>
      </c>
      <c r="AV5" s="281"/>
      <c r="AW5" s="281" t="str">
        <f>VLOOKUP(B5,Sheet2!A48:I165,9,FALSE)</f>
        <v>Riza Akhsani Setyo Prayoga, S.Kom., M.MT.</v>
      </c>
      <c r="AX5" s="281" t="s">
        <v>861</v>
      </c>
      <c r="AY5" s="281" t="str">
        <f>VLOOKUP(B5,Sheet2!A48:C165,2,FALSE)</f>
        <v>Ponorogo</v>
      </c>
      <c r="AZ5" s="288">
        <f>VLOOKUP(B5,Sheet2!A48:C165,3,FALSE)</f>
        <v>34454</v>
      </c>
      <c r="BA5" s="281">
        <f ca="1">DATEDIF(AZ5, TODAY(),"y")</f>
        <v>31</v>
      </c>
      <c r="BB5" s="281"/>
      <c r="BC5" s="281"/>
      <c r="BD5" s="281"/>
      <c r="BE5" s="281"/>
      <c r="BF5" s="289"/>
      <c r="BG5" s="289"/>
      <c r="BH5" s="289"/>
      <c r="BI5" s="289"/>
      <c r="BJ5" s="289"/>
      <c r="BK5" s="289"/>
      <c r="BL5" s="288" t="str">
        <f>VLOOKUP(B5,Sheet2!A48:D165,4,FALSE)</f>
        <v>Dosen</v>
      </c>
      <c r="BM5" s="281"/>
      <c r="BN5" s="281"/>
      <c r="BO5" s="281"/>
      <c r="BP5" s="281"/>
      <c r="BQ5" s="281"/>
      <c r="BR5" s="288" t="str">
        <f>VLOOKUP(B5,Sheet2!A48:E165,5,FALSE)</f>
        <v>ICT Business Management (IBM)</v>
      </c>
      <c r="BS5" s="288" t="str">
        <f>VLOOKUP(B5,Sheet2!A48:F165,6,FALSE)</f>
        <v>OGA</v>
      </c>
      <c r="BT5" s="288" t="str">
        <f>VLOOKUP(B5,Sheet2!A48:G165,7,FALSE)</f>
        <v>Fakultas Ekonomi dan Bisnis</v>
      </c>
      <c r="BU5" s="288" t="str">
        <f>VLOOKUP(B5,Sheet2!A48:H165,8,FALSE)</f>
        <v>rizayoga@telkomuniversity.ac.id</v>
      </c>
      <c r="BV5" s="280">
        <f>COUNTIFS('Join TPA Dosen'!B:B,Dosen!B48)</f>
        <v>1</v>
      </c>
      <c r="BW5" s="273" t="str">
        <f>DATEDIF(AM5,DATE(2026,1,1),"y")&amp;" tahun "&amp;DATEDIF(AM5,DATE(2026,1,1),"ym")&amp;" bulan "</f>
        <v xml:space="preserve">5 tahun 1 bulan </v>
      </c>
      <c r="BX5" s="280" t="str">
        <f>VLOOKUP($B5,Sheet1!$A:$G,2,FALSE)</f>
        <v>Univ. Brawijaya</v>
      </c>
      <c r="BY5" s="280" t="str">
        <f>VLOOKUP($B5,Sheet1!$A:$G,3,FALSE)</f>
        <v>Ilmu Komputer/Sistem Informasi</v>
      </c>
      <c r="BZ5" s="280" t="str">
        <f>VLOOKUP($B5,Sheet1!$A:$G,4,FALSE)</f>
        <v>ITS</v>
      </c>
      <c r="CA5" s="280" t="str">
        <f>VLOOKUP($B5,Sheet1!$A:$G,5,FALSE)</f>
        <v>Bisnis dan Manajemen Teknologi/Manajemen Teknologi</v>
      </c>
      <c r="CB5" s="280" t="str">
        <f>VLOOKUP($B5,Sheet1!$A:$G,6,FALSE)</f>
        <v>-</v>
      </c>
      <c r="CC5" s="280">
        <f>VLOOKUP($B5,Sheet1!$A:$G,7,FALSE)</f>
        <v>0</v>
      </c>
      <c r="CD5" s="280" t="e">
        <v>#N/A</v>
      </c>
      <c r="CE5" s="280" t="e">
        <v>#N/A</v>
      </c>
    </row>
    <row r="6" spans="1:84" ht="19.5">
      <c r="A6" s="281">
        <v>6</v>
      </c>
      <c r="B6" s="281" t="s">
        <v>343</v>
      </c>
      <c r="C6" s="281" t="s">
        <v>20</v>
      </c>
      <c r="D6" s="281" t="s">
        <v>330</v>
      </c>
      <c r="E6" s="281">
        <v>19920002</v>
      </c>
      <c r="F6" s="281" t="s">
        <v>887</v>
      </c>
      <c r="G6" s="422" t="s">
        <v>344</v>
      </c>
      <c r="H6" s="281" t="s">
        <v>845</v>
      </c>
      <c r="I6" s="281" t="s">
        <v>143</v>
      </c>
      <c r="J6" s="281" t="s">
        <v>176</v>
      </c>
      <c r="K6" s="281" t="s">
        <v>874</v>
      </c>
      <c r="L6" s="281" t="s">
        <v>775</v>
      </c>
      <c r="M6" s="283" t="str">
        <f>IF(L6="NJAD","AA",IF(L6="AA","L",IF(L6="L","LK","GB")))</f>
        <v>LK</v>
      </c>
      <c r="N6" s="281" t="s">
        <v>30</v>
      </c>
      <c r="O6" s="281">
        <v>200</v>
      </c>
      <c r="P6" s="281" t="s">
        <v>888</v>
      </c>
      <c r="Q6" s="284">
        <v>45108</v>
      </c>
      <c r="R6" s="281" t="str">
        <f ca="1">DATEDIF(Q6,TODAY(), "Y") &amp; " Tahun " &amp; DATEDIF(Q6, TODAY(), "YM") &amp; " Bulan"</f>
        <v>2 Tahun 6 Bulan</v>
      </c>
      <c r="S6" s="281" t="s">
        <v>876</v>
      </c>
      <c r="T6" s="285">
        <v>45658</v>
      </c>
      <c r="U6" s="281" t="str">
        <f ca="1">DATEDIF(T6,TODAY(), "Y") &amp; " Tahun " &amp; DATEDIF(T6, TODAY(), "YM") &amp; " Bulan"</f>
        <v>1 Tahun 0 Bulan</v>
      </c>
      <c r="V6" s="281" t="s">
        <v>889</v>
      </c>
      <c r="W6" s="281" t="s">
        <v>851</v>
      </c>
      <c r="X6" s="283" t="str">
        <f ca="1">IF(AND(OR(L6="AA",L6="L"),OR(S6="Penata Muda Tk. I Golongan III/b",S6="Penata Golongan III/c"),DATEDIF(Q6,TODAY(),"m")&gt;=23,ISBLANK(Z6),C6="Aktif"),"Nominasi Serdos","-")</f>
        <v>-</v>
      </c>
      <c r="Y6" s="281"/>
      <c r="Z6" s="281" t="s">
        <v>852</v>
      </c>
      <c r="AA6" s="281">
        <v>22107201902507</v>
      </c>
      <c r="AB6" s="281" t="s">
        <v>890</v>
      </c>
      <c r="AC6" s="285">
        <v>44783</v>
      </c>
      <c r="AD6" s="281" t="s">
        <v>30</v>
      </c>
      <c r="AE6" s="281" t="s">
        <v>30</v>
      </c>
      <c r="AF6" s="281" t="s">
        <v>30</v>
      </c>
      <c r="AG6" s="281" t="s">
        <v>30</v>
      </c>
      <c r="AH6" s="281" t="s">
        <v>879</v>
      </c>
      <c r="AI6" s="281" t="s">
        <v>30</v>
      </c>
      <c r="AJ6" s="281" t="s">
        <v>30</v>
      </c>
      <c r="AK6" s="281" t="s">
        <v>30</v>
      </c>
      <c r="AM6" s="286">
        <v>43101</v>
      </c>
      <c r="AN6" s="287" t="str">
        <f ca="1">DATEDIF(AM6,TODAY(),"y")&amp;" tahun "&amp;DATEDIF(AM6,TODAY(),"ym")&amp;" bulan "</f>
        <v xml:space="preserve">8 tahun 0 bulan </v>
      </c>
      <c r="AO6" s="281" t="s">
        <v>868</v>
      </c>
      <c r="AP6" s="281" t="s">
        <v>880</v>
      </c>
      <c r="AQ6" s="281" t="s">
        <v>891</v>
      </c>
      <c r="AR6" s="281" t="s">
        <v>345</v>
      </c>
      <c r="AS6" s="281">
        <v>85234852155</v>
      </c>
      <c r="AT6" s="281" t="s">
        <v>346</v>
      </c>
      <c r="AU6" s="281" t="s">
        <v>30</v>
      </c>
      <c r="AV6" s="281"/>
      <c r="AW6" s="281" t="str">
        <f>VLOOKUP(B6,Sheet2!A7:I124,9,FALSE)</f>
        <v>Dr. Isa Hafidz, S.T., M.T.</v>
      </c>
      <c r="AX6" s="281" t="s">
        <v>861</v>
      </c>
      <c r="AY6" s="281" t="str">
        <f>VLOOKUP(B6,Sheet2!A7:C124,2,FALSE)</f>
        <v>Surabaya</v>
      </c>
      <c r="AZ6" s="288">
        <f>VLOOKUP(B6,Sheet2!A7:C124,3,FALSE)</f>
        <v>33752</v>
      </c>
      <c r="BA6" s="281">
        <f ca="1">DATEDIF(AZ6, TODAY(),"y")</f>
        <v>33</v>
      </c>
      <c r="BB6" s="281"/>
      <c r="BC6" s="281"/>
      <c r="BD6" s="281"/>
      <c r="BE6" s="281"/>
      <c r="BF6" s="289"/>
      <c r="BG6" s="289"/>
      <c r="BH6" s="289"/>
      <c r="BI6" s="289"/>
      <c r="BJ6" s="289"/>
      <c r="BK6" s="289"/>
      <c r="BL6" s="288" t="str">
        <f>VLOOKUP(B6,Sheet2!A7:D124,4,FALSE)</f>
        <v>Kaprodi</v>
      </c>
      <c r="BM6" s="281"/>
      <c r="BN6" s="281"/>
      <c r="BO6" s="281"/>
      <c r="BP6" s="281"/>
      <c r="BQ6" s="281"/>
      <c r="BR6" s="288" t="str">
        <f>VLOOKUP(B6,Sheet2!A7:E124,5,FALSE)</f>
        <v>Control, Elektronics, and Intelligent Systems (CEIS)</v>
      </c>
      <c r="BS6" s="288" t="str">
        <f>VLOOKUP(B6,Sheet2!A7:F124,6,FALSE)</f>
        <v>IHF</v>
      </c>
      <c r="BT6" s="288" t="str">
        <f>VLOOKUP(B6,Sheet2!A7:G124,7,FALSE)</f>
        <v>Fakultas Teknik Elektro</v>
      </c>
      <c r="BU6" s="288" t="str">
        <f>VLOOKUP(B6,Sheet2!A7:H124,8,FALSE)</f>
        <v>isahafidz@telkomuniversity.ac.id</v>
      </c>
      <c r="BV6" s="280">
        <f>COUNTIFS('Join TPA Dosen'!B:B,Dosen!B31)</f>
        <v>1</v>
      </c>
      <c r="BW6" s="273" t="str">
        <f>DATEDIF(AM6,DATE(2026,1,1),"y")&amp;" tahun "&amp;DATEDIF(AM6,DATE(2026,1,1),"ym")&amp;" bulan "</f>
        <v xml:space="preserve">8 tahun 0 bulan </v>
      </c>
      <c r="BX6" s="280" t="str">
        <f>VLOOKUP($B6,Sheet1!$A:$G,2,FALSE)</f>
        <v>ITS</v>
      </c>
      <c r="BY6" s="280" t="str">
        <f>VLOOKUP($B6,Sheet1!$A:$G,3,FALSE)</f>
        <v>Teknik Elektro</v>
      </c>
      <c r="BZ6" s="280" t="str">
        <f>VLOOKUP($B6,Sheet1!$A:$G,4,FALSE)</f>
        <v>ITS</v>
      </c>
      <c r="CA6" s="280" t="str">
        <f>VLOOKUP($B6,Sheet1!$A:$G,5,FALSE)</f>
        <v>Teknik Elektro - Teknik Sistem Tenaga</v>
      </c>
      <c r="CB6" s="280" t="str">
        <f>VLOOKUP($B6,Sheet1!$A:$G,6,FALSE)</f>
        <v>ITS</v>
      </c>
      <c r="CC6" s="280" t="str">
        <f>VLOOKUP($B6,Sheet1!$A:$G,7,FALSE)</f>
        <v>Teknik Elektro</v>
      </c>
      <c r="CD6" s="280" t="s">
        <v>871</v>
      </c>
      <c r="CE6" s="280" t="s">
        <v>872</v>
      </c>
    </row>
    <row r="7" spans="1:84" ht="19.5">
      <c r="A7" s="281">
        <v>8</v>
      </c>
      <c r="B7" s="281" t="s">
        <v>536</v>
      </c>
      <c r="C7" s="281" t="s">
        <v>20</v>
      </c>
      <c r="D7" s="281" t="s">
        <v>524</v>
      </c>
      <c r="E7" s="281">
        <v>20870006</v>
      </c>
      <c r="F7" s="281" t="s">
        <v>892</v>
      </c>
      <c r="G7" s="282" t="s">
        <v>537</v>
      </c>
      <c r="H7" s="281" t="s">
        <v>845</v>
      </c>
      <c r="I7" s="281" t="s">
        <v>30</v>
      </c>
      <c r="J7" s="281" t="s">
        <v>354</v>
      </c>
      <c r="K7" s="281" t="s">
        <v>893</v>
      </c>
      <c r="L7" s="281" t="s">
        <v>775</v>
      </c>
      <c r="M7" s="283" t="str">
        <f>IF(L7="NJAD","AA",IF(L7="AA","L",IF(L7="L","LK","GB")))</f>
        <v>LK</v>
      </c>
      <c r="N7" s="282" t="s">
        <v>511</v>
      </c>
      <c r="O7" s="281">
        <v>200</v>
      </c>
      <c r="P7" s="281" t="s">
        <v>894</v>
      </c>
      <c r="Q7" s="284">
        <v>43984</v>
      </c>
      <c r="R7" s="281" t="str">
        <f ca="1">DATEDIF(Q7,TODAY(), "Y") &amp; " Tahun " &amp; DATEDIF(Q7, TODAY(), "YM") &amp; " Bulan"</f>
        <v>5 Tahun 7 Bulan</v>
      </c>
      <c r="S7" s="281" t="s">
        <v>876</v>
      </c>
      <c r="T7" s="285">
        <v>46023</v>
      </c>
      <c r="U7" s="281" t="str">
        <f ca="1">DATEDIF(T7,TODAY(), "Y") &amp; " Tahun " &amp; DATEDIF(T7, TODAY(), "YM") &amp; " Bulan"</f>
        <v>0 Tahun 0 Bulan</v>
      </c>
      <c r="V7" s="281" t="s">
        <v>895</v>
      </c>
      <c r="W7" s="281" t="s">
        <v>851</v>
      </c>
      <c r="X7" s="283" t="str">
        <f ca="1">IF(AND(OR(L7="AA",L7="L"),OR(S7="Penata Muda Tk. I Golongan III/b",S7="Penata Golongan III/c"),DATEDIF(Q7,TODAY(),"m")&gt;=23,ISBLANK(Z7),C7="Aktif"),"Nominasi Serdos","-")</f>
        <v>-</v>
      </c>
      <c r="Y7" s="281"/>
      <c r="Z7" s="281" t="s">
        <v>852</v>
      </c>
      <c r="AA7" s="281">
        <v>21107201900219</v>
      </c>
      <c r="AB7" s="281" t="s">
        <v>896</v>
      </c>
      <c r="AC7" s="285">
        <v>44529</v>
      </c>
      <c r="AD7" s="281" t="s">
        <v>30</v>
      </c>
      <c r="AE7" s="281" t="s">
        <v>30</v>
      </c>
      <c r="AF7" s="281" t="s">
        <v>30</v>
      </c>
      <c r="AG7" s="281" t="s">
        <v>30</v>
      </c>
      <c r="AH7" s="281" t="s">
        <v>854</v>
      </c>
      <c r="AI7" s="281" t="s">
        <v>855</v>
      </c>
      <c r="AJ7" s="281" t="s">
        <v>897</v>
      </c>
      <c r="AK7" s="281" t="s">
        <v>898</v>
      </c>
      <c r="AL7" s="281" t="s">
        <v>899</v>
      </c>
      <c r="AM7" s="286">
        <v>43101</v>
      </c>
      <c r="AN7" s="287" t="str">
        <f ca="1">DATEDIF(AM7,TODAY(),"y")&amp;" tahun "&amp;DATEDIF(AM7,TODAY(),"ym")&amp;" bulan "</f>
        <v xml:space="preserve">8 tahun 0 bulan </v>
      </c>
      <c r="AO7" s="281" t="s">
        <v>858</v>
      </c>
      <c r="AP7" s="281" t="s">
        <v>900</v>
      </c>
      <c r="AQ7" s="281" t="s">
        <v>901</v>
      </c>
      <c r="AR7" s="281" t="s">
        <v>538</v>
      </c>
      <c r="AS7" s="281">
        <v>82257336595</v>
      </c>
      <c r="AT7" s="281" t="s">
        <v>539</v>
      </c>
      <c r="AU7" s="281" t="s">
        <v>30</v>
      </c>
      <c r="AV7" s="281"/>
      <c r="AW7" s="281" t="str">
        <f>VLOOKUP(B7,Sheet2!A9:I126,9,FALSE)</f>
        <v>Farah Zakiyah Rahmanti, S.ST., M.T.</v>
      </c>
      <c r="AX7" s="281" t="s">
        <v>902</v>
      </c>
      <c r="AY7" s="281" t="str">
        <f>VLOOKUP(B7,Sheet2!A9:C126,2,FALSE)</f>
        <v>Surabaya</v>
      </c>
      <c r="AZ7" s="288">
        <f>VLOOKUP(B7,Sheet2!A9:C126,3,FALSE)</f>
        <v>32126</v>
      </c>
      <c r="BA7" s="281">
        <f ca="1">DATEDIF(AZ7, TODAY(),"y")</f>
        <v>38</v>
      </c>
      <c r="BB7" s="281"/>
      <c r="BC7" s="281"/>
      <c r="BD7" s="281"/>
      <c r="BE7" s="281"/>
      <c r="BF7" s="289"/>
      <c r="BG7" s="289"/>
      <c r="BH7" s="289"/>
      <c r="BI7" s="289"/>
      <c r="BJ7" s="289"/>
      <c r="BK7" s="289"/>
      <c r="BL7" s="288" t="str">
        <f>VLOOKUP(B7,Sheet2!A9:D126,4,FALSE)</f>
        <v>Dosen</v>
      </c>
      <c r="BM7" s="281"/>
      <c r="BN7" s="281"/>
      <c r="BO7" s="281"/>
      <c r="BP7" s="281"/>
      <c r="BQ7" s="281"/>
      <c r="BR7" s="288" t="str">
        <f>VLOOKUP(B7,Sheet2!A9:E126,5,FALSE)</f>
        <v>Data Science and Intelligent Systems (DSIS)</v>
      </c>
      <c r="BS7" s="288" t="str">
        <f>VLOOKUP(B7,Sheet2!A9:F126,6,FALSE)</f>
        <v>FZK</v>
      </c>
      <c r="BT7" s="288" t="str">
        <f>VLOOKUP(B7,Sheet2!A9:G126,7,FALSE)</f>
        <v>Fakultas Informatika</v>
      </c>
      <c r="BU7" s="288" t="str">
        <f>VLOOKUP(B7,Sheet2!A9:H126,8,FALSE)</f>
        <v>farahzakiyah@telkomuniversity.ac.id</v>
      </c>
      <c r="BV7" s="280">
        <f>COUNTIFS('Join TPA Dosen'!B:B,Dosen!B26)</f>
        <v>1</v>
      </c>
      <c r="BW7" s="273" t="str">
        <f>DATEDIF(AM7,DATE(2026,1,1),"y")&amp;" tahun "&amp;DATEDIF(AM7,DATE(2026,1,1),"ym")&amp;" bulan "</f>
        <v xml:space="preserve">8 tahun 0 bulan </v>
      </c>
      <c r="BX7" s="280" t="str">
        <f>VLOOKUP($B7,Sheet1!$A:$G,2,FALSE)</f>
        <v>PENS</v>
      </c>
      <c r="BY7" s="280" t="str">
        <f>VLOOKUP($B7,Sheet1!$A:$G,3,FALSE)</f>
        <v>Teknik Informatika</v>
      </c>
      <c r="BZ7" s="280" t="str">
        <f>VLOOKUP($B7,Sheet1!$A:$G,4,FALSE)</f>
        <v>ITS</v>
      </c>
      <c r="CA7" s="280" t="str">
        <f>VLOOKUP($B7,Sheet1!$A:$G,5,FALSE)</f>
        <v>Teknik Elektro</v>
      </c>
      <c r="CB7" s="280" t="str">
        <f>VLOOKUP($B7,Sheet1!$A:$G,6,FALSE)</f>
        <v>ITS</v>
      </c>
      <c r="CC7" s="280" t="str">
        <f>VLOOKUP($B7,Sheet1!$A:$G,7,FALSE)</f>
        <v>Teknik Elektro</v>
      </c>
      <c r="CD7" s="280" t="s">
        <v>862</v>
      </c>
      <c r="CE7" s="280" t="s">
        <v>903</v>
      </c>
    </row>
    <row r="8" spans="1:84" ht="19.5">
      <c r="A8" s="281">
        <v>9</v>
      </c>
      <c r="B8" s="281" t="s">
        <v>540</v>
      </c>
      <c r="C8" s="281" t="s">
        <v>20</v>
      </c>
      <c r="D8" s="281" t="s">
        <v>524</v>
      </c>
      <c r="E8" s="281">
        <v>19790001</v>
      </c>
      <c r="F8" s="281" t="s">
        <v>904</v>
      </c>
      <c r="G8" s="422" t="s">
        <v>541</v>
      </c>
      <c r="H8" s="281" t="s">
        <v>845</v>
      </c>
      <c r="I8" s="281" t="s">
        <v>143</v>
      </c>
      <c r="J8" s="281" t="s">
        <v>444</v>
      </c>
      <c r="K8" s="281" t="s">
        <v>905</v>
      </c>
      <c r="L8" s="281" t="s">
        <v>776</v>
      </c>
      <c r="M8" s="283" t="str">
        <f>IF(L8="NJAD","AA",IF(L8="AA","L",IF(L8="L","LK","GB")))</f>
        <v>GB</v>
      </c>
      <c r="N8" s="282" t="s">
        <v>511</v>
      </c>
      <c r="O8" s="281">
        <v>400</v>
      </c>
      <c r="P8" s="281" t="s">
        <v>769</v>
      </c>
      <c r="Q8" s="284">
        <v>45200</v>
      </c>
      <c r="R8" s="281" t="str">
        <f ca="1">DATEDIF(Q8,TODAY(), "Y") &amp; " Tahun " &amp; DATEDIF(Q8, TODAY(), "YM") &amp; " Bulan"</f>
        <v>2 Tahun 3 Bulan</v>
      </c>
      <c r="S8" s="281" t="s">
        <v>906</v>
      </c>
      <c r="T8" s="285">
        <v>46023</v>
      </c>
      <c r="U8" s="281" t="str">
        <f ca="1">DATEDIF(T8,TODAY(), "Y") &amp; " Tahun " &amp; DATEDIF(T8, TODAY(), "YM") &amp; " Bulan"</f>
        <v>0 Tahun 0 Bulan</v>
      </c>
      <c r="V8" s="281" t="s">
        <v>907</v>
      </c>
      <c r="W8" s="281" t="s">
        <v>851</v>
      </c>
      <c r="X8" s="283" t="str">
        <f ca="1">IF(AND(OR(L8="AA",L8="L"),OR(S8="Penata Muda Tk. I Golongan III/b",S8="Penata Golongan III/c"),DATEDIF(Q8,TODAY(),"m")&gt;=23,ISBLANK(Z8),C8="Aktif"),"Nominasi Serdos","-")</f>
        <v>-</v>
      </c>
      <c r="Y8" s="281"/>
      <c r="Z8" s="281" t="s">
        <v>852</v>
      </c>
      <c r="AA8" s="281">
        <v>15107500409985</v>
      </c>
      <c r="AB8" s="281" t="s">
        <v>908</v>
      </c>
      <c r="AC8" s="285">
        <v>42357</v>
      </c>
      <c r="AD8" s="281" t="s">
        <v>30</v>
      </c>
      <c r="AE8" s="281" t="s">
        <v>30</v>
      </c>
      <c r="AF8" s="281" t="s">
        <v>30</v>
      </c>
      <c r="AG8" s="281" t="s">
        <v>30</v>
      </c>
      <c r="AH8" s="281" t="s">
        <v>879</v>
      </c>
      <c r="AI8" s="281" t="s">
        <v>30</v>
      </c>
      <c r="AJ8" s="281" t="s">
        <v>30</v>
      </c>
      <c r="AK8" s="281" t="s">
        <v>30</v>
      </c>
      <c r="AM8" s="286">
        <v>43101</v>
      </c>
      <c r="AN8" s="287" t="str">
        <f ca="1">DATEDIF(AM8,TODAY(),"y")&amp;" tahun "&amp;DATEDIF(AM8,TODAY(),"ym")&amp;" bulan "</f>
        <v xml:space="preserve">8 tahun 0 bulan </v>
      </c>
      <c r="AO8" s="281" t="s">
        <v>858</v>
      </c>
      <c r="AP8" s="281" t="s">
        <v>900</v>
      </c>
      <c r="AQ8" s="281" t="s">
        <v>909</v>
      </c>
      <c r="AR8" s="281" t="s">
        <v>542</v>
      </c>
      <c r="AS8" s="281">
        <v>8123182116</v>
      </c>
      <c r="AT8" s="281" t="s">
        <v>543</v>
      </c>
      <c r="AU8" s="281" t="s">
        <v>30</v>
      </c>
      <c r="AV8" s="281"/>
      <c r="AW8" s="281" t="str">
        <f>VLOOKUP(B8,Sheet2!A10:I127,9,FALSE)</f>
        <v>Dr. Helmy Widyantara, S.Kom., M.Eng.</v>
      </c>
      <c r="AX8" s="281" t="s">
        <v>861</v>
      </c>
      <c r="AY8" s="281" t="str">
        <f>VLOOKUP(B8,Sheet2!A10:C127,2,FALSE)</f>
        <v>Ngawi</v>
      </c>
      <c r="AZ8" s="288">
        <f>VLOOKUP(B8,Sheet2!A10:C127,3,FALSE)</f>
        <v>28872</v>
      </c>
      <c r="BA8" s="281">
        <f ca="1">DATEDIF(AZ8, TODAY(),"y")</f>
        <v>47</v>
      </c>
      <c r="BB8" s="281"/>
      <c r="BC8" s="281"/>
      <c r="BD8" s="281"/>
      <c r="BE8" s="281"/>
      <c r="BF8" s="289"/>
      <c r="BG8" s="289"/>
      <c r="BH8" s="289"/>
      <c r="BI8" s="304"/>
      <c r="BJ8" s="304"/>
      <c r="BK8" s="304"/>
      <c r="BL8" s="288" t="str">
        <f>VLOOKUP(B8,Sheet2!A10:D127,4,FALSE)</f>
        <v>COE</v>
      </c>
      <c r="BM8" s="281"/>
      <c r="BN8" s="281"/>
      <c r="BO8" s="281"/>
      <c r="BP8" s="281"/>
      <c r="BQ8" s="281"/>
      <c r="BR8" s="288" t="str">
        <f>VLOOKUP(B8,Sheet2!A10:E127,5,FALSE)</f>
        <v>Communication and Information Technology Infrastructure (CITI)</v>
      </c>
      <c r="BS8" s="288" t="str">
        <f>VLOOKUP(B8,Sheet2!A10:F127,6,FALSE)</f>
        <v>CAP</v>
      </c>
      <c r="BT8" s="288" t="str">
        <f>VLOOKUP(B8,Sheet2!A10:G127,7,FALSE)</f>
        <v>Fakultas Informatika</v>
      </c>
      <c r="BU8" s="288" t="str">
        <f>VLOOKUP(B8,Sheet2!A10:H127,8,FALSE)</f>
        <v>helmywidyantara@telkomuniversity.ac.id</v>
      </c>
      <c r="BV8" s="280">
        <f>COUNTIFS('Join TPA Dosen'!B:B,Dosen!B30)</f>
        <v>1</v>
      </c>
      <c r="BW8" s="273" t="str">
        <f>DATEDIF(AM8,DATE(2026,1,1),"y")&amp;" tahun "&amp;DATEDIF(AM8,DATE(2026,1,1),"ym")&amp;" bulan "</f>
        <v xml:space="preserve">8 tahun 0 bulan </v>
      </c>
      <c r="BX8" s="280" t="str">
        <f>VLOOKUP($B8,Sheet1!$A:$G,2,FALSE)</f>
        <v>STIKOM</v>
      </c>
      <c r="BY8" s="280" t="str">
        <f>VLOOKUP($B8,Sheet1!$A:$G,3,FALSE)</f>
        <v>Teknik Komputer</v>
      </c>
      <c r="BZ8" s="280" t="str">
        <f>VLOOKUP($B8,Sheet1!$A:$G,4,FALSE)</f>
        <v>UGM</v>
      </c>
      <c r="CA8" s="280" t="str">
        <f>VLOOKUP($B8,Sheet1!$A:$G,5,FALSE)</f>
        <v>Teknik Elektro</v>
      </c>
      <c r="CB8" s="280" t="str">
        <f>VLOOKUP($B8,Sheet1!$A:$G,6,FALSE)</f>
        <v>ITS</v>
      </c>
      <c r="CC8" s="280" t="str">
        <f>VLOOKUP($B8,Sheet1!$A:$G,7,FALSE)</f>
        <v>Teknik Elektro</v>
      </c>
      <c r="CD8" s="280" t="s">
        <v>862</v>
      </c>
      <c r="CE8" s="280" t="s">
        <v>903</v>
      </c>
    </row>
    <row r="9" spans="1:84" ht="19.5">
      <c r="A9" s="281">
        <v>11</v>
      </c>
      <c r="B9" s="281" t="s">
        <v>179</v>
      </c>
      <c r="C9" s="281" t="s">
        <v>20</v>
      </c>
      <c r="D9" s="281" t="s">
        <v>170</v>
      </c>
      <c r="E9" s="281">
        <v>19870004</v>
      </c>
      <c r="F9" s="281" t="s">
        <v>910</v>
      </c>
      <c r="G9" s="282" t="s">
        <v>180</v>
      </c>
      <c r="H9" s="281" t="s">
        <v>845</v>
      </c>
      <c r="I9" s="281" t="s">
        <v>30</v>
      </c>
      <c r="J9" s="281" t="s">
        <v>113</v>
      </c>
      <c r="K9" s="281" t="s">
        <v>893</v>
      </c>
      <c r="L9" s="281" t="s">
        <v>775</v>
      </c>
      <c r="M9" s="283" t="str">
        <f>IF(L9="NJAD","AA",IF(L9="AA","L",IF(L9="L","LK","GB")))</f>
        <v>LK</v>
      </c>
      <c r="N9" s="282" t="s">
        <v>511</v>
      </c>
      <c r="O9" s="281">
        <v>200</v>
      </c>
      <c r="P9" s="281" t="s">
        <v>911</v>
      </c>
      <c r="Q9" s="284">
        <v>45901</v>
      </c>
      <c r="R9" s="281" t="str">
        <f ca="1">DATEDIF(Q9,TODAY(), "Y") &amp; " Tahun " &amp; DATEDIF(Q9, TODAY(), "YM") &amp; " Bulan"</f>
        <v>0 Tahun 4 Bulan</v>
      </c>
      <c r="S9" s="281" t="s">
        <v>876</v>
      </c>
      <c r="T9" s="285">
        <v>46023</v>
      </c>
      <c r="U9" s="281" t="str">
        <f ca="1">DATEDIF(T9,TODAY(), "Y") &amp; " Tahun " &amp; DATEDIF(T9, TODAY(), "YM") &amp; " Bulan"</f>
        <v>0 Tahun 0 Bulan</v>
      </c>
      <c r="V9" s="281" t="s">
        <v>912</v>
      </c>
      <c r="W9" s="281" t="s">
        <v>851</v>
      </c>
      <c r="X9" s="283" t="str">
        <f ca="1">IF(AND(OR(L9="AA",L9="L"),OR(S9="Penata Muda Tk. I Golongan III/b",S9="Penata Golongan III/c"),DATEDIF(Q9,TODAY(),"m")&gt;=23,ISBLANK(Z9),C9="Aktif"),"Nominasi Serdos","-")</f>
        <v>-</v>
      </c>
      <c r="Y9" s="281"/>
      <c r="Z9" s="282" t="s">
        <v>852</v>
      </c>
      <c r="AA9" s="281">
        <v>25104105710334</v>
      </c>
      <c r="AB9" s="281" t="s">
        <v>913</v>
      </c>
      <c r="AC9" s="285">
        <v>45917</v>
      </c>
      <c r="AD9" s="281" t="s">
        <v>30</v>
      </c>
      <c r="AE9" s="281" t="s">
        <v>30</v>
      </c>
      <c r="AF9" s="281" t="s">
        <v>30</v>
      </c>
      <c r="AG9" s="281" t="s">
        <v>30</v>
      </c>
      <c r="AH9" s="281" t="s">
        <v>854</v>
      </c>
      <c r="AI9" s="281" t="s">
        <v>855</v>
      </c>
      <c r="AJ9" s="281" t="s">
        <v>856</v>
      </c>
      <c r="AK9" s="281" t="s">
        <v>855</v>
      </c>
      <c r="AM9" s="286">
        <v>43101</v>
      </c>
      <c r="AN9" s="287" t="str">
        <f ca="1">DATEDIF(AM9,TODAY(),"y")&amp;" tahun "&amp;DATEDIF(AM9,TODAY(),"ym")&amp;" bulan "</f>
        <v xml:space="preserve">8 tahun 0 bulan </v>
      </c>
      <c r="AO9" s="281" t="s">
        <v>858</v>
      </c>
      <c r="AP9" s="281" t="s">
        <v>914</v>
      </c>
      <c r="AQ9" s="281" t="s">
        <v>915</v>
      </c>
      <c r="AR9" s="281" t="s">
        <v>181</v>
      </c>
      <c r="AS9" s="281">
        <v>82143161793</v>
      </c>
      <c r="AT9" s="281" t="s">
        <v>182</v>
      </c>
      <c r="AU9" s="281" t="s">
        <v>30</v>
      </c>
      <c r="AV9" s="281"/>
      <c r="AW9" s="281" t="str">
        <f>VLOOKUP(B9,Sheet2!A12:I129,9,FALSE)</f>
        <v>Fidi Wincoko Putro, S.ST., M.Kom.</v>
      </c>
      <c r="AX9" s="281" t="s">
        <v>861</v>
      </c>
      <c r="AY9" s="281" t="str">
        <f>VLOOKUP(B9,Sheet2!A12:C129,2,FALSE)</f>
        <v>Madiun</v>
      </c>
      <c r="AZ9" s="288">
        <f>VLOOKUP(B9,Sheet2!A12:C129,3,FALSE)</f>
        <v>31927</v>
      </c>
      <c r="BA9" s="281">
        <f ca="1">DATEDIF(AZ9, TODAY(),"y")</f>
        <v>38</v>
      </c>
      <c r="BB9" s="281"/>
      <c r="BC9" s="281"/>
      <c r="BD9" s="281"/>
      <c r="BE9" s="281"/>
      <c r="BF9" s="289"/>
      <c r="BG9" s="289"/>
      <c r="BH9" s="289"/>
      <c r="BI9" s="304"/>
      <c r="BJ9" s="304"/>
      <c r="BK9" s="304"/>
      <c r="BL9" s="288" t="s">
        <v>21</v>
      </c>
      <c r="BM9" s="281"/>
      <c r="BN9" s="281"/>
      <c r="BO9" s="281"/>
      <c r="BP9" s="281"/>
      <c r="BQ9" s="281"/>
      <c r="BR9" s="288" t="str">
        <f>VLOOKUP(B9,Sheet2!A12:E129,5,FALSE)</f>
        <v>Software Engineering and Algorithm (SEAL)</v>
      </c>
      <c r="BS9" s="288" t="str">
        <f>VLOOKUP(B9,Sheet2!A12:F129,6,FALSE)</f>
        <v>FWP</v>
      </c>
      <c r="BT9" s="288" t="str">
        <f>VLOOKUP(B9,Sheet2!A12:G129,7,FALSE)</f>
        <v>Fakultas Informatika</v>
      </c>
      <c r="BU9" s="288" t="str">
        <f>VLOOKUP(B9,Sheet2!A12:H129,8,FALSE)</f>
        <v>fidiwputro@telkomuniversity.ac.id</v>
      </c>
      <c r="BV9" s="280">
        <f>COUNTIFS('Join TPA Dosen'!B:B,Dosen!B12)</f>
        <v>1</v>
      </c>
      <c r="BW9" s="273" t="str">
        <f>DATEDIF(AM9,DATE(2026,1,1),"y")&amp;" tahun "&amp;DATEDIF(AM9,DATE(2026,1,1),"ym")&amp;" bulan "</f>
        <v xml:space="preserve">8 tahun 0 bulan </v>
      </c>
      <c r="BX9" s="280" t="str">
        <f>VLOOKUP($B9,Sheet1!$A:$G,2,FALSE)</f>
        <v>PENS</v>
      </c>
      <c r="BY9" s="280" t="str">
        <f>VLOOKUP($B9,Sheet1!$A:$G,3,FALSE)</f>
        <v>Teknik Informatika</v>
      </c>
      <c r="BZ9" s="280" t="str">
        <f>VLOOKUP($B9,Sheet1!$A:$G,4,FALSE)</f>
        <v>ITS</v>
      </c>
      <c r="CA9" s="280" t="str">
        <f>VLOOKUP($B9,Sheet1!$A:$G,5,FALSE)</f>
        <v>Teknik Informatika</v>
      </c>
      <c r="CB9" s="280" t="str">
        <f>VLOOKUP($B9,Sheet1!$A:$G,6,FALSE)</f>
        <v>-</v>
      </c>
      <c r="CC9" s="280">
        <f>VLOOKUP($B9,Sheet1!$A:$G,7,FALSE)</f>
        <v>0</v>
      </c>
      <c r="CD9" s="280" t="s">
        <v>882</v>
      </c>
      <c r="CE9" s="280" t="s">
        <v>903</v>
      </c>
    </row>
    <row r="10" spans="1:84" ht="18.95">
      <c r="A10" s="281">
        <v>101</v>
      </c>
      <c r="B10" s="281" t="s">
        <v>71</v>
      </c>
      <c r="C10" s="281" t="s">
        <v>46</v>
      </c>
      <c r="D10" s="281" t="s">
        <v>22</v>
      </c>
      <c r="E10" s="281">
        <v>23990018</v>
      </c>
      <c r="F10" s="291" t="s">
        <v>916</v>
      </c>
      <c r="G10" s="296" t="s">
        <v>72</v>
      </c>
      <c r="H10" s="291" t="s">
        <v>884</v>
      </c>
      <c r="I10" s="295" t="s">
        <v>30</v>
      </c>
      <c r="J10" s="281" t="s">
        <v>73</v>
      </c>
      <c r="K10" s="281" t="s">
        <v>917</v>
      </c>
      <c r="L10" s="281" t="s">
        <v>918</v>
      </c>
      <c r="M10" s="283" t="str">
        <f>IF(L10="NJAD","AA",IF(L10="AA","L",IF(L10="L","LK","GB")))</f>
        <v>AA</v>
      </c>
      <c r="N10" s="282" t="s">
        <v>511</v>
      </c>
      <c r="O10" s="281">
        <v>0</v>
      </c>
      <c r="P10" s="281" t="s">
        <v>30</v>
      </c>
      <c r="Q10" s="284">
        <v>45170</v>
      </c>
      <c r="R10" s="281" t="str">
        <f ca="1">DATEDIF(Q10,TODAY(), "Y") &amp; " Tahun " &amp; DATEDIF(Q10, TODAY(), "YM") &amp; " Bulan"</f>
        <v>2 Tahun 4 Bulan</v>
      </c>
      <c r="S10" s="282" t="s">
        <v>511</v>
      </c>
      <c r="T10" s="282" t="s">
        <v>511</v>
      </c>
      <c r="U10" s="281" t="e">
        <f ca="1">DATEDIF(T10,TODAY(), "Y") &amp; " Tahun " &amp; DATEDIF(T10, TODAY(), "YM") &amp; " Bulan"</f>
        <v>#VALUE!</v>
      </c>
      <c r="V10" s="281" t="s">
        <v>850</v>
      </c>
      <c r="W10" s="281" t="s">
        <v>851</v>
      </c>
      <c r="X10" s="283" t="str">
        <f ca="1">IF(AND(OR(L10="AA",L10="L"),OR(S10="Penata Muda Tk. I Golongan III/b",S10="Penata Golongan III/c"),DATEDIF(Q10,TODAY(),"m")&gt;=23,ISBLANK(Z10),C10="Aktif"),"Nominasi Serdos","-")</f>
        <v>-</v>
      </c>
      <c r="Y10" s="281"/>
      <c r="Z10" s="297"/>
      <c r="AA10" s="297"/>
      <c r="AB10" s="295" t="s">
        <v>30</v>
      </c>
      <c r="AC10" s="297" t="s">
        <v>511</v>
      </c>
      <c r="AD10" s="281" t="s">
        <v>30</v>
      </c>
      <c r="AE10" s="281" t="s">
        <v>30</v>
      </c>
      <c r="AF10" s="281" t="s">
        <v>30</v>
      </c>
      <c r="AG10" s="281" t="s">
        <v>30</v>
      </c>
      <c r="AH10" s="281" t="s">
        <v>854</v>
      </c>
      <c r="AI10" s="295" t="s">
        <v>30</v>
      </c>
      <c r="AJ10" s="295" t="s">
        <v>30</v>
      </c>
      <c r="AK10" s="295" t="s">
        <v>30</v>
      </c>
      <c r="AM10" s="286">
        <v>45170</v>
      </c>
      <c r="AN10" s="287" t="str">
        <f ca="1">DATEDIF(AM10,TODAY(),"y")&amp;" tahun "&amp;DATEDIF(AM10,TODAY(),"ym")&amp;" bulan "</f>
        <v xml:space="preserve">2 tahun 4 bulan </v>
      </c>
      <c r="AO10" s="281" t="s">
        <v>858</v>
      </c>
      <c r="AP10" s="281" t="s">
        <v>859</v>
      </c>
      <c r="AQ10" s="281" t="s">
        <v>919</v>
      </c>
      <c r="AR10" s="281" t="s">
        <v>74</v>
      </c>
      <c r="AS10" s="281">
        <v>81529137179</v>
      </c>
      <c r="AT10" s="281" t="s">
        <v>75</v>
      </c>
      <c r="AU10" s="281" t="s">
        <v>30</v>
      </c>
      <c r="AV10" s="281"/>
      <c r="AW10" s="281" t="str">
        <f>VLOOKUP(B10,Sheet2!A102:I219,9,FALSE)</f>
        <v>Adisya Resti Rahmadanti, S.M., M.A.B.</v>
      </c>
      <c r="AX10" s="281" t="s">
        <v>902</v>
      </c>
      <c r="AY10" s="281" t="str">
        <f>VLOOKUP(B10,Sheet2!A102:C219,2,FALSE)</f>
        <v>Bandung</v>
      </c>
      <c r="AZ10" s="288">
        <f>VLOOKUP(B10,Sheet2!A102:C219,3,FALSE)</f>
        <v>36187</v>
      </c>
      <c r="BA10" s="281">
        <f ca="1">DATEDIF(AZ10, TODAY(),"y")</f>
        <v>26</v>
      </c>
      <c r="BB10" s="281"/>
      <c r="BC10" s="281"/>
      <c r="BD10" s="281"/>
      <c r="BE10" s="295"/>
      <c r="BF10" s="289"/>
      <c r="BG10" s="289"/>
      <c r="BH10" s="289"/>
      <c r="BI10" s="289"/>
      <c r="BJ10" s="289"/>
      <c r="BK10" s="289"/>
      <c r="BL10" s="288" t="str">
        <f>VLOOKUP(B10,Sheet2!A102:D219,4,FALSE)</f>
        <v>Dosen</v>
      </c>
      <c r="BM10" s="281"/>
      <c r="BN10" s="281"/>
      <c r="BO10" s="281"/>
      <c r="BP10" s="281"/>
      <c r="BQ10" s="281"/>
      <c r="BR10" s="288" t="str">
        <f>VLOOKUP(B10,Sheet2!A102:E219,5,FALSE)</f>
        <v>Strategy, Human, Entrepreneurship &amp; Economy (SHEE)</v>
      </c>
      <c r="BS10" s="288" t="str">
        <f>VLOOKUP(B10,Sheet2!A102:F219,6,FALSE)</f>
        <v>NTI</v>
      </c>
      <c r="BT10" s="288" t="str">
        <f>VLOOKUP(B10,Sheet2!A102:G219,7,FALSE)</f>
        <v>Fakultas Ekonomi dan Bisnis</v>
      </c>
      <c r="BU10" s="288" t="str">
        <f>VLOOKUP(B10,Sheet2!A102:H219,8,FALSE)</f>
        <v>adisyaresti@telkomuniversity.ac.id</v>
      </c>
      <c r="BV10" s="280">
        <f>COUNTIFS('Join TPA Dosen'!B:B,Dosen!B102)</f>
        <v>1</v>
      </c>
      <c r="BW10" s="273" t="str">
        <f>DATEDIF(AM10,DATE(2026,1,1),"y")&amp;" tahun "&amp;DATEDIF(AM10,DATE(2026,1,1),"ym")&amp;" bulan "</f>
        <v xml:space="preserve">2 tahun 4 bulan </v>
      </c>
      <c r="BX10" s="280" t="str">
        <f>VLOOKUP($B10,Sheet1!$A:$G,2,FALSE)</f>
        <v>ITS</v>
      </c>
      <c r="BY10" s="280" t="str">
        <f>VLOOKUP($B10,Sheet1!$A:$G,3,FALSE)</f>
        <v>Manajemen Bisnis</v>
      </c>
      <c r="BZ10" s="280" t="str">
        <f>VLOOKUP($B10,Sheet1!$A:$G,4,FALSE)</f>
        <v>ITB</v>
      </c>
      <c r="CA10" s="280" t="str">
        <f>VLOOKUP($B10,Sheet1!$A:$G,5,FALSE)</f>
        <v>Administrasi Bisnis</v>
      </c>
      <c r="CB10" s="280" t="str">
        <f>VLOOKUP($B10,Sheet1!$A:$G,6,FALSE)</f>
        <v>-</v>
      </c>
      <c r="CC10" s="280">
        <f>VLOOKUP($B10,Sheet1!$A:$G,7,FALSE)</f>
        <v>0</v>
      </c>
      <c r="CD10" s="280" t="e">
        <v>#N/A</v>
      </c>
      <c r="CE10" s="280" t="e">
        <v>#N/A</v>
      </c>
      <c r="CF10" s="336">
        <v>45839</v>
      </c>
    </row>
    <row r="11" spans="1:84" ht="19.5">
      <c r="A11" s="281">
        <v>12</v>
      </c>
      <c r="B11" s="281" t="s">
        <v>528</v>
      </c>
      <c r="C11" s="281" t="s">
        <v>20</v>
      </c>
      <c r="D11" s="281" t="s">
        <v>524</v>
      </c>
      <c r="E11" s="281">
        <v>19940002</v>
      </c>
      <c r="F11" s="281" t="s">
        <v>920</v>
      </c>
      <c r="G11" s="282" t="s">
        <v>529</v>
      </c>
      <c r="H11" s="281" t="s">
        <v>845</v>
      </c>
      <c r="I11" s="281" t="s">
        <v>30</v>
      </c>
      <c r="J11" s="281" t="s">
        <v>530</v>
      </c>
      <c r="K11" s="281" t="s">
        <v>874</v>
      </c>
      <c r="L11" s="281" t="s">
        <v>775</v>
      </c>
      <c r="M11" s="283" t="str">
        <f>IF(L11="NJAD","AA",IF(L11="AA","L",IF(L11="L","LK","GB")))</f>
        <v>LK</v>
      </c>
      <c r="N11" s="282" t="s">
        <v>511</v>
      </c>
      <c r="O11" s="281">
        <v>200</v>
      </c>
      <c r="P11" s="281" t="s">
        <v>30</v>
      </c>
      <c r="Q11" s="284">
        <v>45597</v>
      </c>
      <c r="R11" s="281" t="str">
        <f ca="1">DATEDIF(Q11,TODAY(), "Y") &amp; " Tahun " &amp; DATEDIF(Q11, TODAY(), "YM") &amp; " Bulan"</f>
        <v>1 Tahun 2 Bulan</v>
      </c>
      <c r="S11" s="281" t="s">
        <v>876</v>
      </c>
      <c r="T11" s="285">
        <v>45717</v>
      </c>
      <c r="U11" s="281" t="str">
        <f ca="1">DATEDIF(T11,TODAY(), "Y") &amp; " Tahun " &amp; DATEDIF(T11, TODAY(), "YM") &amp; " Bulan"</f>
        <v>0 Tahun 10 Bulan</v>
      </c>
      <c r="V11" s="281" t="s">
        <v>895</v>
      </c>
      <c r="W11" s="281" t="s">
        <v>851</v>
      </c>
      <c r="X11" s="283" t="str">
        <f ca="1">IF(AND(OR(L11="AA",L11="L"),OR(S11="Penata Muda Tk. I Golongan III/b",S11="Penata Golongan III/c"),DATEDIF(Q11,TODAY(),"m")&gt;=23,ISBLANK(Z11),C11="Aktif"),"Nominasi Serdos","-")</f>
        <v>-</v>
      </c>
      <c r="Y11" s="281"/>
      <c r="Z11" s="282"/>
      <c r="AA11" s="281"/>
      <c r="AB11" s="281" t="s">
        <v>30</v>
      </c>
      <c r="AC11" s="282" t="s">
        <v>511</v>
      </c>
      <c r="AD11" s="281" t="s">
        <v>30</v>
      </c>
      <c r="AE11" s="281" t="s">
        <v>30</v>
      </c>
      <c r="AF11" s="281" t="s">
        <v>30</v>
      </c>
      <c r="AG11" s="281" t="s">
        <v>30</v>
      </c>
      <c r="AH11" s="281" t="s">
        <v>879</v>
      </c>
      <c r="AI11" s="281" t="s">
        <v>30</v>
      </c>
      <c r="AJ11" s="281" t="s">
        <v>30</v>
      </c>
      <c r="AK11" s="281" t="s">
        <v>30</v>
      </c>
      <c r="AM11" s="286">
        <v>43101</v>
      </c>
      <c r="AN11" s="287" t="str">
        <f ca="1">DATEDIF(AM11,TODAY(),"y")&amp;" tahun "&amp;DATEDIF(AM11,TODAY(),"ym")&amp;" bulan "</f>
        <v xml:space="preserve">8 tahun 0 bulan </v>
      </c>
      <c r="AO11" s="281" t="s">
        <v>858</v>
      </c>
      <c r="AP11" s="281" t="s">
        <v>900</v>
      </c>
      <c r="AQ11" s="281" t="s">
        <v>921</v>
      </c>
      <c r="AR11" s="281" t="s">
        <v>531</v>
      </c>
      <c r="AS11" s="281">
        <v>81219685567</v>
      </c>
      <c r="AT11" s="281" t="s">
        <v>532</v>
      </c>
      <c r="AU11" s="281" t="s">
        <v>30</v>
      </c>
      <c r="AV11" s="281"/>
      <c r="AW11" s="281" t="str">
        <f>VLOOKUP(B11,Sheet2!A13:I130,9,FALSE)</f>
        <v>Philip Tobianto Daely, S.T., M.Eng., Ph.D.</v>
      </c>
      <c r="AX11" s="281" t="s">
        <v>861</v>
      </c>
      <c r="AY11" s="281" t="str">
        <f>VLOOKUP(B11,Sheet2!A13:C130,2,FALSE)</f>
        <v>Medan</v>
      </c>
      <c r="AZ11" s="288">
        <f>VLOOKUP(B11,Sheet2!A13:C130,3,FALSE)</f>
        <v>34513</v>
      </c>
      <c r="BA11" s="281">
        <f ca="1">DATEDIF(AZ11, TODAY(),"y")</f>
        <v>31</v>
      </c>
      <c r="BB11" s="281"/>
      <c r="BC11" s="281"/>
      <c r="BD11" s="281"/>
      <c r="BE11" s="281"/>
      <c r="BF11" s="289"/>
      <c r="BG11" s="289"/>
      <c r="BH11" s="289"/>
      <c r="BI11" s="289"/>
      <c r="BJ11" s="289"/>
      <c r="BK11" s="289"/>
      <c r="BL11" s="288" t="s">
        <v>922</v>
      </c>
      <c r="BM11" s="281"/>
      <c r="BN11" s="281"/>
      <c r="BO11" s="281"/>
      <c r="BP11" s="281"/>
      <c r="BQ11" s="281"/>
      <c r="BR11" s="288" t="str">
        <f>VLOOKUP(B11,Sheet2!A13:E130,5,FALSE)</f>
        <v>Communication and Information Technology Infrastructure (CITI)</v>
      </c>
      <c r="BS11" s="288" t="str">
        <f>VLOOKUP(B11,Sheet2!A13:F130,6,FALSE)</f>
        <v>PHI</v>
      </c>
      <c r="BT11" s="288" t="str">
        <f>VLOOKUP(B11,Sheet2!A13:G130,7,FALSE)</f>
        <v>Fakultas Informatika</v>
      </c>
      <c r="BU11" s="288" t="str">
        <f>VLOOKUP(B11,Sheet2!A13:H130,8,FALSE)</f>
        <v>ptdaely@telkomuniversity.ac.id</v>
      </c>
      <c r="BV11" s="280">
        <f>COUNTIFS('Join TPA Dosen'!B:B,Dosen!B13)</f>
        <v>1</v>
      </c>
      <c r="BW11" s="273" t="str">
        <f>DATEDIF(AM11,DATE(2026,1,1),"y")&amp;" tahun "&amp;DATEDIF(AM11,DATE(2026,1,1),"ym")&amp;" bulan "</f>
        <v xml:space="preserve">8 tahun 0 bulan </v>
      </c>
      <c r="BX11" s="280" t="str">
        <f>VLOOKUP($B11,Sheet1!$A:$G,2,FALSE)</f>
        <v>Tel-U</v>
      </c>
      <c r="BY11" s="280" t="str">
        <f>VLOOKUP($B11,Sheet1!$A:$G,3,FALSE)</f>
        <v>Teknik Elektro</v>
      </c>
      <c r="BZ11" s="280" t="str">
        <f>VLOOKUP($B11,Sheet1!$A:$G,4,FALSE)</f>
        <v>Kumoh National Institute of Technology</v>
      </c>
      <c r="CA11" s="280" t="str">
        <f>VLOOKUP($B11,Sheet1!$A:$G,5,FALSE)</f>
        <v>IT Convergence Engineering</v>
      </c>
      <c r="CB11" s="280" t="str">
        <f>VLOOKUP($B11,Sheet1!$A:$G,6,FALSE)</f>
        <v>Kumoh National Institute of Technology</v>
      </c>
      <c r="CC11" s="280" t="str">
        <f>VLOOKUP($B11,Sheet1!$A:$G,7,FALSE)</f>
        <v>IT Convergence Engineering</v>
      </c>
      <c r="CD11" s="280" t="s">
        <v>862</v>
      </c>
      <c r="CE11" s="280" t="s">
        <v>903</v>
      </c>
    </row>
    <row r="12" spans="1:84" ht="18.95">
      <c r="A12" s="281">
        <v>115</v>
      </c>
      <c r="B12" s="281" t="s">
        <v>81</v>
      </c>
      <c r="C12" s="281" t="s">
        <v>46</v>
      </c>
      <c r="D12" s="281" t="s">
        <v>22</v>
      </c>
      <c r="E12" s="281">
        <v>24870001</v>
      </c>
      <c r="F12" s="291" t="s">
        <v>923</v>
      </c>
      <c r="G12" s="291"/>
      <c r="H12" s="291" t="s">
        <v>884</v>
      </c>
      <c r="I12" s="295" t="s">
        <v>30</v>
      </c>
      <c r="J12" s="281" t="s">
        <v>82</v>
      </c>
      <c r="K12" s="281" t="s">
        <v>846</v>
      </c>
      <c r="L12" s="281" t="s">
        <v>847</v>
      </c>
      <c r="M12" s="283" t="str">
        <f>IF(L12="NJAD","AA",IF(L12="AA","L",IF(L12="L","LK","GB")))</f>
        <v>L</v>
      </c>
      <c r="N12" s="282" t="s">
        <v>511</v>
      </c>
      <c r="O12" s="281">
        <v>150</v>
      </c>
      <c r="P12" s="281" t="s">
        <v>924</v>
      </c>
      <c r="Q12" s="284">
        <v>43543</v>
      </c>
      <c r="R12" s="281" t="str">
        <f ca="1">DATEDIF(Q12,TODAY(), "Y") &amp; " Tahun " &amp; DATEDIF(Q12, TODAY(), "YM") &amp; " Bulan"</f>
        <v>6 Tahun 10 Bulan</v>
      </c>
      <c r="S12" s="281" t="s">
        <v>849</v>
      </c>
      <c r="T12" s="285">
        <v>43770</v>
      </c>
      <c r="U12" s="281" t="str">
        <f ca="1">DATEDIF(T12,TODAY(), "Y") &amp; " Tahun " &amp; DATEDIF(T12, TODAY(), "YM") &amp; " Bulan"</f>
        <v>6 Tahun 2 Bulan</v>
      </c>
      <c r="V12" s="281" t="s">
        <v>850</v>
      </c>
      <c r="W12" s="281" t="s">
        <v>851</v>
      </c>
      <c r="X12" s="283" t="str">
        <f ca="1">IF(AND(OR(L12="AA",L12="L"),OR(S12="Penata Muda Tk. I Golongan III/b",S12="Penata Golongan III/c"),DATEDIF(Q12,TODAY(),"m")&gt;=23,ISBLANK(Z12),C12="Aktif"),"Nominasi Serdos","-")</f>
        <v>-</v>
      </c>
      <c r="Y12" s="281"/>
      <c r="Z12" s="297"/>
      <c r="AA12" s="297"/>
      <c r="AB12" s="295" t="s">
        <v>30</v>
      </c>
      <c r="AC12" s="297" t="s">
        <v>511</v>
      </c>
      <c r="AD12" s="281" t="s">
        <v>30</v>
      </c>
      <c r="AE12" s="281" t="s">
        <v>30</v>
      </c>
      <c r="AF12" s="281" t="s">
        <v>30</v>
      </c>
      <c r="AG12" s="281" t="s">
        <v>30</v>
      </c>
      <c r="AH12" s="281" t="s">
        <v>854</v>
      </c>
      <c r="AI12" s="281" t="s">
        <v>855</v>
      </c>
      <c r="AJ12" s="281" t="s">
        <v>897</v>
      </c>
      <c r="AK12" s="281" t="s">
        <v>898</v>
      </c>
      <c r="AL12" s="281" t="s">
        <v>899</v>
      </c>
      <c r="AM12" s="286">
        <v>45505</v>
      </c>
      <c r="AN12" s="287" t="str">
        <f ca="1">DATEDIF(AM12,TODAY(),"y")&amp;" tahun "&amp;DATEDIF(AM12,TODAY(),"ym")&amp;" bulan "</f>
        <v xml:space="preserve">1 tahun 5 bulan </v>
      </c>
      <c r="AO12" s="281" t="s">
        <v>858</v>
      </c>
      <c r="AP12" s="281" t="s">
        <v>859</v>
      </c>
      <c r="AQ12" s="281" t="s">
        <v>30</v>
      </c>
      <c r="AR12" s="281" t="s">
        <v>30</v>
      </c>
      <c r="AS12" s="281">
        <v>82123556785</v>
      </c>
      <c r="AT12" s="281" t="s">
        <v>83</v>
      </c>
      <c r="AU12" s="281" t="s">
        <v>30</v>
      </c>
      <c r="AV12" s="281"/>
      <c r="AW12" s="281" t="str">
        <f>VLOOKUP(B12,Sheet2!A116:I233,9,FALSE)</f>
        <v>Rudi Harianto, S.E., M.A.</v>
      </c>
      <c r="AX12" s="281" t="s">
        <v>861</v>
      </c>
      <c r="AY12" s="281" t="str">
        <f>VLOOKUP(B12,Sheet2!A116:C233,2,FALSE)</f>
        <v>Malang</v>
      </c>
      <c r="AZ12" s="288">
        <f>VLOOKUP(B12,Sheet2!A116:C233,3,FALSE)</f>
        <v>33004</v>
      </c>
      <c r="BA12" s="281">
        <f ca="1">DATEDIF(AZ12, TODAY(),"y")</f>
        <v>35</v>
      </c>
      <c r="BB12" s="281"/>
      <c r="BC12" s="281"/>
      <c r="BD12" s="281"/>
      <c r="BE12" s="281"/>
      <c r="BF12" s="289"/>
      <c r="BG12" s="289"/>
      <c r="BH12" s="289"/>
      <c r="BI12" s="289"/>
      <c r="BJ12" s="289"/>
      <c r="BK12" s="289"/>
      <c r="BL12" s="288" t="str">
        <f>VLOOKUP(B12,Sheet2!A116:D233,4,FALSE)</f>
        <v>Dosen</v>
      </c>
      <c r="BM12" s="281"/>
      <c r="BN12" s="281"/>
      <c r="BO12" s="281"/>
      <c r="BP12" s="281"/>
      <c r="BQ12" s="281"/>
      <c r="BR12" s="288"/>
      <c r="BS12" s="288" t="str">
        <f>VLOOKUP(B12,Sheet2!A116:F233,6,FALSE)</f>
        <v>RHO</v>
      </c>
      <c r="BT12" s="288" t="str">
        <f>VLOOKUP(B12,Sheet2!A116:G233,7,FALSE)</f>
        <v>Fakultas Ekonomi dan Bisnis</v>
      </c>
      <c r="BU12" s="288" t="str">
        <f>VLOOKUP(B12,Sheet2!A116:H233,8,FALSE)</f>
        <v>rudiharianto@telkomuniversity.ac.id</v>
      </c>
      <c r="BV12" s="280">
        <f>COUNTIFS('Join TPA Dosen'!B:B,Dosen!B116)</f>
        <v>1</v>
      </c>
      <c r="BW12" s="273" t="str">
        <f>DATEDIF(AM12,DATE(2026,1,1),"y")&amp;" tahun "&amp;DATEDIF(AM12,DATE(2026,1,1),"ym")&amp;" bulan "</f>
        <v xml:space="preserve">1 tahun 5 bulan </v>
      </c>
      <c r="BX12" s="280">
        <f>VLOOKUP($B12,Sheet1!$A:$G,2,FALSE)</f>
        <v>0</v>
      </c>
      <c r="BY12" s="280">
        <f>VLOOKUP($B12,Sheet1!$A:$G,3,FALSE)</f>
        <v>0</v>
      </c>
      <c r="BZ12" s="280">
        <f>VLOOKUP($B12,Sheet1!$A:$G,4,FALSE)</f>
        <v>0</v>
      </c>
      <c r="CA12" s="280">
        <f>VLOOKUP($B12,Sheet1!$A:$G,5,FALSE)</f>
        <v>0</v>
      </c>
      <c r="CB12" s="280">
        <f>VLOOKUP($B12,Sheet1!$A:$G,6,FALSE)</f>
        <v>0</v>
      </c>
      <c r="CC12" s="280">
        <f>VLOOKUP($B12,Sheet1!$A:$G,7,FALSE)</f>
        <v>0</v>
      </c>
      <c r="CD12" s="280" t="s">
        <v>882</v>
      </c>
      <c r="CE12" s="280" t="s">
        <v>863</v>
      </c>
      <c r="CF12" s="336">
        <v>45689</v>
      </c>
    </row>
    <row r="13" spans="1:84" ht="19.5">
      <c r="A13" s="281">
        <v>13</v>
      </c>
      <c r="B13" s="281" t="s">
        <v>329</v>
      </c>
      <c r="C13" s="281" t="s">
        <v>20</v>
      </c>
      <c r="D13" s="281" t="s">
        <v>330</v>
      </c>
      <c r="E13" s="281">
        <v>19920003</v>
      </c>
      <c r="F13" s="281" t="s">
        <v>925</v>
      </c>
      <c r="G13" s="282" t="s">
        <v>331</v>
      </c>
      <c r="H13" s="281" t="s">
        <v>845</v>
      </c>
      <c r="I13" s="281" t="s">
        <v>30</v>
      </c>
      <c r="J13" s="281" t="s">
        <v>257</v>
      </c>
      <c r="K13" s="281" t="s">
        <v>926</v>
      </c>
      <c r="L13" s="281" t="s">
        <v>847</v>
      </c>
      <c r="M13" s="283" t="str">
        <f>IF(L13="NJAD","AA",IF(L13="AA","L",IF(L13="L","LK","GB")))</f>
        <v>L</v>
      </c>
      <c r="N13" s="282" t="s">
        <v>511</v>
      </c>
      <c r="O13" s="281">
        <v>150</v>
      </c>
      <c r="P13" s="281" t="s">
        <v>927</v>
      </c>
      <c r="Q13" s="284">
        <v>43789</v>
      </c>
      <c r="R13" s="281" t="str">
        <f ca="1">DATEDIF(Q13,TODAY(), "Y") &amp; " Tahun " &amp; DATEDIF(Q13, TODAY(), "YM") &amp; " Bulan"</f>
        <v>6 Tahun 1 Bulan</v>
      </c>
      <c r="S13" s="281" t="s">
        <v>849</v>
      </c>
      <c r="T13" s="285">
        <v>43891</v>
      </c>
      <c r="U13" s="281" t="str">
        <f ca="1">DATEDIF(T13,TODAY(), "Y") &amp; " Tahun " &amp; DATEDIF(T13, TODAY(), "YM") &amp; " Bulan"</f>
        <v>5 Tahun 10 Bulan</v>
      </c>
      <c r="V13" s="281" t="s">
        <v>928</v>
      </c>
      <c r="W13" s="281" t="s">
        <v>851</v>
      </c>
      <c r="X13" s="283" t="str">
        <f ca="1">IF(AND(OR(L13="AA",L13="L"),OR(S13="Penata Muda Tk. I Golongan III/b",S13="Penata Golongan III/c"),DATEDIF(Q13,TODAY(),"m")&gt;=23,ISBLANK(Z13),C13="Aktif"),"Nominasi Serdos","-")</f>
        <v>-</v>
      </c>
      <c r="Y13" s="281"/>
      <c r="Z13" s="282" t="s">
        <v>852</v>
      </c>
      <c r="AA13" s="281">
        <v>25104105707981</v>
      </c>
      <c r="AB13" s="281" t="s">
        <v>929</v>
      </c>
      <c r="AC13" s="285">
        <v>45917</v>
      </c>
      <c r="AD13" s="281" t="s">
        <v>30</v>
      </c>
      <c r="AE13" s="281" t="s">
        <v>30</v>
      </c>
      <c r="AF13" s="281" t="s">
        <v>30</v>
      </c>
      <c r="AG13" s="281" t="s">
        <v>30</v>
      </c>
      <c r="AH13" s="281" t="s">
        <v>879</v>
      </c>
      <c r="AI13" s="281" t="s">
        <v>30</v>
      </c>
      <c r="AJ13" s="281" t="s">
        <v>30</v>
      </c>
      <c r="AK13" s="281" t="s">
        <v>30</v>
      </c>
      <c r="AM13" s="286">
        <v>43101</v>
      </c>
      <c r="AN13" s="287" t="str">
        <f ca="1">DATEDIF(AM13,TODAY(),"y")&amp;" tahun "&amp;DATEDIF(AM13,TODAY(),"ym")&amp;" bulan "</f>
        <v xml:space="preserve">8 tahun 0 bulan </v>
      </c>
      <c r="AO13" s="281" t="s">
        <v>868</v>
      </c>
      <c r="AP13" s="281" t="s">
        <v>880</v>
      </c>
      <c r="AQ13" s="281" t="s">
        <v>930</v>
      </c>
      <c r="AR13" s="281" t="s">
        <v>332</v>
      </c>
      <c r="AS13" s="281">
        <v>81360805290</v>
      </c>
      <c r="AT13" s="281" t="s">
        <v>333</v>
      </c>
      <c r="AU13" s="281" t="s">
        <v>30</v>
      </c>
      <c r="AV13" s="281"/>
      <c r="AW13" s="281" t="str">
        <f>VLOOKUP(B13,Sheet2!A14:I131,9,FALSE)</f>
        <v>Anifatul Faricha, S.T., M.Sc., Ph.D</v>
      </c>
      <c r="AX13" s="281" t="s">
        <v>902</v>
      </c>
      <c r="AY13" s="281" t="str">
        <f>VLOOKUP(B13,Sheet2!A14:C131,2,FALSE)</f>
        <v>Lamongan</v>
      </c>
      <c r="AZ13" s="288">
        <f>VLOOKUP(B13,Sheet2!A14:C131,3,FALSE)</f>
        <v>33759</v>
      </c>
      <c r="BA13" s="281">
        <f ca="1">DATEDIF(AZ13, TODAY(),"y")</f>
        <v>33</v>
      </c>
      <c r="BB13" s="281"/>
      <c r="BC13" s="281"/>
      <c r="BD13" s="281"/>
      <c r="BE13" s="281"/>
      <c r="BF13" s="289"/>
      <c r="BG13" s="289"/>
      <c r="BH13" s="289"/>
      <c r="BI13" s="289"/>
      <c r="BJ13" s="289"/>
      <c r="BK13" s="289"/>
      <c r="BL13" s="288" t="s">
        <v>922</v>
      </c>
      <c r="BM13" s="281"/>
      <c r="BN13" s="281"/>
      <c r="BO13" s="281"/>
      <c r="BP13" s="281"/>
      <c r="BQ13" s="281"/>
      <c r="BR13" s="288" t="str">
        <f>VLOOKUP(B13,Sheet2!A14:E131,5,FALSE)</f>
        <v>Sustainable Material, Instrumentation, Energy, and Computation (SMART)</v>
      </c>
      <c r="BS13" s="288" t="str">
        <f>VLOOKUP(B13,Sheet2!A14:F131,6,FALSE)</f>
        <v>EVE</v>
      </c>
      <c r="BT13" s="288" t="str">
        <f>VLOOKUP(B13,Sheet2!A14:G131,7,FALSE)</f>
        <v>Fakultas Teknik Elektro</v>
      </c>
      <c r="BU13" s="288" t="str">
        <f>VLOOKUP(B13,Sheet2!A14:H131,8,FALSE)</f>
        <v>faricha@telkomuniversity.ac.id</v>
      </c>
      <c r="BV13" s="280">
        <f>COUNTIFS('Join TPA Dosen'!B:B,Dosen!B14)</f>
        <v>1</v>
      </c>
      <c r="BW13" s="273" t="str">
        <f>DATEDIF(AM13,DATE(2026,1,1),"y")&amp;" tahun "&amp;DATEDIF(AM13,DATE(2026,1,1),"ym")&amp;" bulan "</f>
        <v xml:space="preserve">8 tahun 0 bulan </v>
      </c>
      <c r="BX13" s="280" t="str">
        <f>VLOOKUP($B13,Sheet1!$A:$G,2,FALSE)</f>
        <v>ITS</v>
      </c>
      <c r="BY13" s="280" t="str">
        <f>VLOOKUP($B13,Sheet1!$A:$G,3,FALSE)</f>
        <v>Teknik Elektro</v>
      </c>
      <c r="BZ13" s="280" t="str">
        <f>VLOOKUP($B13,Sheet1!$A:$G,4,FALSE)</f>
        <v>National Taiwan Univ of Science and Tech</v>
      </c>
      <c r="CA13" s="280" t="str">
        <f>VLOOKUP($B13,Sheet1!$A:$G,5,FALSE)</f>
        <v>Graduate Institute of Automation and Control</v>
      </c>
      <c r="CB13" s="280" t="str">
        <f>VLOOKUP($B13,Sheet1!$A:$G,6,FALSE)</f>
        <v>Tokyo Institute of Technology</v>
      </c>
      <c r="CC13" s="280" t="str">
        <f>VLOOKUP($B13,Sheet1!$A:$G,7,FALSE)</f>
        <v>Information and Communications Engineering</v>
      </c>
      <c r="CD13" s="280" t="s">
        <v>882</v>
      </c>
      <c r="CE13" s="280" t="s">
        <v>872</v>
      </c>
    </row>
    <row r="14" spans="1:84" ht="19.5">
      <c r="A14" s="281">
        <v>15</v>
      </c>
      <c r="B14" s="281" t="s">
        <v>234</v>
      </c>
      <c r="C14" s="281" t="s">
        <v>20</v>
      </c>
      <c r="D14" s="281" t="s">
        <v>235</v>
      </c>
      <c r="E14" s="281">
        <v>19900002</v>
      </c>
      <c r="F14" s="281" t="s">
        <v>931</v>
      </c>
      <c r="G14" s="282" t="s">
        <v>236</v>
      </c>
      <c r="H14" s="281" t="s">
        <v>845</v>
      </c>
      <c r="I14" s="281" t="s">
        <v>30</v>
      </c>
      <c r="J14" s="281" t="s">
        <v>57</v>
      </c>
      <c r="K14" s="281" t="s">
        <v>846</v>
      </c>
      <c r="L14" s="281" t="s">
        <v>847</v>
      </c>
      <c r="M14" s="283" t="str">
        <f>IF(L14="NJAD","AA",IF(L14="AA","L",IF(L14="L","LK","GB")))</f>
        <v>L</v>
      </c>
      <c r="N14" s="282" t="s">
        <v>511</v>
      </c>
      <c r="O14" s="281">
        <v>150</v>
      </c>
      <c r="P14" s="281" t="s">
        <v>932</v>
      </c>
      <c r="Q14" s="284">
        <v>44117</v>
      </c>
      <c r="R14" s="281" t="str">
        <f ca="1">DATEDIF(Q14,TODAY(), "Y") &amp; " Tahun " &amp; DATEDIF(Q14, TODAY(), "YM") &amp; " Bulan"</f>
        <v>5 Tahun 3 Bulan</v>
      </c>
      <c r="S14" s="281" t="s">
        <v>849</v>
      </c>
      <c r="T14" s="285">
        <v>44440</v>
      </c>
      <c r="U14" s="281" t="str">
        <f ca="1">DATEDIF(T14,TODAY(), "Y") &amp; " Tahun " &amp; DATEDIF(T14, TODAY(), "YM") &amp; " Bulan"</f>
        <v>4 Tahun 4 Bulan</v>
      </c>
      <c r="V14" s="281" t="s">
        <v>933</v>
      </c>
      <c r="W14" s="281" t="s">
        <v>851</v>
      </c>
      <c r="X14" s="283" t="str">
        <f ca="1">IF(AND(OR(L14="AA",L14="L"),OR(S14="Penata Muda Tk. I Golongan III/b",S14="Penata Golongan III/c"),DATEDIF(Q14,TODAY(),"m")&gt;=23,ISBLANK(Z14),C14="Aktif"),"Nominasi Serdos","-")</f>
        <v>Nominasi Serdos</v>
      </c>
      <c r="Y14" s="281"/>
      <c r="Z14" s="282"/>
      <c r="AA14" s="281"/>
      <c r="AB14" s="281" t="s">
        <v>30</v>
      </c>
      <c r="AC14" s="282" t="s">
        <v>511</v>
      </c>
      <c r="AD14" s="281" t="s">
        <v>30</v>
      </c>
      <c r="AE14" s="281" t="s">
        <v>30</v>
      </c>
      <c r="AF14" s="281" t="s">
        <v>30</v>
      </c>
      <c r="AG14" s="281" t="s">
        <v>30</v>
      </c>
      <c r="AH14" s="281" t="s">
        <v>854</v>
      </c>
      <c r="AI14" s="307" t="s">
        <v>855</v>
      </c>
      <c r="AJ14" s="307" t="s">
        <v>897</v>
      </c>
      <c r="AK14" s="307" t="s">
        <v>898</v>
      </c>
      <c r="AL14" s="307" t="s">
        <v>899</v>
      </c>
      <c r="AM14" s="286">
        <v>43101</v>
      </c>
      <c r="AN14" s="287" t="str">
        <f ca="1">DATEDIF(AM14,TODAY(),"y")&amp;" tahun "&amp;DATEDIF(AM14,TODAY(),"ym")&amp;" bulan "</f>
        <v xml:space="preserve">8 tahun 0 bulan </v>
      </c>
      <c r="AO14" s="281" t="s">
        <v>858</v>
      </c>
      <c r="AP14" s="281" t="s">
        <v>934</v>
      </c>
      <c r="AQ14" s="281" t="s">
        <v>935</v>
      </c>
      <c r="AR14" s="281" t="s">
        <v>237</v>
      </c>
      <c r="AS14" s="281">
        <v>82232504468</v>
      </c>
      <c r="AT14" s="281" t="s">
        <v>238</v>
      </c>
      <c r="AU14" s="281" t="s">
        <v>30</v>
      </c>
      <c r="AV14" s="281"/>
      <c r="AW14" s="281" t="str">
        <f>VLOOKUP(B14,Sheet2!A16:I133,9,FALSE)</f>
        <v>Anfazul Faridatul Azizah, S.Kom., M.Kom.</v>
      </c>
      <c r="AX14" s="281" t="s">
        <v>902</v>
      </c>
      <c r="AY14" s="281" t="str">
        <f>VLOOKUP(B14,Sheet2!A16:C133,2,FALSE)</f>
        <v>Surabaya</v>
      </c>
      <c r="AZ14" s="288">
        <f>VLOOKUP(B14,Sheet2!A16:C133,3,FALSE)</f>
        <v>32947</v>
      </c>
      <c r="BA14" s="281">
        <f ca="1">DATEDIF(AZ14, TODAY(),"y")</f>
        <v>35</v>
      </c>
      <c r="BB14" s="281"/>
      <c r="BC14" s="281"/>
      <c r="BD14" s="281"/>
      <c r="BE14" s="281"/>
      <c r="BF14" s="289"/>
      <c r="BG14" s="289"/>
      <c r="BH14" s="289"/>
      <c r="BI14" s="289"/>
      <c r="BJ14" s="289"/>
      <c r="BK14" s="289"/>
      <c r="BL14" s="288" t="str">
        <f>VLOOKUP(B14,Sheet2!A16:D133,4,FALSE)</f>
        <v>Dosen</v>
      </c>
      <c r="BM14" s="281"/>
      <c r="BN14" s="281"/>
      <c r="BO14" s="281"/>
      <c r="BP14" s="281"/>
      <c r="BQ14" s="281"/>
      <c r="BR14" s="288" t="str">
        <f>VLOOKUP(B14,Sheet2!A16:E133,5,FALSE)</f>
        <v>Cybernetics</v>
      </c>
      <c r="BS14" s="288" t="str">
        <f>VLOOKUP(B14,Sheet2!A16:F133,6,FALSE)</f>
        <v>AFC</v>
      </c>
      <c r="BT14" s="288" t="str">
        <f>VLOOKUP(B14,Sheet2!A16:G133,7,FALSE)</f>
        <v>Fakultas Rekayasa Industri</v>
      </c>
      <c r="BU14" s="288" t="str">
        <f>VLOOKUP(B14,Sheet2!A16:H133,8,FALSE)</f>
        <v>anfazulazizah@telkomuniversity.ac.id</v>
      </c>
      <c r="BV14" s="280">
        <f>COUNTIFS('Join TPA Dosen'!B:B,Dosen!B16)</f>
        <v>1</v>
      </c>
      <c r="BW14" s="273" t="str">
        <f>DATEDIF(AM14,DATE(2026,1,1),"y")&amp;" tahun "&amp;DATEDIF(AM14,DATE(2026,1,1),"ym")&amp;" bulan "</f>
        <v xml:space="preserve">8 tahun 0 bulan </v>
      </c>
      <c r="BX14" s="280" t="str">
        <f>VLOOKUP($B14,Sheet1!$A:$G,2,FALSE)</f>
        <v>ITS</v>
      </c>
      <c r="BY14" s="280" t="str">
        <f>VLOOKUP($B14,Sheet1!$A:$G,3,FALSE)</f>
        <v>Sistem Informasi</v>
      </c>
      <c r="BZ14" s="280" t="str">
        <f>VLOOKUP($B14,Sheet1!$A:$G,4,FALSE)</f>
        <v>ITS</v>
      </c>
      <c r="CA14" s="280" t="str">
        <f>VLOOKUP($B14,Sheet1!$A:$G,5,FALSE)</f>
        <v>Teknik Informatika - Sistem Informasi</v>
      </c>
      <c r="CB14" s="280" t="str">
        <f>VLOOKUP($B14,Sheet1!$A:$G,6,FALSE)</f>
        <v>ITS</v>
      </c>
      <c r="CC14" s="280" t="str">
        <f>VLOOKUP($B14,Sheet1!$A:$G,7,FALSE)</f>
        <v>Ilmu Komputer</v>
      </c>
      <c r="CE14" s="280" t="s">
        <v>863</v>
      </c>
    </row>
    <row r="15" spans="1:84" ht="19.5">
      <c r="A15" s="281">
        <v>17</v>
      </c>
      <c r="B15" s="281" t="s">
        <v>417</v>
      </c>
      <c r="C15" s="281" t="s">
        <v>20</v>
      </c>
      <c r="D15" s="281" t="s">
        <v>413</v>
      </c>
      <c r="E15" s="281">
        <v>17910092</v>
      </c>
      <c r="F15" s="281" t="s">
        <v>936</v>
      </c>
      <c r="G15" s="282" t="s">
        <v>418</v>
      </c>
      <c r="H15" s="291" t="s">
        <v>884</v>
      </c>
      <c r="I15" s="281" t="s">
        <v>30</v>
      </c>
      <c r="J15" s="281" t="s">
        <v>419</v>
      </c>
      <c r="K15" s="281" t="s">
        <v>937</v>
      </c>
      <c r="L15" s="281" t="s">
        <v>918</v>
      </c>
      <c r="M15" s="283" t="str">
        <f>IF(L15="NJAD","AA",IF(L15="AA","L",IF(L15="L","LK","GB")))</f>
        <v>AA</v>
      </c>
      <c r="N15" s="282" t="s">
        <v>511</v>
      </c>
      <c r="O15" s="281">
        <v>0</v>
      </c>
      <c r="P15" s="281" t="s">
        <v>30</v>
      </c>
      <c r="Q15" s="284">
        <v>43101</v>
      </c>
      <c r="R15" s="281" t="str">
        <f ca="1">DATEDIF(Q15,TODAY(), "Y") &amp; " Tahun " &amp; DATEDIF(Q15, TODAY(), "YM") &amp; " Bulan"</f>
        <v>8 Tahun 0 Bulan</v>
      </c>
      <c r="S15" s="282" t="s">
        <v>511</v>
      </c>
      <c r="T15" s="282" t="s">
        <v>511</v>
      </c>
      <c r="U15" s="281" t="e">
        <f ca="1">DATEDIF(T15,TODAY(), "Y") &amp; " Tahun " &amp; DATEDIF(T15, TODAY(), "YM") &amp; " Bulan"</f>
        <v>#VALUE!</v>
      </c>
      <c r="V15" s="281" t="s">
        <v>938</v>
      </c>
      <c r="W15" s="281" t="s">
        <v>851</v>
      </c>
      <c r="X15" s="283" t="str">
        <f ca="1">IF(AND(OR(L15="AA",L15="L"),OR(S15="Penata Muda Tk. I Golongan III/b",S15="Penata Golongan III/c"),DATEDIF(Q15,TODAY(),"m")&gt;=23,ISBLANK(Z15),C15="Aktif"),"Nominasi Serdos","-")</f>
        <v>-</v>
      </c>
      <c r="Y15" s="281"/>
      <c r="Z15" s="282"/>
      <c r="AA15" s="281"/>
      <c r="AB15" s="281" t="s">
        <v>30</v>
      </c>
      <c r="AC15" s="282" t="s">
        <v>511</v>
      </c>
      <c r="AD15" s="281" t="s">
        <v>30</v>
      </c>
      <c r="AE15" s="281" t="s">
        <v>30</v>
      </c>
      <c r="AF15" s="281" t="s">
        <v>30</v>
      </c>
      <c r="AG15" s="281" t="s">
        <v>30</v>
      </c>
      <c r="AH15" s="281" t="s">
        <v>879</v>
      </c>
      <c r="AI15" s="281" t="s">
        <v>30</v>
      </c>
      <c r="AJ15" s="281" t="s">
        <v>30</v>
      </c>
      <c r="AK15" s="281" t="s">
        <v>30</v>
      </c>
      <c r="AM15" s="286">
        <v>43101</v>
      </c>
      <c r="AN15" s="287" t="str">
        <f ca="1">DATEDIF(AM15,TODAY(),"y")&amp;" tahun "&amp;DATEDIF(AM15,TODAY(),"ym")&amp;" bulan "</f>
        <v xml:space="preserve">8 tahun 0 bulan </v>
      </c>
      <c r="AO15" s="281" t="s">
        <v>868</v>
      </c>
      <c r="AP15" s="281" t="s">
        <v>939</v>
      </c>
      <c r="AQ15" s="281" t="s">
        <v>940</v>
      </c>
      <c r="AR15" s="281" t="s">
        <v>420</v>
      </c>
      <c r="AS15" s="281">
        <v>81226595253</v>
      </c>
      <c r="AT15" s="281" t="s">
        <v>421</v>
      </c>
      <c r="AU15" s="281" t="s">
        <v>30</v>
      </c>
      <c r="AV15" s="281"/>
      <c r="AW15" s="281" t="str">
        <f>VLOOKUP(B15,Sheet2!A18:I135,9,FALSE)</f>
        <v>Mohamad Yani, S.ST., M.Phil., Ph.D.</v>
      </c>
      <c r="AX15" s="281" t="s">
        <v>861</v>
      </c>
      <c r="AY15" s="281" t="str">
        <f>VLOOKUP(B15,Sheet2!A18:C135,2,FALSE)</f>
        <v>Surabaya</v>
      </c>
      <c r="AZ15" s="288">
        <f>VLOOKUP(B15,Sheet2!A18:C135,3,FALSE)</f>
        <v>33250</v>
      </c>
      <c r="BA15" s="281">
        <f ca="1">DATEDIF(AZ15, TODAY(),"y")</f>
        <v>35</v>
      </c>
      <c r="BB15" s="281"/>
      <c r="BC15" s="281"/>
      <c r="BD15" s="281"/>
      <c r="BE15" s="281"/>
      <c r="BF15" s="289"/>
      <c r="BG15" s="289"/>
      <c r="BH15" s="289"/>
      <c r="BI15" s="304"/>
      <c r="BJ15" s="304"/>
      <c r="BK15" s="304"/>
      <c r="BL15" s="288" t="str">
        <f>VLOOKUP(B15,Sheet2!A18:D135,4,FALSE)</f>
        <v>Dosen</v>
      </c>
      <c r="BM15" s="281"/>
      <c r="BN15" s="281"/>
      <c r="BO15" s="281"/>
      <c r="BP15" s="281"/>
      <c r="BQ15" s="281"/>
      <c r="BR15" s="288" t="str">
        <f>VLOOKUP(B15,Sheet2!A18:E135,5,FALSE)</f>
        <v>Control, Elektronics, and Intelligent Systems (CEIS)</v>
      </c>
      <c r="BS15" s="288" t="str">
        <f>VLOOKUP(B15,Sheet2!A18:F135,6,FALSE)</f>
        <v>MIX</v>
      </c>
      <c r="BT15" s="288" t="str">
        <f>VLOOKUP(B15,Sheet2!A18:G135,7,FALSE)</f>
        <v>Fakultas Teknik Elektro</v>
      </c>
      <c r="BU15" s="288" t="str">
        <f>VLOOKUP(B15,Sheet2!A18:H135,8,FALSE)</f>
        <v>mohamadyani@telkomuniversity.ac.id</v>
      </c>
      <c r="BV15" s="280">
        <f>COUNTIFS('Join TPA Dosen'!B:B,Dosen!B18)</f>
        <v>1</v>
      </c>
      <c r="BW15" s="273" t="str">
        <f>DATEDIF(AM15,DATE(2026,1,1),"y")&amp;" tahun "&amp;DATEDIF(AM15,DATE(2026,1,1),"ym")&amp;" bulan "</f>
        <v xml:space="preserve">8 tahun 0 bulan </v>
      </c>
      <c r="BX15" s="280" t="str">
        <f>VLOOKUP($B15,Sheet1!$A:$G,2,FALSE)</f>
        <v>PENS</v>
      </c>
      <c r="BY15" s="280" t="str">
        <f>VLOOKUP($B15,Sheet1!$A:$G,3,FALSE)</f>
        <v>Mechatronics Engineering</v>
      </c>
      <c r="BZ15" s="280" t="str">
        <f>VLOOKUP($B15,Sheet1!$A:$G,4,FALSE)</f>
        <v>Universiti Teknologi Malaysia</v>
      </c>
      <c r="CA15" s="280" t="str">
        <f>VLOOKUP($B15,Sheet1!$A:$G,5,FALSE)</f>
        <v>Teknik Elektro</v>
      </c>
      <c r="CB15" s="280" t="str">
        <f>VLOOKUP($B15,Sheet1!$A:$G,6,FALSE)</f>
        <v>Tokyo Metropolitan University</v>
      </c>
      <c r="CC15" s="280" t="str">
        <f>VLOOKUP($B15,Sheet1!$A:$G,7,FALSE)</f>
        <v>Mechanical Systems Engineering</v>
      </c>
      <c r="CD15" s="280" t="s">
        <v>862</v>
      </c>
      <c r="CE15" s="280" t="s">
        <v>872</v>
      </c>
    </row>
    <row r="16" spans="1:84" ht="18.95">
      <c r="A16" s="281">
        <v>121</v>
      </c>
      <c r="B16" s="281" t="s">
        <v>94</v>
      </c>
      <c r="C16" s="281" t="s">
        <v>46</v>
      </c>
      <c r="D16" s="281" t="s">
        <v>22</v>
      </c>
      <c r="E16" s="281">
        <v>25980005</v>
      </c>
      <c r="F16" s="299"/>
      <c r="G16" s="299"/>
      <c r="H16" s="291" t="s">
        <v>884</v>
      </c>
      <c r="I16" s="281"/>
      <c r="J16" s="281" t="s">
        <v>95</v>
      </c>
      <c r="K16" s="281" t="s">
        <v>917</v>
      </c>
      <c r="L16" s="281" t="s">
        <v>918</v>
      </c>
      <c r="M16" s="283" t="str">
        <f>IF(L16="NJAD","AA",IF(L16="AA","L",IF(L16="L","LK","GB")))</f>
        <v>AA</v>
      </c>
      <c r="N16" s="282" t="s">
        <v>511</v>
      </c>
      <c r="O16" s="281">
        <v>0</v>
      </c>
      <c r="P16" s="281"/>
      <c r="Q16" s="284">
        <v>45689</v>
      </c>
      <c r="R16" s="281" t="str">
        <f ca="1">DATEDIF(Q16,TODAY(), "Y") &amp; " Tahun " &amp; DATEDIF(Q16, TODAY(), "YM") &amp; " Bulan"</f>
        <v>0 Tahun 11 Bulan</v>
      </c>
      <c r="S16" s="282" t="s">
        <v>511</v>
      </c>
      <c r="T16" s="282" t="s">
        <v>511</v>
      </c>
      <c r="U16" s="281" t="e">
        <f ca="1">DATEDIF(T16,TODAY(), "Y") &amp; " Tahun " &amp; DATEDIF(T16, TODAY(), "YM") &amp; " Bulan"</f>
        <v>#VALUE!</v>
      </c>
      <c r="V16" s="281" t="s">
        <v>850</v>
      </c>
      <c r="W16" s="281" t="s">
        <v>851</v>
      </c>
      <c r="X16" s="283" t="str">
        <f ca="1">IF(AND(OR(L16="AA",L16="L"),OR(S16="Penata Muda Tk. I Golongan III/b",S16="Penata Golongan III/c"),DATEDIF(Q16,TODAY(),"m")&gt;=23,ISBLANK(Z16),C16="Aktif"),"Nominasi Serdos","-")</f>
        <v>-</v>
      </c>
      <c r="Y16" s="281"/>
      <c r="Z16" s="295" t="s">
        <v>30</v>
      </c>
      <c r="AA16" s="295" t="s">
        <v>30</v>
      </c>
      <c r="AB16" s="295" t="s">
        <v>30</v>
      </c>
      <c r="AC16" s="295" t="s">
        <v>30</v>
      </c>
      <c r="AD16" s="281" t="s">
        <v>30</v>
      </c>
      <c r="AE16" s="281" t="s">
        <v>30</v>
      </c>
      <c r="AF16" s="281" t="s">
        <v>30</v>
      </c>
      <c r="AG16" s="281" t="s">
        <v>30</v>
      </c>
      <c r="AH16" s="281" t="s">
        <v>854</v>
      </c>
      <c r="AI16" s="281" t="s">
        <v>30</v>
      </c>
      <c r="AJ16" s="281" t="s">
        <v>30</v>
      </c>
      <c r="AK16" s="281" t="s">
        <v>30</v>
      </c>
      <c r="AM16" s="286">
        <v>45689</v>
      </c>
      <c r="AN16" s="287" t="str">
        <f ca="1">DATEDIF(AM16,TODAY(),"y")&amp;" tahun "&amp;DATEDIF(AM16,TODAY(),"ym")&amp;" bulan "</f>
        <v xml:space="preserve">0 tahun 11 bulan </v>
      </c>
      <c r="AO16" s="281" t="s">
        <v>858</v>
      </c>
      <c r="AP16" s="281" t="s">
        <v>859</v>
      </c>
      <c r="AQ16" s="281" t="s">
        <v>941</v>
      </c>
      <c r="AR16" s="300" t="s">
        <v>96</v>
      </c>
      <c r="AS16" s="281">
        <v>82123510747</v>
      </c>
      <c r="AT16" s="281" t="s">
        <v>97</v>
      </c>
      <c r="AU16" s="281" t="s">
        <v>30</v>
      </c>
      <c r="AV16" s="281"/>
      <c r="AW16" s="281" t="s">
        <v>942</v>
      </c>
      <c r="AX16" s="281" t="s">
        <v>902</v>
      </c>
      <c r="AY16" s="281" t="s">
        <v>943</v>
      </c>
      <c r="AZ16" s="288">
        <v>32440</v>
      </c>
      <c r="BA16" s="281">
        <f ca="1">DATEDIF(AZ16, TODAY(),"y")</f>
        <v>37</v>
      </c>
      <c r="BB16" s="281"/>
      <c r="BC16" s="281"/>
      <c r="BD16" s="281"/>
      <c r="BE16" s="295"/>
      <c r="BF16" s="289"/>
      <c r="BG16" s="289"/>
      <c r="BH16" s="289"/>
      <c r="BI16" s="289"/>
      <c r="BJ16" s="289"/>
      <c r="BK16" s="289"/>
      <c r="BL16" s="288" t="s">
        <v>21</v>
      </c>
      <c r="BM16" s="281"/>
      <c r="BN16" s="286"/>
      <c r="BO16" s="281"/>
      <c r="BP16" s="281"/>
      <c r="BQ16" s="281"/>
      <c r="BR16" s="288" t="e">
        <f>VLOOKUP(B16,Sheet2!A122:E239,5,FALSE)</f>
        <v>#N/A</v>
      </c>
      <c r="BS16" s="288" t="s">
        <v>941</v>
      </c>
      <c r="BT16" s="288" t="s">
        <v>944</v>
      </c>
      <c r="BU16" s="288" t="s">
        <v>945</v>
      </c>
      <c r="BV16" s="280">
        <f>COUNTIFS('Join TPA Dosen'!B:B,Dosen!B122)</f>
        <v>1</v>
      </c>
      <c r="BW16" s="273" t="str">
        <f>DATEDIF(AM16,DATE(2026,1,1),"y")&amp;" tahun "&amp;DATEDIF(AM16,DATE(2026,1,1),"ym")&amp;" bulan "</f>
        <v xml:space="preserve">0 tahun 11 bulan </v>
      </c>
      <c r="BX16" s="280" t="e">
        <f>VLOOKUP($B16,Sheet1!$A:$G,2,FALSE)</f>
        <v>#N/A</v>
      </c>
      <c r="BY16" s="280" t="e">
        <f>VLOOKUP($B16,Sheet1!$A:$G,3,FALSE)</f>
        <v>#N/A</v>
      </c>
      <c r="BZ16" s="280" t="e">
        <f>VLOOKUP($B16,Sheet1!$A:$G,4,FALSE)</f>
        <v>#N/A</v>
      </c>
      <c r="CA16" s="280" t="e">
        <f>VLOOKUP($B16,Sheet1!$A:$G,5,FALSE)</f>
        <v>#N/A</v>
      </c>
      <c r="CB16" s="280" t="e">
        <f>VLOOKUP($B16,Sheet1!$A:$G,6,FALSE)</f>
        <v>#N/A</v>
      </c>
      <c r="CC16" s="280" t="e">
        <f>VLOOKUP($B16,Sheet1!$A:$G,7,FALSE)</f>
        <v>#N/A</v>
      </c>
      <c r="CD16" s="280">
        <v>0</v>
      </c>
      <c r="CE16" s="280" t="s">
        <v>863</v>
      </c>
      <c r="CF16" s="336">
        <v>45870</v>
      </c>
    </row>
    <row r="17" spans="1:83" ht="19.5">
      <c r="A17" s="281">
        <v>18</v>
      </c>
      <c r="B17" s="281" t="s">
        <v>492</v>
      </c>
      <c r="C17" s="281" t="s">
        <v>20</v>
      </c>
      <c r="D17" s="281" t="s">
        <v>475</v>
      </c>
      <c r="E17" s="281">
        <v>19940001</v>
      </c>
      <c r="F17" s="281" t="s">
        <v>946</v>
      </c>
      <c r="G17" s="282" t="s">
        <v>493</v>
      </c>
      <c r="H17" s="337" t="s">
        <v>845</v>
      </c>
      <c r="I17" s="281" t="s">
        <v>30</v>
      </c>
      <c r="J17" s="281" t="s">
        <v>494</v>
      </c>
      <c r="K17" s="281" t="s">
        <v>874</v>
      </c>
      <c r="L17" s="281" t="s">
        <v>775</v>
      </c>
      <c r="M17" s="283" t="str">
        <f>IF(L17="NJAD","AA",IF(L17="AA","L",IF(L17="L","LK","GB")))</f>
        <v>LK</v>
      </c>
      <c r="N17" s="281" t="s">
        <v>30</v>
      </c>
      <c r="O17" s="281">
        <v>200</v>
      </c>
      <c r="P17" s="281" t="s">
        <v>947</v>
      </c>
      <c r="Q17" s="284">
        <v>45108</v>
      </c>
      <c r="R17" s="281" t="str">
        <f ca="1">DATEDIF(Q17,TODAY(), "Y") &amp; " Tahun " &amp; DATEDIF(Q17, TODAY(), "YM") &amp; " Bulan"</f>
        <v>2 Tahun 6 Bulan</v>
      </c>
      <c r="S17" s="281" t="s">
        <v>876</v>
      </c>
      <c r="T17" s="285">
        <v>45261</v>
      </c>
      <c r="U17" s="281" t="str">
        <f ca="1">DATEDIF(T17,TODAY(), "Y") &amp; " Tahun " &amp; DATEDIF(T17, TODAY(), "YM") &amp; " Bulan"</f>
        <v>2 Tahun 1 Bulan</v>
      </c>
      <c r="V17" s="281" t="s">
        <v>866</v>
      </c>
      <c r="W17" s="281" t="s">
        <v>851</v>
      </c>
      <c r="X17" s="283" t="str">
        <f ca="1">IF(AND(OR(L17="AA",L17="L"),OR(S17="Penata Muda Tk. I Golongan III/b",S17="Penata Golongan III/c"),DATEDIF(Q17,TODAY(),"m")&gt;=23,ISBLANK(Z17),C17="Aktif"),"Nominasi Serdos","-")</f>
        <v>-</v>
      </c>
      <c r="Y17" s="281"/>
      <c r="Z17" s="281" t="s">
        <v>852</v>
      </c>
      <c r="AA17" s="281">
        <v>22107201902509</v>
      </c>
      <c r="AB17" s="281" t="s">
        <v>948</v>
      </c>
      <c r="AC17" s="285">
        <v>44783</v>
      </c>
      <c r="AD17" s="281" t="s">
        <v>30</v>
      </c>
      <c r="AE17" s="281" t="s">
        <v>30</v>
      </c>
      <c r="AF17" s="281" t="s">
        <v>30</v>
      </c>
      <c r="AG17" s="281" t="s">
        <v>30</v>
      </c>
      <c r="AH17" s="281" t="s">
        <v>879</v>
      </c>
      <c r="AI17" s="281" t="s">
        <v>30</v>
      </c>
      <c r="AJ17" s="281" t="s">
        <v>30</v>
      </c>
      <c r="AK17" s="281" t="s">
        <v>30</v>
      </c>
      <c r="AM17" s="286">
        <v>43101</v>
      </c>
      <c r="AN17" s="287" t="str">
        <f ca="1">DATEDIF(AM17,TODAY(),"y")&amp;" tahun "&amp;DATEDIF(AM17,TODAY(),"ym")&amp;" bulan "</f>
        <v xml:space="preserve">8 tahun 0 bulan </v>
      </c>
      <c r="AO17" s="281" t="s">
        <v>868</v>
      </c>
      <c r="AP17" s="281" t="s">
        <v>869</v>
      </c>
      <c r="AQ17" s="281" t="s">
        <v>949</v>
      </c>
      <c r="AR17" s="281" t="s">
        <v>495</v>
      </c>
      <c r="AS17" s="281">
        <v>81277773171</v>
      </c>
      <c r="AT17" s="281" t="s">
        <v>496</v>
      </c>
      <c r="AU17" s="281" t="s">
        <v>30</v>
      </c>
      <c r="AV17" s="281"/>
      <c r="AW17" s="281" t="str">
        <f>VLOOKUP(B17,Sheet2!A19:I136,9,FALSE)</f>
        <v>Muhsin, S.T., M.T., Ph. D.</v>
      </c>
      <c r="AX17" s="281" t="s">
        <v>861</v>
      </c>
      <c r="AY17" s="281" t="str">
        <f>VLOOKUP(B17,Sheet2!A19:C136,2,FALSE)</f>
        <v>Karanganyar</v>
      </c>
      <c r="AZ17" s="288">
        <f>VLOOKUP(B17,Sheet2!A19:C136,3,FALSE)</f>
        <v>34427</v>
      </c>
      <c r="BA17" s="281">
        <f ca="1">DATEDIF(AZ17, TODAY(),"y")</f>
        <v>31</v>
      </c>
      <c r="BB17" s="281"/>
      <c r="BC17" s="281"/>
      <c r="BD17" s="281"/>
      <c r="BE17" s="281"/>
      <c r="BF17" s="289"/>
      <c r="BG17" s="289"/>
      <c r="BH17" s="289"/>
      <c r="BI17" s="289"/>
      <c r="BJ17" s="289"/>
      <c r="BK17" s="289"/>
      <c r="BL17" s="288" t="str">
        <f>VLOOKUP(B17,Sheet2!A19:D136,4,FALSE)</f>
        <v>Kabag</v>
      </c>
      <c r="BM17" s="281"/>
      <c r="BN17" s="281"/>
      <c r="BO17" s="281"/>
      <c r="BP17" s="281"/>
      <c r="BQ17" s="281"/>
      <c r="BR17" s="288" t="str">
        <f>VLOOKUP(B17,Sheet2!A19:E136,5,FALSE)</f>
        <v>Intelligent Communications and Networks (ICON)</v>
      </c>
      <c r="BS17" s="288" t="str">
        <f>VLOOKUP(B17,Sheet2!A19:F136,6,FALSE)</f>
        <v>MCN</v>
      </c>
      <c r="BT17" s="288" t="str">
        <f>VLOOKUP(B17,Sheet2!A19:G136,7,FALSE)</f>
        <v>Fakultas Teknik Elektro</v>
      </c>
      <c r="BU17" s="288" t="str">
        <f>VLOOKUP(B17,Sheet2!A19:H136,8,FALSE)</f>
        <v>mmuhsin@telkomuniversity.ac.id</v>
      </c>
      <c r="BV17" s="280">
        <f>COUNTIFS('Join TPA Dosen'!B:B,Dosen!B37)</f>
        <v>1</v>
      </c>
      <c r="BW17" s="273" t="str">
        <f>DATEDIF(AM17,DATE(2026,1,1),"y")&amp;" tahun "&amp;DATEDIF(AM17,DATE(2026,1,1),"ym")&amp;" bulan "</f>
        <v xml:space="preserve">8 tahun 0 bulan </v>
      </c>
      <c r="BX17" s="280" t="str">
        <f>VLOOKUP($B17,Sheet1!$A:$G,2,FALSE)</f>
        <v>Tel-U</v>
      </c>
      <c r="BY17" s="280" t="str">
        <f>VLOOKUP($B17,Sheet1!$A:$G,3,FALSE)</f>
        <v>Teknik Telekomunikasi</v>
      </c>
      <c r="BZ17" s="280" t="str">
        <f>VLOOKUP($B17,Sheet1!$A:$G,4,FALSE)</f>
        <v>Tel-U</v>
      </c>
      <c r="CA17" s="280" t="str">
        <f>VLOOKUP($B17,Sheet1!$A:$G,5,FALSE)</f>
        <v>Teknik Elektro - Telekomunikasi</v>
      </c>
      <c r="CB17" s="280" t="str">
        <f>VLOOKUP($B17,Sheet1!$A:$G,6,FALSE)</f>
        <v>Universiti Teknologi Malaysia</v>
      </c>
      <c r="CC17" s="280" t="str">
        <f>VLOOKUP($B17,Sheet1!$A:$G,7,FALSE)</f>
        <v>Electrical System Engineering</v>
      </c>
      <c r="CD17" s="280" t="s">
        <v>862</v>
      </c>
      <c r="CE17" s="280" t="s">
        <v>872</v>
      </c>
    </row>
    <row r="18" spans="1:83" ht="19.5">
      <c r="A18" s="281">
        <v>19</v>
      </c>
      <c r="B18" s="281" t="s">
        <v>480</v>
      </c>
      <c r="C18" s="281" t="s">
        <v>20</v>
      </c>
      <c r="D18" s="281" t="s">
        <v>475</v>
      </c>
      <c r="E18" s="281">
        <v>25780004</v>
      </c>
      <c r="F18" s="281" t="s">
        <v>950</v>
      </c>
      <c r="G18" s="282" t="s">
        <v>481</v>
      </c>
      <c r="H18" s="301" t="s">
        <v>845</v>
      </c>
      <c r="I18" s="281" t="s">
        <v>30</v>
      </c>
      <c r="J18" s="281" t="s">
        <v>176</v>
      </c>
      <c r="K18" s="281" t="s">
        <v>846</v>
      </c>
      <c r="L18" s="281" t="s">
        <v>847</v>
      </c>
      <c r="M18" s="283" t="str">
        <f>IF(L18="NJAD","AA",IF(L18="AA","L",IF(L18="L","LK","GB")))</f>
        <v>L</v>
      </c>
      <c r="N18" s="314" t="s">
        <v>511</v>
      </c>
      <c r="O18" s="281">
        <v>150</v>
      </c>
      <c r="P18" s="281" t="s">
        <v>951</v>
      </c>
      <c r="Q18" s="284">
        <v>44218</v>
      </c>
      <c r="R18" s="281" t="str">
        <f ca="1">DATEDIF(Q18,TODAY(), "Y") &amp; " Tahun " &amp; DATEDIF(Q18, TODAY(), "YM") &amp; " Bulan"</f>
        <v>4 Tahun 11 Bulan</v>
      </c>
      <c r="S18" s="281" t="s">
        <v>849</v>
      </c>
      <c r="T18" s="285">
        <v>44593</v>
      </c>
      <c r="U18" s="281" t="str">
        <f ca="1">DATEDIF(T18,TODAY(), "Y") &amp; " Tahun " &amp; DATEDIF(T18, TODAY(), "YM") &amp; " Bulan"</f>
        <v>3 Tahun 11 Bulan</v>
      </c>
      <c r="V18" s="281" t="s">
        <v>866</v>
      </c>
      <c r="W18" s="281" t="s">
        <v>851</v>
      </c>
      <c r="X18" s="283" t="str">
        <f ca="1">IF(AND(OR(L18="AA",L18="L"),OR(S18="Penata Muda Tk. I Golongan III/b",S18="Penata Golongan III/c"),DATEDIF(Q18,TODAY(),"m")&gt;=23,ISBLANK(Z18),C18="Aktif"),"Nominasi Serdos","-")</f>
        <v>Nominasi Serdos</v>
      </c>
      <c r="Y18" s="281"/>
      <c r="Z18" s="282"/>
      <c r="AA18" s="281"/>
      <c r="AB18" s="281" t="s">
        <v>30</v>
      </c>
      <c r="AC18" s="282" t="s">
        <v>511</v>
      </c>
      <c r="AD18" s="281" t="s">
        <v>30</v>
      </c>
      <c r="AE18" s="281" t="s">
        <v>30</v>
      </c>
      <c r="AF18" s="281" t="s">
        <v>30</v>
      </c>
      <c r="AG18" s="281" t="s">
        <v>30</v>
      </c>
      <c r="AH18" s="281" t="s">
        <v>854</v>
      </c>
      <c r="AI18" s="281" t="s">
        <v>30</v>
      </c>
      <c r="AJ18" s="281" t="s">
        <v>30</v>
      </c>
      <c r="AK18" s="281" t="s">
        <v>30</v>
      </c>
      <c r="AM18" s="286">
        <v>43101</v>
      </c>
      <c r="AN18" s="287" t="str">
        <f ca="1">DATEDIF(AM18,TODAY(),"y")&amp;" tahun "&amp;DATEDIF(AM18,TODAY(),"ym")&amp;" bulan "</f>
        <v xml:space="preserve">8 tahun 0 bulan </v>
      </c>
      <c r="AO18" s="281" t="s">
        <v>868</v>
      </c>
      <c r="AP18" s="281" t="s">
        <v>869</v>
      </c>
      <c r="AQ18" s="281" t="s">
        <v>952</v>
      </c>
      <c r="AR18" s="281" t="s">
        <v>482</v>
      </c>
      <c r="AS18" s="281">
        <v>85235758329</v>
      </c>
      <c r="AT18" s="281" t="s">
        <v>483</v>
      </c>
      <c r="AU18" s="281" t="s">
        <v>30</v>
      </c>
      <c r="AV18" s="281"/>
      <c r="AW18" s="281" t="str">
        <f>VLOOKUP(B18,Sheet2!A20:I137,9,FALSE)</f>
        <v>Nilla Rachmaningrum, S.T., M.T.</v>
      </c>
      <c r="AX18" s="281" t="s">
        <v>902</v>
      </c>
      <c r="AY18" s="281" t="str">
        <f>VLOOKUP(B18,Sheet2!A20:C137,2,FALSE)</f>
        <v>Madiun</v>
      </c>
      <c r="AZ18" s="288">
        <f>VLOOKUP(B18,Sheet2!A20:C137,3,FALSE)</f>
        <v>28649</v>
      </c>
      <c r="BA18" s="281">
        <f ca="1">DATEDIF(AZ18, TODAY(),"y")</f>
        <v>47</v>
      </c>
      <c r="BB18" s="281"/>
      <c r="BC18" s="281"/>
      <c r="BD18" s="281"/>
      <c r="BE18" s="281"/>
      <c r="BF18" s="289"/>
      <c r="BG18" s="289"/>
      <c r="BH18" s="289"/>
      <c r="BI18" s="289"/>
      <c r="BJ18" s="289"/>
      <c r="BK18" s="289"/>
      <c r="BL18" s="288" t="str">
        <f>VLOOKUP(B18,Sheet2!A20:D137,4,FALSE)</f>
        <v>Dosen</v>
      </c>
      <c r="BM18" s="281"/>
      <c r="BN18" s="281"/>
      <c r="BO18" s="281"/>
      <c r="BP18" s="281"/>
      <c r="BQ18" s="281"/>
      <c r="BR18" s="288" t="str">
        <f>VLOOKUP(B18,Sheet2!A20:E137,5,FALSE)</f>
        <v>Intelligent Communications and Networks (ICON)</v>
      </c>
      <c r="BS18" s="288" t="str">
        <f>VLOOKUP(B18,Sheet2!A20:F137,6,FALSE)</f>
        <v>NRR</v>
      </c>
      <c r="BT18" s="288" t="str">
        <f>VLOOKUP(B18,Sheet2!A20:G137,7,FALSE)</f>
        <v>Fakultas Teknik Elektro</v>
      </c>
      <c r="BU18" s="288" t="str">
        <f>VLOOKUP(B18,Sheet2!A20:H137,8,FALSE)</f>
        <v>nrachmaningrum@telkomuniversity.ac.id</v>
      </c>
      <c r="BV18" s="280">
        <f>COUNTIFS('Join TPA Dosen'!B:B,Dosen!B20)</f>
        <v>1</v>
      </c>
      <c r="BW18" s="273" t="str">
        <f>DATEDIF(AM18,DATE(2026,1,1),"y")&amp;" tahun "&amp;DATEDIF(AM18,DATE(2026,1,1),"ym")&amp;" bulan "</f>
        <v xml:space="preserve">8 tahun 0 bulan </v>
      </c>
      <c r="BX18" s="280" t="str">
        <f>VLOOKUP($B18,Sheet1!$A:$G,2,FALSE)</f>
        <v>Univ. Brawijaya</v>
      </c>
      <c r="BY18" s="280" t="str">
        <f>VLOOKUP($B18,Sheet1!$A:$G,3,FALSE)</f>
        <v>Teknik Elektro</v>
      </c>
      <c r="BZ18" s="280" t="str">
        <f>VLOOKUP($B18,Sheet1!$A:$G,4,FALSE)</f>
        <v>Univ. Mercu Buana Jakarta</v>
      </c>
      <c r="CA18" s="280" t="str">
        <f>VLOOKUP($B18,Sheet1!$A:$G,5,FALSE)</f>
        <v>Teknik Elektro</v>
      </c>
      <c r="CB18" s="280" t="str">
        <f>VLOOKUP($B18,Sheet1!$A:$G,6,FALSE)</f>
        <v>-</v>
      </c>
      <c r="CC18" s="280">
        <f>VLOOKUP($B18,Sheet1!$A:$G,7,FALSE)</f>
        <v>0</v>
      </c>
      <c r="CD18" s="280" t="s">
        <v>882</v>
      </c>
      <c r="CE18" s="280" t="s">
        <v>872</v>
      </c>
    </row>
    <row r="19" spans="1:83" ht="19.5">
      <c r="A19" s="281">
        <v>29</v>
      </c>
      <c r="B19" s="281" t="s">
        <v>187</v>
      </c>
      <c r="C19" s="281" t="s">
        <v>20</v>
      </c>
      <c r="D19" s="281" t="s">
        <v>170</v>
      </c>
      <c r="E19" s="281">
        <v>20940001</v>
      </c>
      <c r="F19" s="281" t="s">
        <v>953</v>
      </c>
      <c r="G19" s="282" t="s">
        <v>188</v>
      </c>
      <c r="H19" s="281" t="s">
        <v>845</v>
      </c>
      <c r="I19" s="281" t="s">
        <v>189</v>
      </c>
      <c r="J19" s="281" t="s">
        <v>57</v>
      </c>
      <c r="K19" s="281" t="s">
        <v>874</v>
      </c>
      <c r="L19" s="281" t="s">
        <v>775</v>
      </c>
      <c r="M19" s="283" t="str">
        <f>IF(L19="NJAD","AA",IF(L19="AA","L",IF(L19="L","LK","GB")))</f>
        <v>LK</v>
      </c>
      <c r="N19" s="282" t="s">
        <v>511</v>
      </c>
      <c r="O19" s="281">
        <v>200</v>
      </c>
      <c r="P19" s="281" t="s">
        <v>954</v>
      </c>
      <c r="Q19" s="284">
        <v>45108</v>
      </c>
      <c r="R19" s="281" t="str">
        <f ca="1">DATEDIF(Q19,TODAY(), "Y") &amp; " Tahun " &amp; DATEDIF(Q19, TODAY(), "YM") &amp; " Bulan"</f>
        <v>2 Tahun 6 Bulan</v>
      </c>
      <c r="S19" s="281" t="s">
        <v>876</v>
      </c>
      <c r="T19" s="285">
        <v>45658</v>
      </c>
      <c r="U19" s="281" t="str">
        <f ca="1">DATEDIF(T19,TODAY(), "Y") &amp; " Tahun " &amp; DATEDIF(T19, TODAY(), "YM") &amp; " Bulan"</f>
        <v>1 Tahun 0 Bulan</v>
      </c>
      <c r="V19" s="281" t="s">
        <v>955</v>
      </c>
      <c r="W19" s="281" t="s">
        <v>851</v>
      </c>
      <c r="X19" s="283" t="str">
        <f ca="1">IF(AND(OR(L19="AA",L19="L"),OR(S19="Penata Muda Tk. I Golongan III/b",S19="Penata Golongan III/c"),DATEDIF(Q19,TODAY(),"m")&gt;=23,ISBLANK(Z19),C19="Aktif"),"Nominasi Serdos","-")</f>
        <v>-</v>
      </c>
      <c r="Y19" s="281"/>
      <c r="Z19" s="281" t="s">
        <v>852</v>
      </c>
      <c r="AA19" s="281">
        <v>22107201905492</v>
      </c>
      <c r="AB19" s="281" t="s">
        <v>956</v>
      </c>
      <c r="AC19" s="285">
        <v>44846</v>
      </c>
      <c r="AD19" s="281" t="s">
        <v>30</v>
      </c>
      <c r="AE19" s="281" t="s">
        <v>30</v>
      </c>
      <c r="AF19" s="281" t="s">
        <v>30</v>
      </c>
      <c r="AG19" s="281" t="s">
        <v>30</v>
      </c>
      <c r="AH19" s="281" t="s">
        <v>879</v>
      </c>
      <c r="AI19" s="281"/>
      <c r="AJ19" s="281"/>
      <c r="AK19" s="281"/>
      <c r="AL19" s="281"/>
      <c r="AM19" s="286">
        <v>43282</v>
      </c>
      <c r="AN19" s="287" t="str">
        <f ca="1">DATEDIF(AM19,TODAY(),"y")&amp;" tahun "&amp;DATEDIF(AM19,TODAY(),"ym")&amp;" bulan "</f>
        <v xml:space="preserve">7 tahun 6 bulan </v>
      </c>
      <c r="AO19" s="281" t="s">
        <v>858</v>
      </c>
      <c r="AP19" s="281" t="s">
        <v>914</v>
      </c>
      <c r="AQ19" s="281" t="s">
        <v>957</v>
      </c>
      <c r="AR19" s="281" t="s">
        <v>190</v>
      </c>
      <c r="AS19" s="281">
        <v>81359057346</v>
      </c>
      <c r="AT19" s="281" t="s">
        <v>191</v>
      </c>
      <c r="AU19" s="281" t="s">
        <v>30</v>
      </c>
      <c r="AV19" s="281"/>
      <c r="AW19" s="281" t="str">
        <f>VLOOKUP(B19,Sheet2!A30:I147,9,FALSE)</f>
        <v>Dr. Dewi Rahmawati, S.Kom., M.Kom.</v>
      </c>
      <c r="AX19" s="281" t="s">
        <v>902</v>
      </c>
      <c r="AY19" s="281" t="str">
        <f>VLOOKUP(B19,Sheet2!A30:C147,2,FALSE)</f>
        <v>Malang</v>
      </c>
      <c r="AZ19" s="288">
        <f>VLOOKUP(B19,Sheet2!A30:C147,3,FALSE)</f>
        <v>34402</v>
      </c>
      <c r="BA19" s="281">
        <f ca="1">DATEDIF(AZ19, TODAY(),"y")</f>
        <v>31</v>
      </c>
      <c r="BB19" s="281"/>
      <c r="BC19" s="281"/>
      <c r="BD19" s="281"/>
      <c r="BE19" s="281"/>
      <c r="BF19" s="289"/>
      <c r="BG19" s="289"/>
      <c r="BH19" s="289"/>
      <c r="BI19" s="289"/>
      <c r="BJ19" s="289"/>
      <c r="BK19" s="289"/>
      <c r="BL19" s="288" t="str">
        <f>VLOOKUP(B19,Sheet2!A30:D147,4,FALSE)</f>
        <v>Dosen</v>
      </c>
      <c r="BM19" s="281"/>
      <c r="BN19" s="281"/>
      <c r="BO19" s="281"/>
      <c r="BP19" s="281"/>
      <c r="BQ19" s="281"/>
      <c r="BR19" s="288" t="str">
        <f>VLOOKUP(B19,Sheet2!A30:E147,5,FALSE)</f>
        <v>Data Science and Intelligent Systems (DSIS)</v>
      </c>
      <c r="BS19" s="288" t="str">
        <f>VLOOKUP(B19,Sheet2!A30:F147,6,FALSE)</f>
        <v>DWX</v>
      </c>
      <c r="BT19" s="288" t="str">
        <f>VLOOKUP(B19,Sheet2!A30:G147,7,FALSE)</f>
        <v>Fakultas Informatika</v>
      </c>
      <c r="BU19" s="288" t="str">
        <f>VLOOKUP(B19,Sheet2!A30:H147,8,FALSE)</f>
        <v>dewirahmawati@telkomuniversity.ac.id</v>
      </c>
      <c r="BV19" s="280">
        <f>COUNTIFS('Join TPA Dosen'!B:B,Dosen!B19)</f>
        <v>1</v>
      </c>
      <c r="BW19" s="273" t="str">
        <f>DATEDIF(AM19,DATE(2026,1,1),"y")&amp;" tahun "&amp;DATEDIF(AM19,DATE(2026,1,1),"ym")&amp;" bulan "</f>
        <v xml:space="preserve">7 tahun 6 bulan </v>
      </c>
      <c r="BX19" s="280" t="str">
        <f>VLOOKUP($B19,Sheet1!$A:$G,2,FALSE)</f>
        <v>Universitas Islam Negeri Maulana Malik Ibrahim Malang</v>
      </c>
      <c r="BY19" s="280" t="str">
        <f>VLOOKUP($B19,Sheet1!$A:$G,3,FALSE)</f>
        <v>Teknik Informatika</v>
      </c>
      <c r="BZ19" s="280" t="str">
        <f>VLOOKUP($B19,Sheet1!$A:$G,4,FALSE)</f>
        <v>ITS</v>
      </c>
      <c r="CA19" s="280" t="str">
        <f>VLOOKUP($B19,Sheet1!$A:$G,5,FALSE)</f>
        <v>Teknik Informatika</v>
      </c>
      <c r="CB19" s="280" t="str">
        <f>VLOOKUP($B19,Sheet1!$A:$G,6,FALSE)</f>
        <v>ITS</v>
      </c>
      <c r="CC19" s="280" t="str">
        <f>VLOOKUP($B19,Sheet1!$A:$G,7,FALSE)</f>
        <v>Ilmu Komputer</v>
      </c>
      <c r="CD19" s="280" t="s">
        <v>882</v>
      </c>
      <c r="CE19" s="280" t="s">
        <v>903</v>
      </c>
    </row>
    <row r="20" spans="1:83" ht="23.25" customHeight="1">
      <c r="A20" s="281">
        <v>31</v>
      </c>
      <c r="B20" s="281" t="s">
        <v>106</v>
      </c>
      <c r="C20" s="281" t="s">
        <v>20</v>
      </c>
      <c r="D20" s="281" t="s">
        <v>107</v>
      </c>
      <c r="E20" s="281">
        <v>25920026</v>
      </c>
      <c r="F20" s="281" t="s">
        <v>958</v>
      </c>
      <c r="G20" s="282" t="s">
        <v>108</v>
      </c>
      <c r="H20" s="301" t="s">
        <v>845</v>
      </c>
      <c r="I20" s="281" t="s">
        <v>30</v>
      </c>
      <c r="J20" s="281" t="s">
        <v>57</v>
      </c>
      <c r="K20" s="281" t="s">
        <v>846</v>
      </c>
      <c r="L20" s="281" t="s">
        <v>847</v>
      </c>
      <c r="M20" s="283" t="str">
        <f>IF(L20="NJAD","AA",IF(L20="AA","L",IF(L20="L","LK","GB")))</f>
        <v>L</v>
      </c>
      <c r="N20" s="282" t="s">
        <v>511</v>
      </c>
      <c r="O20" s="281">
        <v>150</v>
      </c>
      <c r="P20" s="281" t="s">
        <v>959</v>
      </c>
      <c r="Q20" s="284">
        <v>43999</v>
      </c>
      <c r="R20" s="281" t="str">
        <f ca="1">DATEDIF(Q20,TODAY(), "Y") &amp; " Tahun " &amp; DATEDIF(Q20, TODAY(), "YM") &amp; " Bulan"</f>
        <v>5 Tahun 7 Bulan</v>
      </c>
      <c r="S20" s="281" t="s">
        <v>849</v>
      </c>
      <c r="T20" s="285">
        <v>44044</v>
      </c>
      <c r="U20" s="281" t="str">
        <f ca="1">DATEDIF(T20,TODAY(), "Y") &amp; " Tahun " &amp; DATEDIF(T20, TODAY(), "YM") &amp; " Bulan"</f>
        <v>5 Tahun 5 Bulan</v>
      </c>
      <c r="V20" s="281" t="s">
        <v>960</v>
      </c>
      <c r="W20" s="281" t="s">
        <v>851</v>
      </c>
      <c r="X20" s="283" t="str">
        <f ca="1">IF(AND(OR(L20="AA",L20="L"),OR(S20="Penata Muda Tk. I Golongan III/b",S20="Penata Golongan III/c"),DATEDIF(Q20,TODAY(),"m")&gt;=23,ISBLANK(Z20),C20="Aktif"),"Nominasi Serdos","-")</f>
        <v>-</v>
      </c>
      <c r="Y20" s="281"/>
      <c r="Z20" s="281" t="s">
        <v>852</v>
      </c>
      <c r="AA20" s="281">
        <v>22107201905491</v>
      </c>
      <c r="AB20" s="281" t="s">
        <v>961</v>
      </c>
      <c r="AC20" s="285">
        <v>44846</v>
      </c>
      <c r="AD20" s="281" t="s">
        <v>30</v>
      </c>
      <c r="AE20" s="281" t="s">
        <v>30</v>
      </c>
      <c r="AF20" s="281" t="s">
        <v>30</v>
      </c>
      <c r="AG20" s="281" t="s">
        <v>30</v>
      </c>
      <c r="AH20" s="281" t="s">
        <v>854</v>
      </c>
      <c r="AI20" s="281" t="s">
        <v>30</v>
      </c>
      <c r="AJ20" s="281" t="s">
        <v>30</v>
      </c>
      <c r="AK20" s="281" t="s">
        <v>30</v>
      </c>
      <c r="AM20" s="286">
        <v>43282</v>
      </c>
      <c r="AN20" s="287" t="str">
        <f ca="1">DATEDIF(AM20,TODAY(),"y")&amp;" tahun "&amp;DATEDIF(AM20,TODAY(),"ym")&amp;" bulan "</f>
        <v xml:space="preserve">7 tahun 6 bulan </v>
      </c>
      <c r="AO20" s="281" t="s">
        <v>858</v>
      </c>
      <c r="AP20" s="281" t="s">
        <v>962</v>
      </c>
      <c r="AQ20" s="281" t="s">
        <v>963</v>
      </c>
      <c r="AR20" s="281" t="s">
        <v>109</v>
      </c>
      <c r="AS20" s="281">
        <v>82245510526</v>
      </c>
      <c r="AT20" s="281" t="s">
        <v>110</v>
      </c>
      <c r="AU20" s="281" t="s">
        <v>30</v>
      </c>
      <c r="AV20" s="281"/>
      <c r="AW20" s="281" t="str">
        <f>VLOOKUP(B20,Sheet2!A32:I149,9,FALSE)</f>
        <v>Ardian Yusuf Wicaksono, S.Kom., M.Kom.</v>
      </c>
      <c r="AX20" s="281" t="s">
        <v>861</v>
      </c>
      <c r="AY20" s="281" t="str">
        <f>VLOOKUP(B20,Sheet2!A32:C149,2,FALSE)</f>
        <v>Nganjuk</v>
      </c>
      <c r="AZ20" s="288">
        <f>VLOOKUP(B20,Sheet2!A32:C149,3,FALSE)</f>
        <v>33874</v>
      </c>
      <c r="BA20" s="281">
        <f ca="1">DATEDIF(AZ20, TODAY(),"y")</f>
        <v>33</v>
      </c>
      <c r="BB20" s="281"/>
      <c r="BC20" s="281"/>
      <c r="BD20" s="281"/>
      <c r="BE20" s="281"/>
      <c r="BF20" s="289"/>
      <c r="BG20" s="289"/>
      <c r="BH20" s="289"/>
      <c r="BI20" s="289"/>
      <c r="BJ20" s="289"/>
      <c r="BK20" s="289"/>
      <c r="BL20" s="288" t="str">
        <f>VLOOKUP(B20,Sheet2!A32:D149,4,FALSE)</f>
        <v>Kabag</v>
      </c>
      <c r="BM20" s="281"/>
      <c r="BN20" s="281"/>
      <c r="BO20" s="281"/>
      <c r="BP20" s="281"/>
      <c r="BQ20" s="281"/>
      <c r="BR20" s="288" t="str">
        <f>VLOOKUP(B20,Sheet2!A32:E149,5,FALSE)</f>
        <v>Data Science and Intelligent Systems (DSIS)</v>
      </c>
      <c r="BS20" s="288" t="str">
        <f>VLOOKUP(B20,Sheet2!A32:F149,6,FALSE)</f>
        <v>CAK</v>
      </c>
      <c r="BT20" s="288" t="str">
        <f>VLOOKUP(B20,Sheet2!A32:G149,7,FALSE)</f>
        <v>Fakultas Informatika</v>
      </c>
      <c r="BU20" s="288" t="str">
        <f>VLOOKUP(B20,Sheet2!A32:H149,8,FALSE)</f>
        <v>ardianyw@telkomuniversity.ac.id</v>
      </c>
      <c r="BV20" s="280">
        <f>COUNTIFS('Join TPA Dosen'!B:B,Dosen!B4)</f>
        <v>1</v>
      </c>
      <c r="BW20" s="273" t="str">
        <f>DATEDIF(AM20,DATE(2026,1,1),"y")&amp;" tahun "&amp;DATEDIF(AM20,DATE(2026,1,1),"ym")&amp;" bulan "</f>
        <v xml:space="preserve">7 tahun 6 bulan </v>
      </c>
      <c r="BX20" s="280" t="str">
        <f>VLOOKUP($B20,Sheet1!$A:$G,2,FALSE)</f>
        <v>ITS</v>
      </c>
      <c r="BY20" s="280" t="str">
        <f>VLOOKUP($B20,Sheet1!$A:$G,3,FALSE)</f>
        <v>Teknologi Informasi/Teknik Informatika</v>
      </c>
      <c r="BZ20" s="280" t="str">
        <f>VLOOKUP($B20,Sheet1!$A:$G,4,FALSE)</f>
        <v>ITS</v>
      </c>
      <c r="CA20" s="280" t="str">
        <f>VLOOKUP($B20,Sheet1!$A:$G,5,FALSE)</f>
        <v>Teknologi Informasi/Teknik Informatika</v>
      </c>
      <c r="CB20" s="280" t="str">
        <f>VLOOKUP($B20,Sheet1!$A:$G,6,FALSE)</f>
        <v>-</v>
      </c>
      <c r="CC20" s="280">
        <f>VLOOKUP($B20,Sheet1!$A:$G,7,FALSE)</f>
        <v>0</v>
      </c>
      <c r="CD20" s="280" t="s">
        <v>862</v>
      </c>
      <c r="CE20" s="280" t="s">
        <v>903</v>
      </c>
    </row>
    <row r="21" spans="1:83" ht="21.75" customHeight="1">
      <c r="A21" s="281">
        <v>33</v>
      </c>
      <c r="B21" s="281" t="s">
        <v>382</v>
      </c>
      <c r="C21" s="281" t="s">
        <v>20</v>
      </c>
      <c r="D21" s="281" t="s">
        <v>370</v>
      </c>
      <c r="E21" s="281">
        <v>20930036</v>
      </c>
      <c r="F21" s="281" t="s">
        <v>964</v>
      </c>
      <c r="G21" s="282" t="s">
        <v>383</v>
      </c>
      <c r="H21" s="281" t="s">
        <v>845</v>
      </c>
      <c r="I21" s="281" t="s">
        <v>30</v>
      </c>
      <c r="J21" s="281" t="s">
        <v>176</v>
      </c>
      <c r="K21" s="281" t="s">
        <v>893</v>
      </c>
      <c r="L21" s="281" t="s">
        <v>775</v>
      </c>
      <c r="M21" s="283" t="str">
        <f>IF(L21="NJAD","AA",IF(L21="AA","L",IF(L21="L","LK","GB")))</f>
        <v>LK</v>
      </c>
      <c r="N21" s="282" t="s">
        <v>511</v>
      </c>
      <c r="O21" s="281">
        <v>200</v>
      </c>
      <c r="P21" s="281" t="s">
        <v>965</v>
      </c>
      <c r="Q21" s="284">
        <v>44927</v>
      </c>
      <c r="R21" s="281" t="str">
        <f ca="1">DATEDIF(Q21,TODAY(), "Y") &amp; " Tahun " &amp; DATEDIF(Q21, TODAY(), "YM") &amp; " Bulan"</f>
        <v>3 Tahun 0 Bulan</v>
      </c>
      <c r="S21" s="281" t="s">
        <v>876</v>
      </c>
      <c r="T21" s="285">
        <v>45047</v>
      </c>
      <c r="U21" s="281" t="str">
        <f ca="1">DATEDIF(T21,TODAY(), "Y") &amp; " Tahun " &amp; DATEDIF(T21, TODAY(), "YM") &amp; " Bulan"</f>
        <v>2 Tahun 8 Bulan</v>
      </c>
      <c r="V21" s="281" t="s">
        <v>966</v>
      </c>
      <c r="W21" s="281" t="s">
        <v>851</v>
      </c>
      <c r="X21" s="283" t="str">
        <f ca="1">IF(AND(OR(L21="AA",L21="L"),OR(S21="Penata Muda Tk. I Golongan III/b",S21="Penata Golongan III/c"),DATEDIF(Q21,TODAY(),"m")&gt;=23,ISBLANK(Z21),C21="Aktif"),"Nominasi Serdos","-")</f>
        <v>-</v>
      </c>
      <c r="Y21" s="281"/>
      <c r="Z21" s="281" t="s">
        <v>852</v>
      </c>
      <c r="AA21" s="281">
        <v>22107201902709</v>
      </c>
      <c r="AB21" s="281" t="s">
        <v>967</v>
      </c>
      <c r="AC21" s="285">
        <v>44783</v>
      </c>
      <c r="AD21" s="281" t="s">
        <v>30</v>
      </c>
      <c r="AE21" s="281" t="s">
        <v>30</v>
      </c>
      <c r="AF21" s="281" t="s">
        <v>30</v>
      </c>
      <c r="AG21" s="281" t="s">
        <v>30</v>
      </c>
      <c r="AH21" s="281" t="s">
        <v>854</v>
      </c>
      <c r="AI21" s="281" t="s">
        <v>855</v>
      </c>
      <c r="AJ21" s="281" t="s">
        <v>856</v>
      </c>
      <c r="AK21" s="281" t="s">
        <v>855</v>
      </c>
      <c r="AM21" s="286">
        <v>43282</v>
      </c>
      <c r="AN21" s="287" t="str">
        <f ca="1">DATEDIF(AM21,TODAY(),"y")&amp;" tahun "&amp;DATEDIF(AM21,TODAY(),"ym")&amp;" bulan "</f>
        <v xml:space="preserve">7 tahun 6 bulan </v>
      </c>
      <c r="AO21" s="281" t="s">
        <v>868</v>
      </c>
      <c r="AP21" s="281" t="s">
        <v>968</v>
      </c>
      <c r="AQ21" s="281" t="s">
        <v>969</v>
      </c>
      <c r="AR21" s="281" t="s">
        <v>384</v>
      </c>
      <c r="AS21" s="281">
        <v>81221804899</v>
      </c>
      <c r="AT21" s="281" t="s">
        <v>385</v>
      </c>
      <c r="AU21" s="281" t="s">
        <v>30</v>
      </c>
      <c r="AV21" s="281"/>
      <c r="AW21" s="281" t="str">
        <f>VLOOKUP(B21,Sheet2!A34:I151,9,FALSE)</f>
        <v>Rizqa Amelia Zunaidi, S.T., M.T.</v>
      </c>
      <c r="AX21" s="281" t="s">
        <v>902</v>
      </c>
      <c r="AY21" s="281" t="str">
        <f>VLOOKUP(B21,Sheet2!A34:C151,2,FALSE)</f>
        <v>Bojonegoro</v>
      </c>
      <c r="AZ21" s="288">
        <f>VLOOKUP(B21,Sheet2!A34:C151,3,FALSE)</f>
        <v>34131</v>
      </c>
      <c r="BA21" s="281">
        <f ca="1">DATEDIF(AZ21, TODAY(),"y")</f>
        <v>32</v>
      </c>
      <c r="BB21" s="281"/>
      <c r="BC21" s="281"/>
      <c r="BD21" s="281"/>
      <c r="BE21" s="281"/>
      <c r="BF21" s="289"/>
      <c r="BG21" s="289"/>
      <c r="BH21" s="289"/>
      <c r="BI21" s="289"/>
      <c r="BJ21" s="289"/>
      <c r="BK21" s="289"/>
      <c r="BL21" s="288" t="str">
        <f>VLOOKUP(B21,Sheet2!A34:D151,4,FALSE)</f>
        <v>Dosen</v>
      </c>
      <c r="BM21" s="281"/>
      <c r="BN21" s="281"/>
      <c r="BO21" s="281"/>
      <c r="BP21" s="281"/>
      <c r="BQ21" s="281"/>
      <c r="BR21" s="288" t="str">
        <f>VLOOKUP(B21,Sheet2!A34:E151,5,FALSE)</f>
        <v>Engineering Management System</v>
      </c>
      <c r="BS21" s="288" t="str">
        <f>VLOOKUP(B21,Sheet2!A34:F151,6,FALSE)</f>
        <v>ZQA</v>
      </c>
      <c r="BT21" s="288" t="str">
        <f>VLOOKUP(B21,Sheet2!A34:G151,7,FALSE)</f>
        <v>Fakultas Rekayasa Industri</v>
      </c>
      <c r="BU21" s="288" t="str">
        <f>VLOOKUP(B21,Sheet2!A34:H151,8,FALSE)</f>
        <v>rizqazunaidi@telkomuniversity.ac.id</v>
      </c>
      <c r="BV21" s="280">
        <f>COUNTIFS('Join TPA Dosen'!B:B,Dosen!B44)</f>
        <v>1</v>
      </c>
      <c r="BW21" s="273" t="str">
        <f>DATEDIF(AM21,DATE(2026,1,1),"y")&amp;" tahun "&amp;DATEDIF(AM21,DATE(2026,1,1),"ym")&amp;" bulan "</f>
        <v xml:space="preserve">7 tahun 6 bulan </v>
      </c>
      <c r="BX21" s="280" t="str">
        <f>VLOOKUP($B21,Sheet1!$A:$G,2,FALSE)</f>
        <v>ITB</v>
      </c>
      <c r="BY21" s="280" t="str">
        <f>VLOOKUP($B21,Sheet1!$A:$G,3,FALSE)</f>
        <v>Manajemen Rekayasa Industri</v>
      </c>
      <c r="BZ21" s="280" t="str">
        <f>VLOOKUP($B21,Sheet1!$A:$G,4,FALSE)</f>
        <v>ITB</v>
      </c>
      <c r="CA21" s="280" t="str">
        <f>VLOOKUP($B21,Sheet1!$A:$G,5,FALSE)</f>
        <v>Teknik dan Manajemen Industri</v>
      </c>
      <c r="CB21" s="280" t="str">
        <f>VLOOKUP($B21,Sheet1!$A:$G,6,FALSE)</f>
        <v>-</v>
      </c>
      <c r="CC21" s="280">
        <f>VLOOKUP($B21,Sheet1!$A:$G,7,FALSE)</f>
        <v>0</v>
      </c>
      <c r="CD21" s="280" t="s">
        <v>871</v>
      </c>
      <c r="CE21" s="280" t="s">
        <v>863</v>
      </c>
    </row>
    <row r="22" spans="1:83" ht="19.5">
      <c r="A22" s="281">
        <v>34</v>
      </c>
      <c r="B22" s="281" t="s">
        <v>55</v>
      </c>
      <c r="C22" s="281" t="s">
        <v>20</v>
      </c>
      <c r="D22" s="281" t="s">
        <v>22</v>
      </c>
      <c r="E22" s="281">
        <v>20860014</v>
      </c>
      <c r="F22" s="281" t="s">
        <v>970</v>
      </c>
      <c r="G22" s="282" t="s">
        <v>56</v>
      </c>
      <c r="H22" s="281" t="s">
        <v>845</v>
      </c>
      <c r="I22" s="281" t="s">
        <v>30</v>
      </c>
      <c r="J22" s="281" t="s">
        <v>57</v>
      </c>
      <c r="K22" s="281" t="s">
        <v>893</v>
      </c>
      <c r="L22" s="281" t="s">
        <v>775</v>
      </c>
      <c r="M22" s="283" t="str">
        <f>IF(L22="NJAD","AA",IF(L22="AA","L",IF(L22="L","LK","GB")))</f>
        <v>LK</v>
      </c>
      <c r="N22" s="282" t="s">
        <v>511</v>
      </c>
      <c r="O22" s="281">
        <v>200</v>
      </c>
      <c r="P22" s="281" t="s">
        <v>971</v>
      </c>
      <c r="Q22" s="284">
        <v>44428</v>
      </c>
      <c r="R22" s="281" t="str">
        <f ca="1">DATEDIF(Q22,TODAY(), "Y") &amp; " Tahun " &amp; DATEDIF(Q22, TODAY(), "YM") &amp; " Bulan"</f>
        <v>4 Tahun 4 Bulan</v>
      </c>
      <c r="S22" s="281" t="s">
        <v>876</v>
      </c>
      <c r="T22" s="285">
        <v>45047</v>
      </c>
      <c r="U22" s="281" t="str">
        <f ca="1">DATEDIF(T22,TODAY(), "Y") &amp; " Tahun " &amp; DATEDIF(T22, TODAY(), "YM") &amp; " Bulan"</f>
        <v>2 Tahun 8 Bulan</v>
      </c>
      <c r="V22" s="281" t="s">
        <v>850</v>
      </c>
      <c r="W22" s="281" t="s">
        <v>851</v>
      </c>
      <c r="X22" s="283" t="str">
        <f ca="1">IF(AND(OR(L22="AA",L22="L"),OR(S22="Penata Muda Tk. I Golongan III/b",S22="Penata Golongan III/c"),DATEDIF(Q22,TODAY(),"m")&gt;=23,ISBLANK(Z22),C22="Aktif"),"Nominasi Serdos","-")</f>
        <v>-</v>
      </c>
      <c r="Y22" s="281"/>
      <c r="Z22" s="281" t="s">
        <v>852</v>
      </c>
      <c r="AA22" s="281">
        <v>18107200206321</v>
      </c>
      <c r="AB22" s="290">
        <v>1800100000000000</v>
      </c>
      <c r="AC22" s="285">
        <v>43224</v>
      </c>
      <c r="AD22" s="281" t="s">
        <v>30</v>
      </c>
      <c r="AE22" s="281" t="s">
        <v>30</v>
      </c>
      <c r="AF22" s="281" t="s">
        <v>30</v>
      </c>
      <c r="AG22" s="281" t="s">
        <v>30</v>
      </c>
      <c r="AH22" s="281" t="s">
        <v>854</v>
      </c>
      <c r="AI22" s="281" t="s">
        <v>855</v>
      </c>
      <c r="AJ22" s="281" t="s">
        <v>897</v>
      </c>
      <c r="AK22" s="281" t="s">
        <v>898</v>
      </c>
      <c r="AL22" s="281" t="s">
        <v>899</v>
      </c>
      <c r="AM22" s="286">
        <v>43282</v>
      </c>
      <c r="AN22" s="287" t="str">
        <f ca="1">DATEDIF(AM22,TODAY(),"y")&amp;" tahun "&amp;DATEDIF(AM22,TODAY(),"ym")&amp;" bulan "</f>
        <v xml:space="preserve">7 tahun 6 bulan </v>
      </c>
      <c r="AO22" s="281" t="s">
        <v>858</v>
      </c>
      <c r="AP22" s="281" t="s">
        <v>859</v>
      </c>
      <c r="AQ22" s="281" t="s">
        <v>972</v>
      </c>
      <c r="AR22" s="281" t="s">
        <v>58</v>
      </c>
      <c r="AS22" s="281">
        <v>81325019978</v>
      </c>
      <c r="AT22" s="281" t="s">
        <v>59</v>
      </c>
      <c r="AU22" s="281" t="s">
        <v>30</v>
      </c>
      <c r="AV22" s="281"/>
      <c r="AW22" s="281" t="str">
        <f>VLOOKUP(B22,Sheet2!A35:I152,9,FALSE)</f>
        <v>Titus Kristanto, S.Kom., M.Kom.</v>
      </c>
      <c r="AX22" s="281" t="s">
        <v>861</v>
      </c>
      <c r="AY22" s="281" t="str">
        <f>VLOOKUP(B22,Sheet2!A35:C152,2,FALSE)</f>
        <v>Surabaya</v>
      </c>
      <c r="AZ22" s="288">
        <f>VLOOKUP(B22,Sheet2!A35:C152,3,FALSE)</f>
        <v>31453</v>
      </c>
      <c r="BA22" s="281">
        <f ca="1">DATEDIF(AZ22, TODAY(),"y")</f>
        <v>39</v>
      </c>
      <c r="BB22" s="281"/>
      <c r="BC22" s="281"/>
      <c r="BD22" s="281"/>
      <c r="BE22" s="281"/>
      <c r="BF22" s="289"/>
      <c r="BG22" s="289"/>
      <c r="BH22" s="289"/>
      <c r="BI22" s="289"/>
      <c r="BJ22" s="289"/>
      <c r="BK22" s="289"/>
      <c r="BL22" s="288" t="str">
        <f>VLOOKUP(B22,Sheet2!A35:D152,4,FALSE)</f>
        <v>Dosen</v>
      </c>
      <c r="BM22" s="281"/>
      <c r="BN22" s="281"/>
      <c r="BO22" s="281"/>
      <c r="BP22" s="281"/>
      <c r="BQ22" s="281"/>
      <c r="BR22" s="288" t="str">
        <f>VLOOKUP(B22,Sheet2!A35:E152,5,FALSE)</f>
        <v>ICT Business Management (IBM)</v>
      </c>
      <c r="BS22" s="288" t="str">
        <f>VLOOKUP(B22,Sheet2!A35:F152,6,FALSE)</f>
        <v>TTK</v>
      </c>
      <c r="BT22" s="288" t="str">
        <f>VLOOKUP(B22,Sheet2!A35:G152,7,FALSE)</f>
        <v>Fakultas Ekonomi dan Bisnis</v>
      </c>
      <c r="BU22" s="288" t="str">
        <f>VLOOKUP(B22,Sheet2!A35:H152,8,FALSE)</f>
        <v>tituskristanto@telkomuniversity.ac.id</v>
      </c>
      <c r="BV22" s="280">
        <f>COUNTIFS('Join TPA Dosen'!B:B,Dosen!B76)</f>
        <v>1</v>
      </c>
      <c r="BW22" s="273" t="str">
        <f>DATEDIF(AM22,DATE(2026,1,1),"y")&amp;" tahun "&amp;DATEDIF(AM22,DATE(2026,1,1),"ym")&amp;" bulan "</f>
        <v xml:space="preserve">7 tahun 6 bulan </v>
      </c>
      <c r="BX22" s="280" t="str">
        <f>VLOOKUP($B22,Sheet1!$A:$G,2,FALSE)</f>
        <v>UNTAG</v>
      </c>
      <c r="BY22" s="280" t="str">
        <f>VLOOKUP($B22,Sheet1!$A:$G,3,FALSE)</f>
        <v>Teknik/Teknik Informatika</v>
      </c>
      <c r="BZ22" s="280" t="str">
        <f>VLOOKUP($B22,Sheet1!$A:$G,4,FALSE)</f>
        <v>ITS</v>
      </c>
      <c r="CA22" s="280" t="str">
        <f>VLOOKUP($B22,Sheet1!$A:$G,5,FALSE)</f>
        <v>Teknik Informatika - Sistem Informasi</v>
      </c>
      <c r="CB22" s="280" t="str">
        <f>VLOOKUP($B22,Sheet1!$A:$G,6,FALSE)</f>
        <v>ITS</v>
      </c>
      <c r="CC22" s="280" t="str">
        <f>VLOOKUP($B22,Sheet1!$A:$G,7,FALSE)</f>
        <v>Ilmu Komputer</v>
      </c>
      <c r="CD22" s="280" t="s">
        <v>871</v>
      </c>
      <c r="CE22" s="280" t="s">
        <v>863</v>
      </c>
    </row>
    <row r="23" spans="1:83" ht="19.5">
      <c r="A23" s="281">
        <v>35</v>
      </c>
      <c r="B23" s="281" t="s">
        <v>422</v>
      </c>
      <c r="C23" s="281" t="s">
        <v>20</v>
      </c>
      <c r="D23" s="281" t="s">
        <v>413</v>
      </c>
      <c r="E23" s="281">
        <v>20830012</v>
      </c>
      <c r="F23" s="281" t="s">
        <v>973</v>
      </c>
      <c r="G23" s="282" t="s">
        <v>423</v>
      </c>
      <c r="H23" s="281" t="s">
        <v>845</v>
      </c>
      <c r="I23" s="281" t="s">
        <v>30</v>
      </c>
      <c r="J23" s="281" t="s">
        <v>424</v>
      </c>
      <c r="K23" s="281" t="s">
        <v>846</v>
      </c>
      <c r="L23" s="281" t="s">
        <v>847</v>
      </c>
      <c r="M23" s="283" t="str">
        <f>IF(L23="NJAD","AA",IF(L23="AA","L",IF(L23="L","LK","GB")))</f>
        <v>L</v>
      </c>
      <c r="N23" s="282" t="s">
        <v>511</v>
      </c>
      <c r="O23" s="281">
        <v>150</v>
      </c>
      <c r="P23" s="281" t="s">
        <v>974</v>
      </c>
      <c r="Q23" s="284">
        <v>45870</v>
      </c>
      <c r="R23" s="281" t="str">
        <f ca="1">DATEDIF(Q23,TODAY(), "Y") &amp; " Tahun " &amp; DATEDIF(Q23, TODAY(), "YM") &amp; " Bulan"</f>
        <v>0 Tahun 5 Bulan</v>
      </c>
      <c r="S23" s="281" t="s">
        <v>849</v>
      </c>
      <c r="T23" s="285">
        <v>45992</v>
      </c>
      <c r="U23" s="281" t="str">
        <f ca="1">DATEDIF(T23,TODAY(), "Y") &amp; " Tahun " &amp; DATEDIF(T23, TODAY(), "YM") &amp; " Bulan"</f>
        <v>0 Tahun 1 Bulan</v>
      </c>
      <c r="V23" s="281" t="s">
        <v>938</v>
      </c>
      <c r="W23" s="281" t="s">
        <v>851</v>
      </c>
      <c r="X23" s="283" t="str">
        <f ca="1">IF(AND(OR(L23="AA",L23="L"),OR(S23="Penata Muda Tk. I Golongan III/b",S23="Penata Golongan III/c"),DATEDIF(Q23,TODAY(),"m")&gt;=23,ISBLANK(Z23),C23="Aktif"),"Nominasi Serdos","-")</f>
        <v>-</v>
      </c>
      <c r="Y23" s="281"/>
      <c r="Z23" s="282"/>
      <c r="AA23" s="281"/>
      <c r="AB23" s="281" t="s">
        <v>30</v>
      </c>
      <c r="AC23" s="282" t="s">
        <v>511</v>
      </c>
      <c r="AD23" s="281" t="s">
        <v>30</v>
      </c>
      <c r="AE23" s="281" t="s">
        <v>30</v>
      </c>
      <c r="AF23" s="281" t="s">
        <v>30</v>
      </c>
      <c r="AG23" s="281" t="s">
        <v>30</v>
      </c>
      <c r="AH23" s="281" t="s">
        <v>854</v>
      </c>
      <c r="AI23" s="281" t="s">
        <v>30</v>
      </c>
      <c r="AJ23" s="281" t="s">
        <v>30</v>
      </c>
      <c r="AK23" s="281" t="s">
        <v>30</v>
      </c>
      <c r="AM23" s="286">
        <v>43282</v>
      </c>
      <c r="AN23" s="287" t="str">
        <f ca="1">DATEDIF(AM23,TODAY(),"y")&amp;" tahun "&amp;DATEDIF(AM23,TODAY(),"ym")&amp;" bulan "</f>
        <v xml:space="preserve">7 tahun 6 bulan </v>
      </c>
      <c r="AO23" s="281" t="s">
        <v>868</v>
      </c>
      <c r="AP23" s="281" t="s">
        <v>939</v>
      </c>
      <c r="AQ23" s="281" t="s">
        <v>975</v>
      </c>
      <c r="AR23" s="281" t="s">
        <v>425</v>
      </c>
      <c r="AS23" s="281">
        <v>85258754375</v>
      </c>
      <c r="AT23" s="281" t="s">
        <v>426</v>
      </c>
      <c r="AU23" s="281" t="s">
        <v>30</v>
      </c>
      <c r="AV23" s="281"/>
      <c r="AW23" s="281" t="str">
        <f>VLOOKUP(B23,Sheet2!A36:I153,9,FALSE)</f>
        <v>Pangestu Widodo, S.T., M.Kom.</v>
      </c>
      <c r="AX23" s="281" t="s">
        <v>861</v>
      </c>
      <c r="AY23" s="281" t="str">
        <f>VLOOKUP(B23,Sheet2!A36:C153,2,FALSE)</f>
        <v>Malang</v>
      </c>
      <c r="AZ23" s="288">
        <f>VLOOKUP(B23,Sheet2!A36:C153,3,FALSE)</f>
        <v>30457</v>
      </c>
      <c r="BA23" s="281">
        <f ca="1">DATEDIF(AZ23, TODAY(),"y")</f>
        <v>42</v>
      </c>
      <c r="BB23" s="281"/>
      <c r="BC23" s="281"/>
      <c r="BD23" s="281"/>
      <c r="BE23" s="281"/>
      <c r="BF23" s="289"/>
      <c r="BG23" s="289"/>
      <c r="BH23" s="289"/>
      <c r="BI23" s="289"/>
      <c r="BJ23" s="289"/>
      <c r="BK23" s="289"/>
      <c r="BL23" s="288" t="str">
        <f>VLOOKUP(B23,Sheet2!A36:D153,4,FALSE)</f>
        <v>Dosen</v>
      </c>
      <c r="BM23" s="281"/>
      <c r="BN23" s="281"/>
      <c r="BO23" s="281"/>
      <c r="BP23" s="281"/>
      <c r="BQ23" s="281"/>
      <c r="BR23" s="288" t="str">
        <f>VLOOKUP(B23,Sheet2!A36:E153,5,FALSE)</f>
        <v>Signal Processing, Information Security, and Computer Engineering (SPICE)</v>
      </c>
      <c r="BS23" s="288" t="str">
        <f>VLOOKUP(B23,Sheet2!A36:F153,6,FALSE)</f>
        <v>PNG</v>
      </c>
      <c r="BT23" s="288" t="str">
        <f>VLOOKUP(B23,Sheet2!A36:G153,7,FALSE)</f>
        <v>Fakultas Teknik Elektro</v>
      </c>
      <c r="BU23" s="288" t="str">
        <f>VLOOKUP(B23,Sheet2!A36:H153,8,FALSE)</f>
        <v>pangestuw@telkomuniversity.ac.id</v>
      </c>
      <c r="BV23" s="280">
        <f>COUNTIFS('Join TPA Dosen'!B:B,Dosen!B36)</f>
        <v>1</v>
      </c>
      <c r="BW23" s="273" t="str">
        <f>DATEDIF(AM23,DATE(2026,1,1),"y")&amp;" tahun "&amp;DATEDIF(AM23,DATE(2026,1,1),"ym")&amp;" bulan "</f>
        <v xml:space="preserve">7 tahun 6 bulan </v>
      </c>
      <c r="BX23" s="280" t="str">
        <f>VLOOKUP($B23,Sheet1!$A:$G,2,FALSE)</f>
        <v>ITB</v>
      </c>
      <c r="BY23" s="280" t="str">
        <f>VLOOKUP($B23,Sheet1!$A:$G,3,FALSE)</f>
        <v>Teknik Informatika</v>
      </c>
      <c r="BZ23" s="280" t="str">
        <f>VLOOKUP($B23,Sheet1!$A:$G,4,FALSE)</f>
        <v>ITS</v>
      </c>
      <c r="CA23" s="280" t="str">
        <f>VLOOKUP($B23,Sheet1!$A:$G,5,FALSE)</f>
        <v>Teknik Informatika</v>
      </c>
      <c r="CB23" s="280" t="str">
        <f>VLOOKUP($B23,Sheet1!$A:$G,6,FALSE)</f>
        <v>-</v>
      </c>
      <c r="CC23" s="280">
        <f>VLOOKUP($B23,Sheet1!$A:$G,7,FALSE)</f>
        <v>0</v>
      </c>
      <c r="CD23" s="280" t="s">
        <v>862</v>
      </c>
      <c r="CE23" s="280" t="s">
        <v>903</v>
      </c>
    </row>
    <row r="24" spans="1:83" ht="19.5">
      <c r="A24" s="281">
        <v>36</v>
      </c>
      <c r="B24" s="281" t="s">
        <v>447</v>
      </c>
      <c r="C24" s="281" t="s">
        <v>20</v>
      </c>
      <c r="D24" s="281" t="s">
        <v>448</v>
      </c>
      <c r="E24" s="281">
        <v>19900001</v>
      </c>
      <c r="F24" s="281" t="s">
        <v>976</v>
      </c>
      <c r="G24" s="422" t="s">
        <v>449</v>
      </c>
      <c r="H24" s="281" t="s">
        <v>845</v>
      </c>
      <c r="I24" s="281" t="s">
        <v>30</v>
      </c>
      <c r="J24" s="281" t="s">
        <v>450</v>
      </c>
      <c r="K24" s="281" t="s">
        <v>874</v>
      </c>
      <c r="L24" s="281" t="s">
        <v>775</v>
      </c>
      <c r="M24" s="283" t="str">
        <f>IF(L24="NJAD","AA",IF(L24="AA","L",IF(L24="L","LK","GB")))</f>
        <v>LK</v>
      </c>
      <c r="N24" s="282" t="s">
        <v>511</v>
      </c>
      <c r="O24" s="281">
        <v>200</v>
      </c>
      <c r="P24" s="281" t="s">
        <v>977</v>
      </c>
      <c r="Q24" s="284">
        <v>44032</v>
      </c>
      <c r="R24" s="281" t="str">
        <f ca="1">DATEDIF(Q24,TODAY(), "Y") &amp; " Tahun " &amp; DATEDIF(Q24, TODAY(), "YM") &amp; " Bulan"</f>
        <v>5 Tahun 5 Bulan</v>
      </c>
      <c r="S24" s="281" t="s">
        <v>876</v>
      </c>
      <c r="T24" s="285">
        <v>45047</v>
      </c>
      <c r="U24" s="281" t="str">
        <f ca="1">DATEDIF(T24,TODAY(), "Y") &amp; " Tahun " &amp; DATEDIF(T24, TODAY(), "YM") &amp; " Bulan"</f>
        <v>2 Tahun 8 Bulan</v>
      </c>
      <c r="V24" s="281" t="s">
        <v>978</v>
      </c>
      <c r="W24" s="281" t="s">
        <v>851</v>
      </c>
      <c r="X24" s="283" t="str">
        <f ca="1">IF(AND(OR(L24="AA",L24="L"),OR(S24="Penata Muda Tk. I Golongan III/b",S24="Penata Golongan III/c"),DATEDIF(Q24,TODAY(),"m")&gt;=23,ISBLANK(Z24),C24="Aktif"),"Nominasi Serdos","-")</f>
        <v>-</v>
      </c>
      <c r="Y24" s="281"/>
      <c r="Z24" s="281" t="s">
        <v>852</v>
      </c>
      <c r="AA24" s="281">
        <v>23107201901133</v>
      </c>
      <c r="AB24" s="281" t="s">
        <v>979</v>
      </c>
      <c r="AC24" s="285">
        <v>45085</v>
      </c>
      <c r="AD24" s="281" t="s">
        <v>30</v>
      </c>
      <c r="AE24" s="281" t="s">
        <v>30</v>
      </c>
      <c r="AF24" s="281" t="s">
        <v>30</v>
      </c>
      <c r="AG24" s="281" t="s">
        <v>30</v>
      </c>
      <c r="AH24" s="281" t="s">
        <v>879</v>
      </c>
      <c r="AI24" s="281" t="s">
        <v>30</v>
      </c>
      <c r="AJ24" s="281" t="s">
        <v>30</v>
      </c>
      <c r="AK24" s="281" t="s">
        <v>30</v>
      </c>
      <c r="AM24" s="286">
        <v>43282</v>
      </c>
      <c r="AN24" s="287" t="str">
        <f ca="1">DATEDIF(AM24,TODAY(),"y")&amp;" tahun "&amp;DATEDIF(AM24,TODAY(),"ym")&amp;" bulan "</f>
        <v xml:space="preserve">7 tahun 6 bulan </v>
      </c>
      <c r="AO24" s="281" t="s">
        <v>868</v>
      </c>
      <c r="AP24" s="281" t="s">
        <v>980</v>
      </c>
      <c r="AQ24" s="281" t="s">
        <v>981</v>
      </c>
      <c r="AR24" s="281" t="s">
        <v>451</v>
      </c>
      <c r="AS24" s="281">
        <v>82142628195</v>
      </c>
      <c r="AT24" s="281" t="s">
        <v>452</v>
      </c>
      <c r="AU24" s="281" t="s">
        <v>30</v>
      </c>
      <c r="AV24" s="281"/>
      <c r="AW24" s="281" t="str">
        <f>VLOOKUP(B24,Sheet2!A37:I154,9,FALSE)</f>
        <v>Abduh Sayid Albana, S.T., M.T., M.Sc., Ph.D.</v>
      </c>
      <c r="AX24" s="281" t="s">
        <v>861</v>
      </c>
      <c r="AY24" s="281" t="str">
        <f>VLOOKUP(B24,Sheet2!A37:C154,2,FALSE)</f>
        <v>Pekalongan</v>
      </c>
      <c r="AZ24" s="288">
        <f>VLOOKUP(B24,Sheet2!A37:C154,3,FALSE)</f>
        <v>32934</v>
      </c>
      <c r="BA24" s="281">
        <f ca="1">DATEDIF(AZ24, TODAY(),"y")</f>
        <v>35</v>
      </c>
      <c r="BB24" s="281"/>
      <c r="BC24" s="281"/>
      <c r="BD24" s="281"/>
      <c r="BE24" s="281"/>
      <c r="BF24" s="289"/>
      <c r="BG24" s="289"/>
      <c r="BH24" s="289"/>
      <c r="BI24" s="289"/>
      <c r="BJ24" s="289"/>
      <c r="BK24" s="289"/>
      <c r="BL24" s="288" t="s">
        <v>982</v>
      </c>
      <c r="BM24" s="281"/>
      <c r="BN24" s="281"/>
      <c r="BO24" s="281"/>
      <c r="BP24" s="281"/>
      <c r="BQ24" s="281"/>
      <c r="BR24" s="288" t="str">
        <f>VLOOKUP(B24,Sheet2!A37:E154,5,FALSE)</f>
        <v>Enterprise and Industrial System (EINS)</v>
      </c>
      <c r="BS24" s="288" t="str">
        <f>VLOOKUP(B24,Sheet2!A37:F154,6,FALSE)</f>
        <v>EXE</v>
      </c>
      <c r="BT24" s="288" t="str">
        <f>VLOOKUP(B24,Sheet2!A37:G154,7,FALSE)</f>
        <v>Fakultas Rekayasa Industri</v>
      </c>
      <c r="BU24" s="288" t="str">
        <f>VLOOKUP(B24,Sheet2!A37:H154,8,FALSE)</f>
        <v>abduhalbana@telkomuniversity.ac.id</v>
      </c>
      <c r="BV24" s="280">
        <f>COUNTIFS('Join TPA Dosen'!B:B,Dosen!B3)</f>
        <v>1</v>
      </c>
      <c r="BW24" s="273" t="str">
        <f>DATEDIF(AM24,DATE(2026,1,1),"y")&amp;" tahun "&amp;DATEDIF(AM24,DATE(2026,1,1),"ym")&amp;" bulan "</f>
        <v xml:space="preserve">7 tahun 6 bulan </v>
      </c>
      <c r="BX24" s="280" t="str">
        <f>VLOOKUP($B24,Sheet1!$A:$G,2,FALSE)</f>
        <v>ITS</v>
      </c>
      <c r="BY24" s="280" t="str">
        <f>VLOOKUP($B24,Sheet1!$A:$G,3,FALSE)</f>
        <v>Teknologi Industri/Teknik Industri</v>
      </c>
      <c r="BZ24" s="280" t="str">
        <f>VLOOKUP($B24,Sheet1!$A:$G,4,FALSE)</f>
        <v>ITS &amp; Grenoble INP</v>
      </c>
      <c r="CA24" s="280" t="str">
        <f>VLOOKUP($B24,Sheet1!$A:$G,5,FALSE)</f>
        <v>Teknologi Industri/Teknik Industri; Master Recherche</v>
      </c>
      <c r="CB24" s="280" t="str">
        <f>VLOOKUP($B24,Sheet1!$A:$G,6,FALSE)</f>
        <v>Université Grenoble Alpes</v>
      </c>
      <c r="CC24" s="280" t="str">
        <f>VLOOKUP($B24,Sheet1!$A:$G,7,FALSE)</f>
        <v>Industrial Engineering</v>
      </c>
      <c r="CD24" s="280" t="s">
        <v>871</v>
      </c>
      <c r="CE24" s="280" t="s">
        <v>863</v>
      </c>
    </row>
    <row r="25" spans="1:83" ht="19.5">
      <c r="A25" s="281">
        <v>39</v>
      </c>
      <c r="B25" s="281" t="s">
        <v>523</v>
      </c>
      <c r="C25" s="281" t="s">
        <v>20</v>
      </c>
      <c r="D25" s="281" t="s">
        <v>524</v>
      </c>
      <c r="E25" s="281">
        <v>23929009</v>
      </c>
      <c r="F25" s="281" t="s">
        <v>983</v>
      </c>
      <c r="G25" s="282" t="s">
        <v>525</v>
      </c>
      <c r="H25" s="281" t="s">
        <v>845</v>
      </c>
      <c r="I25" s="281" t="s">
        <v>30</v>
      </c>
      <c r="J25" s="281" t="s">
        <v>57</v>
      </c>
      <c r="K25" s="281" t="s">
        <v>893</v>
      </c>
      <c r="L25" s="281" t="s">
        <v>775</v>
      </c>
      <c r="M25" s="283" t="str">
        <f>IF(L25="NJAD","AA",IF(L25="AA","L",IF(L25="L","LK","GB")))</f>
        <v>LK</v>
      </c>
      <c r="N25" s="292"/>
      <c r="O25" s="281">
        <v>200</v>
      </c>
      <c r="P25" s="281" t="s">
        <v>984</v>
      </c>
      <c r="Q25" s="284">
        <v>45931</v>
      </c>
      <c r="R25" s="281" t="str">
        <f ca="1">DATEDIF(Q25,TODAY(), "Y") &amp; " Tahun " &amp; DATEDIF(Q25, TODAY(), "YM") &amp; " Bulan"</f>
        <v>0 Tahun 3 Bulan</v>
      </c>
      <c r="S25" s="281" t="s">
        <v>876</v>
      </c>
      <c r="T25" s="285">
        <v>46023</v>
      </c>
      <c r="U25" s="281" t="str">
        <f ca="1">DATEDIF(T25,TODAY(), "Y") &amp; " Tahun " &amp; DATEDIF(T25, TODAY(), "YM") &amp; " Bulan"</f>
        <v>0 Tahun 0 Bulan</v>
      </c>
      <c r="V25" s="281" t="s">
        <v>985</v>
      </c>
      <c r="W25" s="281" t="s">
        <v>851</v>
      </c>
      <c r="X25" s="283" t="str">
        <f ca="1">IF(AND(OR(L25="AA",L25="L"),OR(S25="Penata Muda Tk. I Golongan III/b",S25="Penata Golongan III/c"),DATEDIF(Q25,TODAY(),"m")&gt;=23,ISBLANK(Z25),C25="Aktif"),"Nominasi Serdos","-")</f>
        <v>-</v>
      </c>
      <c r="Y25" s="281"/>
      <c r="Z25" s="281" t="s">
        <v>852</v>
      </c>
      <c r="AA25" s="281">
        <v>23107201903252</v>
      </c>
      <c r="AB25" s="281" t="s">
        <v>986</v>
      </c>
      <c r="AC25" s="285">
        <v>45085</v>
      </c>
      <c r="AD25" s="281" t="s">
        <v>30</v>
      </c>
      <c r="AE25" s="281" t="s">
        <v>30</v>
      </c>
      <c r="AF25" s="281" t="s">
        <v>30</v>
      </c>
      <c r="AG25" s="281" t="s">
        <v>30</v>
      </c>
      <c r="AH25" s="281" t="s">
        <v>854</v>
      </c>
      <c r="AI25" s="281" t="s">
        <v>855</v>
      </c>
      <c r="AJ25" s="281" t="s">
        <v>856</v>
      </c>
      <c r="AK25" s="281" t="s">
        <v>855</v>
      </c>
      <c r="AM25" s="286">
        <v>43282</v>
      </c>
      <c r="AN25" s="287" t="str">
        <f ca="1">DATEDIF(AM25,TODAY(),"y")&amp;" tahun "&amp;DATEDIF(AM25,TODAY(),"ym")&amp;" bulan "</f>
        <v xml:space="preserve">7 tahun 6 bulan </v>
      </c>
      <c r="AO25" s="281" t="s">
        <v>858</v>
      </c>
      <c r="AP25" s="281" t="s">
        <v>900</v>
      </c>
      <c r="AQ25" s="281" t="s">
        <v>987</v>
      </c>
      <c r="AR25" s="281" t="s">
        <v>526</v>
      </c>
      <c r="AS25" s="281">
        <v>81324604072</v>
      </c>
      <c r="AT25" s="281" t="s">
        <v>527</v>
      </c>
      <c r="AU25" s="281" t="s">
        <v>30</v>
      </c>
      <c r="AV25" s="281"/>
      <c r="AW25" s="281" t="str">
        <f>VLOOKUP(B25,Sheet2!A40:I157,9,FALSE)</f>
        <v>Bernadus Anggo Seno Aji, S.Kom., M.Kom.</v>
      </c>
      <c r="AX25" s="281" t="s">
        <v>861</v>
      </c>
      <c r="AY25" s="281" t="str">
        <f>VLOOKUP(B25,Sheet2!A40:C157,2,FALSE)</f>
        <v>Grobogan</v>
      </c>
      <c r="AZ25" s="288">
        <f>VLOOKUP(B25,Sheet2!A40:C157,3,FALSE)</f>
        <v>33697</v>
      </c>
      <c r="BA25" s="281">
        <f ca="1">DATEDIF(AZ25, TODAY(),"y")</f>
        <v>33</v>
      </c>
      <c r="BB25" s="281"/>
      <c r="BC25" s="281"/>
      <c r="BD25" s="281"/>
      <c r="BE25" s="281"/>
      <c r="BF25" s="289"/>
      <c r="BG25" s="289"/>
      <c r="BH25" s="289"/>
      <c r="BI25" s="289"/>
      <c r="BJ25" s="289"/>
      <c r="BK25" s="289"/>
      <c r="BL25" s="288" t="s">
        <v>21</v>
      </c>
      <c r="BM25" s="281"/>
      <c r="BN25" s="281"/>
      <c r="BO25" s="281"/>
      <c r="BP25" s="281"/>
      <c r="BQ25" s="281"/>
      <c r="BR25" s="288" t="str">
        <f>VLOOKUP(B25,Sheet2!A40:E157,5,FALSE)</f>
        <v>Data Science and Intelligent Systems (DSIS)</v>
      </c>
      <c r="BS25" s="288" t="str">
        <f>VLOOKUP(B25,Sheet2!A40:F157,6,FALSE)</f>
        <v>BOS</v>
      </c>
      <c r="BT25" s="288" t="str">
        <f>VLOOKUP(B25,Sheet2!A40:G157,7,FALSE)</f>
        <v>Fakultas Informatika</v>
      </c>
      <c r="BU25" s="288" t="str">
        <f>VLOOKUP(B25,Sheet2!A40:H157,8,FALSE)</f>
        <v>bernadusanggosenoaji@telkomuniversity.ac.id</v>
      </c>
      <c r="BV25" s="280">
        <f>COUNTIFS('Join TPA Dosen'!B:B,Dosen!B9)</f>
        <v>1</v>
      </c>
      <c r="BW25" s="273" t="str">
        <f>DATEDIF(AM25,DATE(2026,1,1),"y")&amp;" tahun "&amp;DATEDIF(AM25,DATE(2026,1,1),"ym")&amp;" bulan "</f>
        <v xml:space="preserve">7 tahun 6 bulan </v>
      </c>
      <c r="BX25" s="280" t="str">
        <f>VLOOKUP($B25,Sheet1!$A:$G,2,FALSE)</f>
        <v>Tel-U</v>
      </c>
      <c r="BY25" s="280" t="str">
        <f>VLOOKUP($B25,Sheet1!$A:$G,3,FALSE)</f>
        <v>Ilmu Komputasi</v>
      </c>
      <c r="BZ25" s="280" t="str">
        <f>VLOOKUP($B25,Sheet1!$A:$G,4,FALSE)</f>
        <v>Tel-U</v>
      </c>
      <c r="CA25" s="280" t="str">
        <f>VLOOKUP($B25,Sheet1!$A:$G,5,FALSE)</f>
        <v>Teknik Informatika</v>
      </c>
      <c r="CB25" s="280" t="str">
        <f>VLOOKUP($B25,Sheet1!$A:$G,6,FALSE)</f>
        <v>-</v>
      </c>
      <c r="CC25" s="280">
        <f>VLOOKUP($B25,Sheet1!$A:$G,7,FALSE)</f>
        <v>0</v>
      </c>
      <c r="CD25" s="280" t="s">
        <v>862</v>
      </c>
      <c r="CE25" s="280" t="s">
        <v>903</v>
      </c>
    </row>
    <row r="26" spans="1:83" ht="19.5">
      <c r="A26" s="281">
        <v>41</v>
      </c>
      <c r="B26" s="281" t="s">
        <v>255</v>
      </c>
      <c r="C26" s="281" t="s">
        <v>20</v>
      </c>
      <c r="D26" s="281" t="s">
        <v>235</v>
      </c>
      <c r="E26" s="281">
        <v>19750005</v>
      </c>
      <c r="F26" s="341" t="s">
        <v>988</v>
      </c>
      <c r="G26" s="294" t="s">
        <v>256</v>
      </c>
      <c r="H26" s="281" t="s">
        <v>989</v>
      </c>
      <c r="I26" s="281" t="s">
        <v>30</v>
      </c>
      <c r="J26" s="281" t="s">
        <v>257</v>
      </c>
      <c r="K26" s="281" t="s">
        <v>874</v>
      </c>
      <c r="L26" s="281" t="s">
        <v>775</v>
      </c>
      <c r="M26" s="283" t="str">
        <f>IF(L26="NJAD","AA",IF(L26="AA","L",IF(L26="L","LK","GB")))</f>
        <v>LK</v>
      </c>
      <c r="N26" s="282" t="s">
        <v>511</v>
      </c>
      <c r="O26" s="281">
        <v>200</v>
      </c>
      <c r="P26" s="281" t="s">
        <v>990</v>
      </c>
      <c r="Q26" s="284">
        <v>45444</v>
      </c>
      <c r="R26" s="281" t="str">
        <f ca="1">DATEDIF(Q26,TODAY(), "Y") &amp; " Tahun " &amp; DATEDIF(Q26, TODAY(), "YM") &amp; " Bulan"</f>
        <v>1 Tahun 7 Bulan</v>
      </c>
      <c r="S26" s="281" t="s">
        <v>876</v>
      </c>
      <c r="T26" s="285">
        <v>45748</v>
      </c>
      <c r="U26" s="281" t="str">
        <f ca="1">DATEDIF(T26,TODAY(), "Y") &amp; " Tahun " &amp; DATEDIF(T26, TODAY(), "YM") &amp; " Bulan"</f>
        <v>0 Tahun 9 Bulan</v>
      </c>
      <c r="V26" s="281" t="s">
        <v>991</v>
      </c>
      <c r="W26" s="281" t="s">
        <v>851</v>
      </c>
      <c r="X26" s="283" t="str">
        <f ca="1">IF(AND(OR(L26="AA",L26="L"),OR(S26="Penata Muda Tk. I Golongan III/b",S26="Penata Golongan III/c"),DATEDIF(Q26,TODAY(),"m")&gt;=23,ISBLANK(Z26),C26="Aktif"),"Nominasi Serdos","-")</f>
        <v>-</v>
      </c>
      <c r="Y26" s="281"/>
      <c r="Z26" s="282"/>
      <c r="AA26" s="281"/>
      <c r="AB26" s="281" t="s">
        <v>30</v>
      </c>
      <c r="AC26" s="282" t="s">
        <v>511</v>
      </c>
      <c r="AD26" s="281" t="s">
        <v>30</v>
      </c>
      <c r="AE26" s="281" t="s">
        <v>30</v>
      </c>
      <c r="AF26" s="281" t="s">
        <v>30</v>
      </c>
      <c r="AG26" s="281" t="s">
        <v>30</v>
      </c>
      <c r="AH26" s="281" t="s">
        <v>879</v>
      </c>
      <c r="AI26" s="281" t="s">
        <v>30</v>
      </c>
      <c r="AJ26" s="281" t="s">
        <v>30</v>
      </c>
      <c r="AK26" s="281" t="s">
        <v>30</v>
      </c>
      <c r="AM26" s="286">
        <v>43770</v>
      </c>
      <c r="AN26" s="287" t="str">
        <f ca="1">DATEDIF(AM26,TODAY(),"y")&amp;" tahun "&amp;DATEDIF(AM26,TODAY(),"ym")&amp;" bulan "</f>
        <v xml:space="preserve">6 tahun 2 bulan </v>
      </c>
      <c r="AO26" s="281" t="s">
        <v>858</v>
      </c>
      <c r="AP26" s="281" t="s">
        <v>934</v>
      </c>
      <c r="AQ26" s="281" t="s">
        <v>992</v>
      </c>
      <c r="AR26" s="305" t="s">
        <v>258</v>
      </c>
      <c r="AS26" s="281">
        <v>8127041015</v>
      </c>
      <c r="AT26" s="281" t="s">
        <v>259</v>
      </c>
      <c r="AU26" s="281" t="s">
        <v>30</v>
      </c>
      <c r="AV26" s="281"/>
      <c r="AW26" s="281" t="str">
        <f>VLOOKUP(B26,Sheet2!A42:I159,9,FALSE)</f>
        <v>Agus Sulistya, S.T., M.Sc., Ph.D</v>
      </c>
      <c r="AX26" s="281" t="s">
        <v>861</v>
      </c>
      <c r="AY26" s="281" t="str">
        <f>VLOOKUP(B26,Sheet2!A42:C159,2,FALSE)</f>
        <v>Magelang</v>
      </c>
      <c r="AZ26" s="288">
        <f>VLOOKUP(B26,Sheet2!A42:C159,3,FALSE)</f>
        <v>27624</v>
      </c>
      <c r="BA26" s="281">
        <f ca="1">DATEDIF(AZ26, TODAY(),"y")</f>
        <v>50</v>
      </c>
      <c r="BB26" s="281"/>
      <c r="BC26" s="281"/>
      <c r="BD26" s="281"/>
      <c r="BE26" s="281"/>
      <c r="BF26" s="289"/>
      <c r="BG26" s="289"/>
      <c r="BH26" s="289"/>
      <c r="BI26" s="289"/>
      <c r="BJ26" s="289"/>
      <c r="BK26" s="289"/>
      <c r="BL26" s="288" t="str">
        <f>VLOOKUP(B26,Sheet2!A42:D159,4,FALSE)</f>
        <v>Wakil Direktur Bidang Sumber Daya</v>
      </c>
      <c r="BM26" s="281"/>
      <c r="BN26" s="281"/>
      <c r="BO26" s="281"/>
      <c r="BP26" s="281"/>
      <c r="BQ26" s="281"/>
      <c r="BR26" s="288" t="str">
        <f>VLOOKUP(B26,Sheet2!A42:E159,5,FALSE)</f>
        <v>Cybernetics</v>
      </c>
      <c r="BS26" s="288" t="str">
        <f>VLOOKUP(B26,Sheet2!A42:F159,6,FALSE)</f>
        <v>AGX</v>
      </c>
      <c r="BT26" s="288" t="str">
        <f>VLOOKUP(B26,Sheet2!A42:G159,7,FALSE)</f>
        <v>Fakultas Rekayasa Industri</v>
      </c>
      <c r="BU26" s="288" t="str">
        <f>VLOOKUP(B26,Sheet2!A42:H159,8,FALSE)</f>
        <v>sulistya@telkomuniversity.ac.id</v>
      </c>
      <c r="BV26" s="280">
        <f>COUNTIFS('Join TPA Dosen'!B:B,Dosen!B42)</f>
        <v>1</v>
      </c>
      <c r="BW26" s="273" t="str">
        <f>DATEDIF(AM26,DATE(2026,1,1),"y")&amp;" tahun "&amp;DATEDIF(AM26,DATE(2026,1,1),"ym")&amp;" bulan "</f>
        <v xml:space="preserve">6 tahun 2 bulan </v>
      </c>
      <c r="BX26" s="280" t="str">
        <f>VLOOKUP($B26,Sheet1!$A:$G,2,FALSE)</f>
        <v>STT Telkom</v>
      </c>
      <c r="BY26" s="280" t="str">
        <f>VLOOKUP($B26,Sheet1!$A:$G,3,FALSE)</f>
        <v>Teknik Informatika</v>
      </c>
      <c r="BZ26" s="280" t="str">
        <f>VLOOKUP($B26,Sheet1!$A:$G,4,FALSE)</f>
        <v>Northeastern Univ</v>
      </c>
      <c r="CA26" s="280" t="str">
        <f>VLOOKUP($B26,Sheet1!$A:$G,5,FALSE)</f>
        <v>Information Systems</v>
      </c>
      <c r="CB26" s="280" t="str">
        <f>VLOOKUP($B26,Sheet1!$A:$G,6,FALSE)</f>
        <v>Singapore Manajement Univ</v>
      </c>
      <c r="CC26" s="280" t="str">
        <f>VLOOKUP($B26,Sheet1!$A:$G,7,FALSE)</f>
        <v>Information Systems</v>
      </c>
      <c r="CD26" s="280" t="s">
        <v>871</v>
      </c>
      <c r="CE26" s="280" t="s">
        <v>903</v>
      </c>
    </row>
    <row r="27" spans="1:83" ht="19.5">
      <c r="A27" s="281">
        <v>42</v>
      </c>
      <c r="B27" s="281" t="s">
        <v>497</v>
      </c>
      <c r="C27" s="281" t="s">
        <v>20</v>
      </c>
      <c r="D27" s="281" t="s">
        <v>475</v>
      </c>
      <c r="E27" s="281">
        <v>20910025</v>
      </c>
      <c r="F27" s="281" t="s">
        <v>993</v>
      </c>
      <c r="G27" s="282" t="s">
        <v>498</v>
      </c>
      <c r="H27" s="291" t="s">
        <v>884</v>
      </c>
      <c r="I27" s="281" t="s">
        <v>30</v>
      </c>
      <c r="J27" s="281" t="s">
        <v>354</v>
      </c>
      <c r="K27" s="281" t="s">
        <v>917</v>
      </c>
      <c r="L27" s="281" t="s">
        <v>918</v>
      </c>
      <c r="M27" s="283" t="str">
        <f>IF(L27="NJAD","AA",IF(L27="AA","L",IF(L27="L","LK","GB")))</f>
        <v>AA</v>
      </c>
      <c r="N27" s="282" t="s">
        <v>511</v>
      </c>
      <c r="O27" s="281">
        <v>0</v>
      </c>
      <c r="P27" s="281" t="s">
        <v>30</v>
      </c>
      <c r="Q27" s="284">
        <v>43891</v>
      </c>
      <c r="R27" s="281" t="str">
        <f ca="1">DATEDIF(Q27,TODAY(), "Y") &amp; " Tahun " &amp; DATEDIF(Q27, TODAY(), "YM") &amp; " Bulan"</f>
        <v>5 Tahun 10 Bulan</v>
      </c>
      <c r="S27" s="282" t="s">
        <v>511</v>
      </c>
      <c r="T27" s="282" t="s">
        <v>511</v>
      </c>
      <c r="U27" s="281" t="e">
        <f ca="1">DATEDIF(T27,TODAY(), "Y") &amp; " Tahun " &amp; DATEDIF(T27, TODAY(), "YM") &amp; " Bulan"</f>
        <v>#VALUE!</v>
      </c>
      <c r="V27" s="281" t="s">
        <v>866</v>
      </c>
      <c r="W27" s="281" t="s">
        <v>851</v>
      </c>
      <c r="X27" s="283" t="str">
        <f ca="1">IF(AND(OR(L27="AA",L27="L"),OR(S27="Penata Muda Tk. I Golongan III/b",S27="Penata Golongan III/c"),DATEDIF(Q27,TODAY(),"m")&gt;=23,ISBLANK(Z27),C27="Aktif"),"Nominasi Serdos","-")</f>
        <v>-</v>
      </c>
      <c r="Y27" s="281"/>
      <c r="Z27" s="282"/>
      <c r="AA27" s="281"/>
      <c r="AB27" s="281" t="s">
        <v>30</v>
      </c>
      <c r="AC27" s="282" t="s">
        <v>511</v>
      </c>
      <c r="AD27" s="281" t="s">
        <v>30</v>
      </c>
      <c r="AE27" s="281" t="s">
        <v>30</v>
      </c>
      <c r="AF27" s="281" t="s">
        <v>30</v>
      </c>
      <c r="AG27" s="281" t="s">
        <v>30</v>
      </c>
      <c r="AH27" s="281" t="s">
        <v>854</v>
      </c>
      <c r="AI27" s="281" t="s">
        <v>30</v>
      </c>
      <c r="AJ27" s="281" t="s">
        <v>30</v>
      </c>
      <c r="AK27" s="281" t="s">
        <v>30</v>
      </c>
      <c r="AM27" s="286">
        <v>43885</v>
      </c>
      <c r="AN27" s="287" t="str">
        <f ca="1">DATEDIF(AM27,TODAY(),"y")&amp;" tahun "&amp;DATEDIF(AM27,TODAY(),"ym")&amp;" bulan "</f>
        <v xml:space="preserve">5 tahun 10 bulan </v>
      </c>
      <c r="AO27" s="281" t="s">
        <v>868</v>
      </c>
      <c r="AP27" s="281" t="s">
        <v>869</v>
      </c>
      <c r="AQ27" s="281" t="s">
        <v>994</v>
      </c>
      <c r="AR27" s="281" t="s">
        <v>499</v>
      </c>
      <c r="AS27" s="281">
        <v>82134018586</v>
      </c>
      <c r="AT27" s="281" t="s">
        <v>500</v>
      </c>
      <c r="AU27" s="281" t="s">
        <v>30</v>
      </c>
      <c r="AV27" s="281"/>
      <c r="AW27" s="281" t="str">
        <f>VLOOKUP(B27,Sheet2!A43:I160,9,FALSE)</f>
        <v>Risdilah Mimma Untsa, S.ST., M.T.</v>
      </c>
      <c r="AX27" s="281" t="s">
        <v>902</v>
      </c>
      <c r="AY27" s="281" t="str">
        <f>VLOOKUP(B27,Sheet2!A43:C160,2,FALSE)</f>
        <v>Surabaya</v>
      </c>
      <c r="AZ27" s="288">
        <f>VLOOKUP(B27,Sheet2!A43:C160,3,FALSE)</f>
        <v>33258</v>
      </c>
      <c r="BA27" s="281">
        <f ca="1">DATEDIF(AZ27, TODAY(),"y")</f>
        <v>34</v>
      </c>
      <c r="BB27" s="281"/>
      <c r="BC27" s="281"/>
      <c r="BD27" s="281"/>
      <c r="BE27" s="281"/>
      <c r="BF27" s="289"/>
      <c r="BG27" s="289"/>
      <c r="BH27" s="289"/>
      <c r="BI27" s="289"/>
      <c r="BJ27" s="289"/>
      <c r="BK27" s="289"/>
      <c r="BL27" s="288" t="str">
        <f>VLOOKUP(B27,Sheet2!A43:D160,4,FALSE)</f>
        <v>Dosen</v>
      </c>
      <c r="BM27" s="281"/>
      <c r="BN27" s="281"/>
      <c r="BO27" s="281"/>
      <c r="BP27" s="281"/>
      <c r="BQ27" s="281"/>
      <c r="BR27" s="288" t="str">
        <f>VLOOKUP(B27,Sheet2!A43:E160,5,FALSE)</f>
        <v>Signal Processing, Information Security, and Computer Engineering (SPICE)</v>
      </c>
      <c r="BS27" s="288" t="str">
        <f>VLOOKUP(B27,Sheet2!A43:F160,6,FALSE)</f>
        <v>RLL</v>
      </c>
      <c r="BT27" s="288" t="str">
        <f>VLOOKUP(B27,Sheet2!A43:G160,7,FALSE)</f>
        <v>Fakultas Teknik Elektro</v>
      </c>
      <c r="BU27" s="288" t="str">
        <f>VLOOKUP(B27,Sheet2!A43:H160,8,FALSE)</f>
        <v>risdilah@telkomuniversity.ac.id</v>
      </c>
      <c r="BV27" s="280">
        <f>COUNTIFS('Join TPA Dosen'!B:B,Dosen!B43)</f>
        <v>1</v>
      </c>
      <c r="BW27" s="273" t="str">
        <f>DATEDIF(AM27,DATE(2026,1,1),"y")&amp;" tahun "&amp;DATEDIF(AM27,DATE(2026,1,1),"ym")&amp;" bulan "</f>
        <v xml:space="preserve">5 tahun 10 bulan </v>
      </c>
      <c r="BX27" s="280" t="str">
        <f>VLOOKUP($B27,Sheet1!$A:$G,2,FALSE)</f>
        <v>PENS</v>
      </c>
      <c r="BY27" s="280" t="str">
        <f>VLOOKUP($B27,Sheet1!$A:$G,3,FALSE)</f>
        <v>Telekomunikasi</v>
      </c>
      <c r="BZ27" s="280" t="str">
        <f>VLOOKUP($B27,Sheet1!$A:$G,4,FALSE)</f>
        <v>ITS</v>
      </c>
      <c r="CA27" s="280" t="str">
        <f>VLOOKUP($B27,Sheet1!$A:$G,5,FALSE)</f>
        <v>Teknik Elektro</v>
      </c>
      <c r="CB27" s="280" t="str">
        <f>VLOOKUP($B27,Sheet1!$A:$G,6,FALSE)</f>
        <v>-</v>
      </c>
      <c r="CC27" s="280">
        <f>VLOOKUP($B27,Sheet1!$A:$G,7,FALSE)</f>
        <v>0</v>
      </c>
      <c r="CD27" s="280" t="s">
        <v>882</v>
      </c>
      <c r="CE27" s="280" t="s">
        <v>872</v>
      </c>
    </row>
    <row r="28" spans="1:83" ht="29.25">
      <c r="A28" s="281">
        <v>43</v>
      </c>
      <c r="B28" s="281" t="s">
        <v>427</v>
      </c>
      <c r="C28" s="281" t="s">
        <v>20</v>
      </c>
      <c r="D28" s="281" t="s">
        <v>413</v>
      </c>
      <c r="E28" s="281">
        <v>22730002</v>
      </c>
      <c r="F28" s="281" t="s">
        <v>995</v>
      </c>
      <c r="G28" s="282" t="s">
        <v>428</v>
      </c>
      <c r="H28" s="281" t="s">
        <v>845</v>
      </c>
      <c r="I28" s="281" t="s">
        <v>143</v>
      </c>
      <c r="J28" s="281" t="s">
        <v>429</v>
      </c>
      <c r="K28" s="281" t="s">
        <v>874</v>
      </c>
      <c r="L28" s="281" t="s">
        <v>775</v>
      </c>
      <c r="M28" s="283" t="str">
        <f>IF(L28="NJAD","AA",IF(L28="AA","L",IF(L28="L","LK","GB")))</f>
        <v>LK</v>
      </c>
      <c r="N28" s="282" t="s">
        <v>511</v>
      </c>
      <c r="O28" s="281">
        <v>300</v>
      </c>
      <c r="P28" s="281" t="s">
        <v>996</v>
      </c>
      <c r="Q28" s="284">
        <v>45108</v>
      </c>
      <c r="R28" s="281" t="str">
        <f ca="1">DATEDIF(Q28,TODAY(), "Y") &amp; " Tahun " &amp; DATEDIF(Q28, TODAY(), "YM") &amp; " Bulan"</f>
        <v>2 Tahun 6 Bulan</v>
      </c>
      <c r="S28" s="281" t="s">
        <v>849</v>
      </c>
      <c r="T28" s="285">
        <v>45658</v>
      </c>
      <c r="U28" s="281" t="str">
        <f ca="1">DATEDIF(T28,TODAY(), "Y") &amp; " Tahun " &amp; DATEDIF(T28, TODAY(), "YM") &amp; " Bulan"</f>
        <v>1 Tahun 0 Bulan</v>
      </c>
      <c r="V28" s="281" t="s">
        <v>997</v>
      </c>
      <c r="W28" s="281" t="s">
        <v>851</v>
      </c>
      <c r="X28" s="283" t="str">
        <f ca="1">IF(AND(OR(L28="AA",L28="L"),OR(S28="Penata Muda Tk. I Golongan III/b",S28="Penata Golongan III/c"),DATEDIF(Q28,TODAY(),"m")&gt;=23,ISBLANK(Z28),C28="Aktif"),"Nominasi Serdos","-")</f>
        <v>-</v>
      </c>
      <c r="Y28" s="281"/>
      <c r="Z28" s="281" t="s">
        <v>852</v>
      </c>
      <c r="AA28" s="281">
        <v>15107201608505</v>
      </c>
      <c r="AB28" s="281" t="s">
        <v>998</v>
      </c>
      <c r="AC28" s="285">
        <v>42357</v>
      </c>
      <c r="AD28" s="281" t="s">
        <v>30</v>
      </c>
      <c r="AE28" s="281" t="s">
        <v>30</v>
      </c>
      <c r="AF28" s="281" t="s">
        <v>30</v>
      </c>
      <c r="AG28" s="281" t="s">
        <v>30</v>
      </c>
      <c r="AH28" s="281" t="s">
        <v>879</v>
      </c>
      <c r="AI28" s="281" t="s">
        <v>30</v>
      </c>
      <c r="AJ28" s="281" t="s">
        <v>30</v>
      </c>
      <c r="AK28" s="281" t="s">
        <v>30</v>
      </c>
      <c r="AM28" s="286">
        <v>44075</v>
      </c>
      <c r="AN28" s="287" t="str">
        <f ca="1">DATEDIF(AM28,TODAY(),"y")&amp;" tahun "&amp;DATEDIF(AM28,TODAY(),"ym")&amp;" bulan "</f>
        <v xml:space="preserve">5 tahun 4 bulan </v>
      </c>
      <c r="AO28" s="281" t="s">
        <v>868</v>
      </c>
      <c r="AP28" s="281" t="s">
        <v>880</v>
      </c>
      <c r="AQ28" s="281" t="s">
        <v>999</v>
      </c>
      <c r="AR28" s="281" t="s">
        <v>430</v>
      </c>
      <c r="AS28" s="281">
        <v>81216170645</v>
      </c>
      <c r="AT28" s="281" t="s">
        <v>431</v>
      </c>
      <c r="AU28" s="281" t="s">
        <v>30</v>
      </c>
      <c r="AV28" s="281"/>
      <c r="AW28" s="281" t="str">
        <f>VLOOKUP(B28,Sheet2!A44:I161,9,FALSE)</f>
        <v>Dr. Susijanto Tri Rasmana, S.Kom., M.T.</v>
      </c>
      <c r="AX28" s="281" t="s">
        <v>861</v>
      </c>
      <c r="AY28" s="281" t="str">
        <f>VLOOKUP(B28,Sheet2!A44:C161,2,FALSE)</f>
        <v>Surabaya</v>
      </c>
      <c r="AZ28" s="288">
        <f>VLOOKUP(B28,Sheet2!A44:C161,3,FALSE)</f>
        <v>26934</v>
      </c>
      <c r="BA28" s="281">
        <f ca="1">DATEDIF(AZ28, TODAY(),"y")</f>
        <v>52</v>
      </c>
      <c r="BB28" s="281"/>
      <c r="BC28" s="281"/>
      <c r="BD28" s="281"/>
      <c r="BE28" s="281"/>
      <c r="BF28" s="289"/>
      <c r="BG28" s="289"/>
      <c r="BH28" s="289"/>
      <c r="BI28" s="289"/>
      <c r="BJ28" s="289"/>
      <c r="BK28" s="289"/>
      <c r="BL28" s="288" t="s">
        <v>1000</v>
      </c>
      <c r="BM28" s="281"/>
      <c r="BN28" s="281"/>
      <c r="BO28" s="281"/>
      <c r="BP28" s="281"/>
      <c r="BQ28" s="281"/>
      <c r="BR28" s="288" t="str">
        <f>VLOOKUP(B28,Sheet2!A44:E161,5,FALSE)</f>
        <v>Control, Elektronics, and Intelligent Systems (CEIS)</v>
      </c>
      <c r="BS28" s="288" t="str">
        <f>VLOOKUP(B28,Sheet2!A44:F161,6,FALSE)</f>
        <v>SUZ</v>
      </c>
      <c r="BT28" s="288" t="str">
        <f>VLOOKUP(B28,Sheet2!A44:G161,7,FALSE)</f>
        <v>Fakultas Teknik Elektro</v>
      </c>
      <c r="BU28" s="288" t="str">
        <f>VLOOKUP(B28,Sheet2!A44:H161,8,FALSE)</f>
        <v>susijanto@telkomuniversity.ac.id</v>
      </c>
      <c r="BV28" s="280">
        <f>COUNTIFS('Join TPA Dosen'!B:B,Dosen!B45)</f>
        <v>1</v>
      </c>
      <c r="BW28" s="273" t="str">
        <f>DATEDIF(AM28,DATE(2026,1,1),"y")&amp;" tahun "&amp;DATEDIF(AM28,DATE(2026,1,1),"ym")&amp;" bulan "</f>
        <v xml:space="preserve">5 tahun 4 bulan </v>
      </c>
      <c r="BX28" s="280" t="str">
        <f>VLOOKUP($B28,Sheet1!$A:$G,2,FALSE)</f>
        <v>STIKOM</v>
      </c>
      <c r="BY28" s="280" t="str">
        <f>VLOOKUP($B28,Sheet1!$A:$G,3,FALSE)</f>
        <v>Teknik Komputer</v>
      </c>
      <c r="BZ28" s="280" t="str">
        <f>VLOOKUP($B28,Sheet1!$A:$G,4,FALSE)</f>
        <v>ITS</v>
      </c>
      <c r="CA28" s="280" t="str">
        <f>VLOOKUP($B28,Sheet1!$A:$G,5,FALSE)</f>
        <v>Teknik Elektro</v>
      </c>
      <c r="CB28" s="280" t="str">
        <f>VLOOKUP($B28,Sheet1!$A:$G,6,FALSE)</f>
        <v>ITS</v>
      </c>
      <c r="CC28" s="280" t="str">
        <f>VLOOKUP($B28,Sheet1!$A:$G,7,FALSE)</f>
        <v>Teknik Elektro</v>
      </c>
      <c r="CD28" s="280" t="s">
        <v>882</v>
      </c>
      <c r="CE28" s="273" t="s">
        <v>872</v>
      </c>
    </row>
    <row r="29" spans="1:83" ht="19.5">
      <c r="A29" s="281">
        <v>44</v>
      </c>
      <c r="B29" s="281" t="s">
        <v>369</v>
      </c>
      <c r="C29" s="281" t="s">
        <v>20</v>
      </c>
      <c r="D29" s="281" t="s">
        <v>370</v>
      </c>
      <c r="E29" s="281">
        <v>23880010</v>
      </c>
      <c r="F29" s="281" t="s">
        <v>1001</v>
      </c>
      <c r="G29" s="282" t="s">
        <v>371</v>
      </c>
      <c r="H29" s="281" t="s">
        <v>845</v>
      </c>
      <c r="I29" s="281" t="s">
        <v>30</v>
      </c>
      <c r="J29" s="281" t="s">
        <v>176</v>
      </c>
      <c r="K29" s="281" t="s">
        <v>893</v>
      </c>
      <c r="L29" s="281" t="s">
        <v>775</v>
      </c>
      <c r="M29" s="283" t="str">
        <f>IF(L29="NJAD","AA",IF(L29="AA","L",IF(L29="L","LK","GB")))</f>
        <v>LK</v>
      </c>
      <c r="N29" s="282" t="s">
        <v>511</v>
      </c>
      <c r="O29" s="281">
        <v>300</v>
      </c>
      <c r="P29" s="281" t="s">
        <v>1002</v>
      </c>
      <c r="Q29" s="284">
        <v>45108</v>
      </c>
      <c r="R29" s="281" t="str">
        <f ca="1">DATEDIF(Q29,TODAY(), "Y") &amp; " Tahun " &amp; DATEDIF(Q29, TODAY(), "YM") &amp; " Bulan"</f>
        <v>2 Tahun 6 Bulan</v>
      </c>
      <c r="S29" s="281" t="s">
        <v>876</v>
      </c>
      <c r="T29" s="285">
        <v>45658</v>
      </c>
      <c r="U29" s="281" t="str">
        <f ca="1">DATEDIF(T29,TODAY(), "Y") &amp; " Tahun " &amp; DATEDIF(T29, TODAY(), "YM") &amp; " Bulan"</f>
        <v>1 Tahun 0 Bulan</v>
      </c>
      <c r="V29" s="281" t="s">
        <v>1003</v>
      </c>
      <c r="W29" s="281" t="s">
        <v>851</v>
      </c>
      <c r="X29" s="283" t="str">
        <f ca="1">IF(AND(OR(L29="AA",L29="L"),OR(S29="Penata Muda Tk. I Golongan III/b",S29="Penata Golongan III/c"),DATEDIF(Q29,TODAY(),"m")&gt;=23,ISBLANK(Z29),C29="Aktif"),"Nominasi Serdos","-")</f>
        <v>-</v>
      </c>
      <c r="Y29" s="281"/>
      <c r="Z29" s="281" t="s">
        <v>852</v>
      </c>
      <c r="AA29" s="281">
        <v>18104103408060</v>
      </c>
      <c r="AB29" s="290">
        <v>1800100000000000</v>
      </c>
      <c r="AC29" s="285">
        <v>43283</v>
      </c>
      <c r="AD29" s="281" t="s">
        <v>30</v>
      </c>
      <c r="AE29" s="281" t="s">
        <v>30</v>
      </c>
      <c r="AF29" s="281" t="s">
        <v>30</v>
      </c>
      <c r="AG29" s="281" t="s">
        <v>30</v>
      </c>
      <c r="AH29" s="281" t="s">
        <v>854</v>
      </c>
      <c r="AI29" s="281" t="s">
        <v>30</v>
      </c>
      <c r="AJ29" s="281" t="s">
        <v>30</v>
      </c>
      <c r="AK29" s="281" t="s">
        <v>30</v>
      </c>
      <c r="AM29" s="286">
        <v>44013</v>
      </c>
      <c r="AN29" s="287" t="str">
        <f ca="1">DATEDIF(AM29,TODAY(),"y")&amp;" tahun "&amp;DATEDIF(AM29,TODAY(),"ym")&amp;" bulan "</f>
        <v xml:space="preserve">5 tahun 6 bulan </v>
      </c>
      <c r="AO29" s="281" t="s">
        <v>868</v>
      </c>
      <c r="AP29" s="281" t="s">
        <v>968</v>
      </c>
      <c r="AQ29" s="281" t="s">
        <v>1004</v>
      </c>
      <c r="AR29" s="281" t="s">
        <v>372</v>
      </c>
      <c r="AS29" s="281">
        <v>81395224118</v>
      </c>
      <c r="AT29" s="281" t="s">
        <v>373</v>
      </c>
      <c r="AU29" s="281" t="s">
        <v>30</v>
      </c>
      <c r="AV29" s="281"/>
      <c r="AW29" s="281" t="str">
        <f>VLOOKUP(B29,Sheet2!A45:I162,9,FALSE)</f>
        <v>Ayu Endah Wahyuni, S.T., M.T.</v>
      </c>
      <c r="AX29" s="281" t="s">
        <v>902</v>
      </c>
      <c r="AY29" s="281" t="str">
        <f>VLOOKUP(B29,Sheet2!A45:C162,2,FALSE)</f>
        <v>Denpasar</v>
      </c>
      <c r="AZ29" s="288">
        <f>VLOOKUP(B29,Sheet2!A45:C162,3,FALSE)</f>
        <v>32325</v>
      </c>
      <c r="BA29" s="281">
        <f ca="1">DATEDIF(AZ29, TODAY(),"y")</f>
        <v>37</v>
      </c>
      <c r="BB29" s="281"/>
      <c r="BC29" s="281"/>
      <c r="BD29" s="281"/>
      <c r="BE29" s="281"/>
      <c r="BF29" s="289"/>
      <c r="BG29" s="289"/>
      <c r="BH29" s="289"/>
      <c r="BI29" s="289"/>
      <c r="BJ29" s="289"/>
      <c r="BK29" s="289"/>
      <c r="BL29" s="288" t="str">
        <f>VLOOKUP(B29,Sheet2!A45:D162,4,FALSE)</f>
        <v>Kaprodi</v>
      </c>
      <c r="BM29" s="281"/>
      <c r="BN29" s="281"/>
      <c r="BO29" s="281"/>
      <c r="BP29" s="281"/>
      <c r="BQ29" s="281"/>
      <c r="BR29" s="288" t="str">
        <f>VLOOKUP(B29,Sheet2!A45:E162,5,FALSE)</f>
        <v>Engineering Management System</v>
      </c>
      <c r="BS29" s="288" t="str">
        <f>VLOOKUP(B29,Sheet2!A45:F162,6,FALSE)</f>
        <v>AYV</v>
      </c>
      <c r="BT29" s="288" t="str">
        <f>VLOOKUP(B29,Sheet2!A45:G162,7,FALSE)</f>
        <v>Fakultas Rekayasa Industri</v>
      </c>
      <c r="BU29" s="288" t="str">
        <f>VLOOKUP(B29,Sheet2!A45:H162,8,FALSE)</f>
        <v>ayuendah@telkomuniversity.ac.id</v>
      </c>
      <c r="BV29" s="280">
        <f>COUNTIFS('Join TPA Dosen'!B:B,Dosen!B6)</f>
        <v>1</v>
      </c>
      <c r="BW29" s="273" t="str">
        <f>DATEDIF(AM29,DATE(2026,1,1),"y")&amp;" tahun "&amp;DATEDIF(AM29,DATE(2026,1,1),"ym")&amp;" bulan "</f>
        <v xml:space="preserve">5 tahun 6 bulan </v>
      </c>
      <c r="BX29" s="280" t="str">
        <f>VLOOKUP($B29,Sheet1!$A:$G,2,FALSE)</f>
        <v>Tel-U</v>
      </c>
      <c r="BY29" s="280" t="str">
        <f>VLOOKUP($B29,Sheet1!$A:$G,3,FALSE)</f>
        <v>Teknik Industri</v>
      </c>
      <c r="BZ29" s="280" t="str">
        <f>VLOOKUP($B29,Sheet1!$A:$G,4,FALSE)</f>
        <v>ITB</v>
      </c>
      <c r="CA29" s="280" t="str">
        <f>VLOOKUP($B29,Sheet1!$A:$G,5,FALSE)</f>
        <v>Teknik dan Manajemen Industri</v>
      </c>
      <c r="CB29" s="280" t="str">
        <f>VLOOKUP($B29,Sheet1!$A:$G,6,FALSE)</f>
        <v>-</v>
      </c>
      <c r="CC29" s="280">
        <f>VLOOKUP($B29,Sheet1!$A:$G,7,FALSE)</f>
        <v>0</v>
      </c>
      <c r="CD29" s="280" t="s">
        <v>871</v>
      </c>
      <c r="CE29" s="280" t="s">
        <v>863</v>
      </c>
    </row>
    <row r="30" spans="1:83" ht="19.5">
      <c r="A30" s="281">
        <v>45</v>
      </c>
      <c r="B30" s="281" t="s">
        <v>260</v>
      </c>
      <c r="C30" s="281" t="s">
        <v>20</v>
      </c>
      <c r="D30" s="281" t="s">
        <v>235</v>
      </c>
      <c r="E30" s="281">
        <v>23900009</v>
      </c>
      <c r="F30" s="281" t="s">
        <v>1005</v>
      </c>
      <c r="G30" s="282" t="s">
        <v>261</v>
      </c>
      <c r="H30" s="281" t="s">
        <v>845</v>
      </c>
      <c r="I30" s="281" t="s">
        <v>30</v>
      </c>
      <c r="J30" s="281" t="s">
        <v>57</v>
      </c>
      <c r="K30" s="281" t="s">
        <v>846</v>
      </c>
      <c r="L30" s="281" t="s">
        <v>847</v>
      </c>
      <c r="M30" s="283" t="str">
        <f>IF(L30="NJAD","AA",IF(L30="AA","L",IF(L30="L","LK","GB")))</f>
        <v>L</v>
      </c>
      <c r="N30" s="282" t="s">
        <v>511</v>
      </c>
      <c r="O30" s="281">
        <v>150</v>
      </c>
      <c r="P30" s="281" t="s">
        <v>1006</v>
      </c>
      <c r="Q30" s="284">
        <v>44743</v>
      </c>
      <c r="R30" s="281" t="str">
        <f ca="1">DATEDIF(Q30,TODAY(), "Y") &amp; " Tahun " &amp; DATEDIF(Q30, TODAY(), "YM") &amp; " Bulan"</f>
        <v>3 Tahun 6 Bulan</v>
      </c>
      <c r="S30" s="281" t="s">
        <v>849</v>
      </c>
      <c r="T30" s="285">
        <v>44896</v>
      </c>
      <c r="U30" s="281" t="str">
        <f ca="1">DATEDIF(T30,TODAY(), "Y") &amp; " Tahun " &amp; DATEDIF(T30, TODAY(), "YM") &amp; " Bulan"</f>
        <v>3 Tahun 1 Bulan</v>
      </c>
      <c r="V30" s="281" t="s">
        <v>1007</v>
      </c>
      <c r="W30" s="281" t="s">
        <v>851</v>
      </c>
      <c r="X30" s="283" t="str">
        <f ca="1">IF(AND(OR(L30="AA",L30="L"),OR(S30="Penata Muda Tk. I Golongan III/b",S30="Penata Golongan III/c"),DATEDIF(Q30,TODAY(),"m")&gt;=23,ISBLANK(Z30),C30="Aktif"),"Nominasi Serdos","-")</f>
        <v>-</v>
      </c>
      <c r="Y30" s="281"/>
      <c r="Z30" s="282" t="s">
        <v>852</v>
      </c>
      <c r="AA30" s="290">
        <v>25104105713091</v>
      </c>
      <c r="AB30" s="281" t="s">
        <v>1008</v>
      </c>
      <c r="AC30" s="285">
        <v>45917</v>
      </c>
      <c r="AD30" s="281" t="s">
        <v>30</v>
      </c>
      <c r="AE30" s="281" t="s">
        <v>30</v>
      </c>
      <c r="AF30" s="281" t="s">
        <v>30</v>
      </c>
      <c r="AG30" s="281" t="s">
        <v>30</v>
      </c>
      <c r="AH30" s="281" t="s">
        <v>854</v>
      </c>
      <c r="AI30" s="281" t="s">
        <v>855</v>
      </c>
      <c r="AJ30" s="281" t="s">
        <v>856</v>
      </c>
      <c r="AK30" s="281" t="s">
        <v>855</v>
      </c>
      <c r="AM30" s="286">
        <v>44075</v>
      </c>
      <c r="AN30" s="287" t="str">
        <f ca="1">DATEDIF(AM30,TODAY(),"y")&amp;" tahun "&amp;DATEDIF(AM30,TODAY(),"ym")&amp;" bulan "</f>
        <v xml:space="preserve">5 tahun 4 bulan </v>
      </c>
      <c r="AO30" s="281" t="s">
        <v>858</v>
      </c>
      <c r="AP30" s="281" t="s">
        <v>934</v>
      </c>
      <c r="AQ30" s="281" t="s">
        <v>1009</v>
      </c>
      <c r="AR30" s="281" t="s">
        <v>262</v>
      </c>
      <c r="AS30" s="281">
        <v>85259501314</v>
      </c>
      <c r="AT30" s="281" t="s">
        <v>263</v>
      </c>
      <c r="AU30" s="281" t="s">
        <v>30</v>
      </c>
      <c r="AV30" s="281"/>
      <c r="AW30" s="281" t="str">
        <f>VLOOKUP(B30,Sheet2!A46:I163,9,FALSE)</f>
        <v>Muhamad Nasrullah, S.Kom., M.Kom.</v>
      </c>
      <c r="AX30" s="281" t="s">
        <v>861</v>
      </c>
      <c r="AY30" s="281" t="str">
        <f>VLOOKUP(B30,Sheet2!A46:C163,2,FALSE)</f>
        <v>Sidoarjo</v>
      </c>
      <c r="AZ30" s="288">
        <f>VLOOKUP(B30,Sheet2!A46:C163,3,FALSE)</f>
        <v>33002</v>
      </c>
      <c r="BA30" s="281">
        <f ca="1">DATEDIF(AZ30, TODAY(),"y")</f>
        <v>35</v>
      </c>
      <c r="BB30" s="281"/>
      <c r="BC30" s="281"/>
      <c r="BD30" s="281"/>
      <c r="BE30" s="281"/>
      <c r="BF30" s="289"/>
      <c r="BG30" s="289"/>
      <c r="BH30" s="289"/>
      <c r="BI30" s="289"/>
      <c r="BJ30" s="289"/>
      <c r="BK30" s="289"/>
      <c r="BL30" s="288" t="s">
        <v>21</v>
      </c>
      <c r="BM30" s="281"/>
      <c r="BN30" s="281"/>
      <c r="BO30" s="281"/>
      <c r="BP30" s="281"/>
      <c r="BQ30" s="281"/>
      <c r="BR30" s="288" t="str">
        <f>VLOOKUP(B30,Sheet2!A46:E163,5,FALSE)</f>
        <v>Enterprise and Industrial System (EINS)</v>
      </c>
      <c r="BS30" s="288" t="str">
        <f>VLOOKUP(B30,Sheet2!A46:F163,6,FALSE)</f>
        <v>RLH</v>
      </c>
      <c r="BT30" s="288" t="str">
        <f>VLOOKUP(B30,Sheet2!A46:G163,7,FALSE)</f>
        <v>Fakultas Rekayasa Industri</v>
      </c>
      <c r="BU30" s="288" t="str">
        <f>VLOOKUP(B30,Sheet2!A46:H163,8,FALSE)</f>
        <v>emnasrul@telkomuniversity.ac.id</v>
      </c>
      <c r="BV30" s="280">
        <f>COUNTIFS('Join TPA Dosen'!B:B,Dosen!B46)</f>
        <v>1</v>
      </c>
      <c r="BW30" s="273" t="str">
        <f>DATEDIF(AM30,DATE(2026,1,1),"y")&amp;" tahun "&amp;DATEDIF(AM30,DATE(2026,1,1),"ym")&amp;" bulan "</f>
        <v xml:space="preserve">5 tahun 4 bulan </v>
      </c>
      <c r="BX30" s="280" t="str">
        <f>VLOOKUP($B30,Sheet1!$A:$G,2,FALSE)</f>
        <v>ITS</v>
      </c>
      <c r="BY30" s="280" t="str">
        <f>VLOOKUP($B30,Sheet1!$A:$G,3,FALSE)</f>
        <v>Sistem Informasi</v>
      </c>
      <c r="BZ30" s="280" t="str">
        <f>VLOOKUP($B30,Sheet1!$A:$G,4,FALSE)</f>
        <v>ITS</v>
      </c>
      <c r="CA30" s="280" t="str">
        <f>VLOOKUP($B30,Sheet1!$A:$G,5,FALSE)</f>
        <v>Sistem Informasi</v>
      </c>
      <c r="CB30" s="280" t="str">
        <f>VLOOKUP($B30,Sheet1!$A:$G,6,FALSE)</f>
        <v>-</v>
      </c>
      <c r="CC30" s="280">
        <f>VLOOKUP($B30,Sheet1!$A:$G,7,FALSE)</f>
        <v>0</v>
      </c>
      <c r="CD30" s="280" t="s">
        <v>882</v>
      </c>
      <c r="CE30" s="280" t="s">
        <v>903</v>
      </c>
    </row>
    <row r="31" spans="1:83" ht="19.5">
      <c r="A31" s="281">
        <v>46</v>
      </c>
      <c r="B31" s="281" t="s">
        <v>40</v>
      </c>
      <c r="C31" s="281" t="s">
        <v>20</v>
      </c>
      <c r="D31" s="281" t="s">
        <v>22</v>
      </c>
      <c r="E31" s="281">
        <v>24930005</v>
      </c>
      <c r="F31" s="281" t="s">
        <v>1010</v>
      </c>
      <c r="G31" s="282" t="s">
        <v>41</v>
      </c>
      <c r="H31" s="281" t="s">
        <v>845</v>
      </c>
      <c r="I31" s="281" t="s">
        <v>30</v>
      </c>
      <c r="J31" s="281" t="s">
        <v>42</v>
      </c>
      <c r="K31" s="281" t="s">
        <v>846</v>
      </c>
      <c r="L31" s="281" t="s">
        <v>847</v>
      </c>
      <c r="M31" s="283" t="str">
        <f>IF(L31="NJAD","AA",IF(L31="AA","L",IF(L31="L","LK","GB")))</f>
        <v>L</v>
      </c>
      <c r="N31" s="282" t="s">
        <v>511</v>
      </c>
      <c r="O31" s="281">
        <v>150</v>
      </c>
      <c r="P31" s="281" t="s">
        <v>1011</v>
      </c>
      <c r="Q31" s="284">
        <v>44986</v>
      </c>
      <c r="R31" s="281" t="str">
        <f ca="1">DATEDIF(Q31,TODAY(), "Y") &amp; " Tahun " &amp; DATEDIF(Q31, TODAY(), "YM") &amp; " Bulan"</f>
        <v>2 Tahun 10 Bulan</v>
      </c>
      <c r="S31" s="281" t="s">
        <v>849</v>
      </c>
      <c r="T31" s="285">
        <v>45078</v>
      </c>
      <c r="U31" s="281" t="str">
        <f ca="1">DATEDIF(T31,TODAY(), "Y") &amp; " Tahun " &amp; DATEDIF(T31, TODAY(), "YM") &amp; " Bulan"</f>
        <v>2 Tahun 7 Bulan</v>
      </c>
      <c r="V31" s="281" t="s">
        <v>1012</v>
      </c>
      <c r="W31" s="281" t="s">
        <v>851</v>
      </c>
      <c r="X31" s="283" t="str">
        <f ca="1">IF(AND(OR(L31="AA",L31="L"),OR(S31="Penata Muda Tk. I Golongan III/b",S31="Penata Golongan III/c"),DATEDIF(Q31,TODAY(),"m")&gt;=23,ISBLANK(Z31),C31="Aktif"),"Nominasi Serdos","-")</f>
        <v>Nominasi Serdos</v>
      </c>
      <c r="Y31" s="281" t="s">
        <v>1013</v>
      </c>
      <c r="Z31" s="282"/>
      <c r="AA31" s="281"/>
      <c r="AB31" s="281" t="s">
        <v>30</v>
      </c>
      <c r="AC31" s="282" t="s">
        <v>511</v>
      </c>
      <c r="AD31" s="281" t="s">
        <v>30</v>
      </c>
      <c r="AE31" s="281" t="s">
        <v>30</v>
      </c>
      <c r="AF31" s="281" t="s">
        <v>30</v>
      </c>
      <c r="AG31" s="281" t="s">
        <v>30</v>
      </c>
      <c r="AH31" s="281" t="s">
        <v>854</v>
      </c>
      <c r="AI31" s="281" t="s">
        <v>30</v>
      </c>
      <c r="AJ31" s="281" t="s">
        <v>30</v>
      </c>
      <c r="AK31" s="281" t="s">
        <v>30</v>
      </c>
      <c r="AM31" s="286">
        <v>44166</v>
      </c>
      <c r="AN31" s="287" t="str">
        <f ca="1">DATEDIF(AM31,TODAY(),"y")&amp;" tahun "&amp;DATEDIF(AM31,TODAY(),"ym")&amp;" bulan "</f>
        <v xml:space="preserve">5 tahun 1 bulan </v>
      </c>
      <c r="AO31" s="281" t="s">
        <v>858</v>
      </c>
      <c r="AP31" s="281" t="s">
        <v>859</v>
      </c>
      <c r="AQ31" s="281" t="s">
        <v>1014</v>
      </c>
      <c r="AR31" s="281" t="s">
        <v>43</v>
      </c>
      <c r="AS31" s="281">
        <v>81334448548</v>
      </c>
      <c r="AT31" s="281" t="s">
        <v>44</v>
      </c>
      <c r="AU31" s="281" t="s">
        <v>30</v>
      </c>
      <c r="AV31" s="281"/>
      <c r="AW31" s="281" t="str">
        <f>VLOOKUP(B31,Sheet2!A47:I164,9,FALSE)</f>
        <v>Sekar Widyasari Putri, S.A.B., M.Si.</v>
      </c>
      <c r="AX31" s="281" t="s">
        <v>902</v>
      </c>
      <c r="AY31" s="281" t="str">
        <f>VLOOKUP(B31,Sheet2!A47:C164,2,FALSE)</f>
        <v>Semarang</v>
      </c>
      <c r="AZ31" s="288">
        <f>VLOOKUP(B31,Sheet2!A47:C164,3,FALSE)</f>
        <v>34061</v>
      </c>
      <c r="BA31" s="281">
        <f ca="1">DATEDIF(AZ31, TODAY(),"y")</f>
        <v>32</v>
      </c>
      <c r="BB31" s="281"/>
      <c r="BC31" s="281"/>
      <c r="BD31" s="281"/>
      <c r="BE31" s="281"/>
      <c r="BF31" s="289"/>
      <c r="BG31" s="289"/>
      <c r="BH31" s="289"/>
      <c r="BI31" s="289"/>
      <c r="BJ31" s="289"/>
      <c r="BK31" s="289"/>
      <c r="BL31" s="288" t="str">
        <f>VLOOKUP(B31,Sheet2!A47:D164,4,FALSE)</f>
        <v>Kepala Urusan</v>
      </c>
      <c r="BM31" s="281"/>
      <c r="BN31" s="281"/>
      <c r="BO31" s="281"/>
      <c r="BP31" s="281"/>
      <c r="BQ31" s="281"/>
      <c r="BR31" s="288" t="str">
        <f>VLOOKUP(B31,Sheet2!A47:E164,5,FALSE)</f>
        <v>Strategy, Human, Entrepreneurship &amp; Economy (SHEE)</v>
      </c>
      <c r="BS31" s="288" t="str">
        <f>VLOOKUP(B31,Sheet2!A47:F164,6,FALSE)</f>
        <v>SSQ</v>
      </c>
      <c r="BT31" s="288" t="str">
        <f>VLOOKUP(B31,Sheet2!A47:G164,7,FALSE)</f>
        <v>Fakultas Ekonomi dan Bisnis</v>
      </c>
      <c r="BU31" s="288" t="str">
        <f>VLOOKUP(B31,Sheet2!A47:H164,8,FALSE)</f>
        <v>sekarwidyasariputri@telkomuniversity.ac.id</v>
      </c>
      <c r="BV31" s="280">
        <f>COUNTIFS('Join TPA Dosen'!B:B,Dosen!B47)</f>
        <v>1</v>
      </c>
      <c r="BW31" s="273" t="str">
        <f>DATEDIF(AM31,DATE(2026,1,1),"y")&amp;" tahun "&amp;DATEDIF(AM31,DATE(2026,1,1),"ym")&amp;" bulan "</f>
        <v xml:space="preserve">5 tahun 1 bulan </v>
      </c>
      <c r="BX31" s="280" t="str">
        <f>VLOOKUP($B31,Sheet1!$A:$G,2,FALSE)</f>
        <v>Undip</v>
      </c>
      <c r="BY31" s="280" t="str">
        <f>VLOOKUP($B31,Sheet1!$A:$G,3,FALSE)</f>
        <v>Administrasi Bisnis</v>
      </c>
      <c r="BZ31" s="280" t="str">
        <f>VLOOKUP($B31,Sheet1!$A:$G,4,FALSE)</f>
        <v>Undip</v>
      </c>
      <c r="CA31" s="280" t="str">
        <f>VLOOKUP($B31,Sheet1!$A:$G,5,FALSE)</f>
        <v>Ilmu Sosial dan Politik/Ilmu Administrasi</v>
      </c>
      <c r="CB31" s="280" t="str">
        <f>VLOOKUP($B31,Sheet1!$A:$G,6,FALSE)</f>
        <v>-</v>
      </c>
      <c r="CC31" s="280">
        <f>VLOOKUP($B31,Sheet1!$A:$G,7,FALSE)</f>
        <v>0</v>
      </c>
      <c r="CD31" s="280" t="s">
        <v>871</v>
      </c>
      <c r="CE31" s="280" t="s">
        <v>863</v>
      </c>
    </row>
    <row r="32" spans="1:83" ht="19.5">
      <c r="A32" s="281">
        <v>48</v>
      </c>
      <c r="B32" s="281" t="s">
        <v>111</v>
      </c>
      <c r="C32" s="281" t="s">
        <v>20</v>
      </c>
      <c r="D32" s="281" t="s">
        <v>107</v>
      </c>
      <c r="E32" s="281">
        <v>25950031</v>
      </c>
      <c r="F32" s="281" t="s">
        <v>1015</v>
      </c>
      <c r="G32" s="282" t="s">
        <v>112</v>
      </c>
      <c r="H32" s="301" t="s">
        <v>845</v>
      </c>
      <c r="I32" s="281" t="s">
        <v>30</v>
      </c>
      <c r="J32" s="281" t="s">
        <v>113</v>
      </c>
      <c r="K32" s="281" t="s">
        <v>893</v>
      </c>
      <c r="L32" s="281" t="s">
        <v>775</v>
      </c>
      <c r="M32" s="283" t="s">
        <v>776</v>
      </c>
      <c r="N32" s="292" t="s">
        <v>511</v>
      </c>
      <c r="O32" s="281">
        <v>200</v>
      </c>
      <c r="P32" s="281" t="s">
        <v>1016</v>
      </c>
      <c r="Q32" s="284">
        <v>45901</v>
      </c>
      <c r="R32" s="281" t="str">
        <f ca="1">DATEDIF(Q32,TODAY(), "Y") &amp; " Tahun " &amp; DATEDIF(Q32, TODAY(), "YM") &amp; " Bulan"</f>
        <v>0 Tahun 4 Bulan</v>
      </c>
      <c r="S32" s="281" t="s">
        <v>876</v>
      </c>
      <c r="T32" s="285">
        <v>46023</v>
      </c>
      <c r="U32" s="281" t="str">
        <f ca="1">DATEDIF(T32,TODAY(), "Y") &amp; " Tahun " &amp; DATEDIF(T32, TODAY(), "YM") &amp; " Bulan"</f>
        <v>0 Tahun 0 Bulan</v>
      </c>
      <c r="V32" s="281" t="s">
        <v>1017</v>
      </c>
      <c r="W32" s="281" t="s">
        <v>851</v>
      </c>
      <c r="X32" s="283" t="str">
        <f ca="1">IF(AND(OR(L32="AA",L32="L"),OR(S32="Penata Muda Tk. I Golongan III/b",S32="Penata Golongan III/c"),DATEDIF(Q32,TODAY(),"m")&gt;=23,ISBLANK(Z32),C32="Aktif"),"Nominasi Serdos","-")</f>
        <v>-</v>
      </c>
      <c r="Y32" s="281" t="s">
        <v>1013</v>
      </c>
      <c r="Z32" s="282"/>
      <c r="AA32" s="281"/>
      <c r="AB32" s="281" t="s">
        <v>30</v>
      </c>
      <c r="AC32" s="282" t="s">
        <v>511</v>
      </c>
      <c r="AD32" s="281" t="s">
        <v>30</v>
      </c>
      <c r="AE32" s="281" t="s">
        <v>30</v>
      </c>
      <c r="AF32" s="281" t="s">
        <v>30</v>
      </c>
      <c r="AG32" s="281" t="s">
        <v>30</v>
      </c>
      <c r="AH32" s="281" t="s">
        <v>854</v>
      </c>
      <c r="AI32" s="281" t="s">
        <v>30</v>
      </c>
      <c r="AJ32" s="281" t="s">
        <v>30</v>
      </c>
      <c r="AK32" s="281" t="s">
        <v>30</v>
      </c>
      <c r="AM32" s="286">
        <v>44166</v>
      </c>
      <c r="AN32" s="287" t="str">
        <f ca="1">DATEDIF(AM32,TODAY(),"y")&amp;" tahun "&amp;DATEDIF(AM32,TODAY(),"ym")&amp;" bulan "</f>
        <v xml:space="preserve">5 tahun 1 bulan </v>
      </c>
      <c r="AO32" s="281" t="s">
        <v>858</v>
      </c>
      <c r="AP32" s="281" t="s">
        <v>962</v>
      </c>
      <c r="AQ32" s="281" t="s">
        <v>1018</v>
      </c>
      <c r="AR32" s="281" t="s">
        <v>114</v>
      </c>
      <c r="AS32" s="281">
        <v>82132194465</v>
      </c>
      <c r="AT32" s="281" t="s">
        <v>115</v>
      </c>
      <c r="AU32" s="281" t="s">
        <v>30</v>
      </c>
      <c r="AV32" s="281"/>
      <c r="AW32" s="281" t="str">
        <f>VLOOKUP(B32,Sheet2!A49:I166,9,FALSE)</f>
        <v>Ahmad Wali Satria Bahari Johan, S.ST., M.Kom.</v>
      </c>
      <c r="AX32" s="281" t="s">
        <v>861</v>
      </c>
      <c r="AY32" s="281" t="str">
        <f>VLOOKUP(B32,Sheet2!A49:C166,2,FALSE)</f>
        <v>Bojonegoro</v>
      </c>
      <c r="AZ32" s="288">
        <f>VLOOKUP(B32,Sheet2!A49:C166,3,FALSE)</f>
        <v>34832</v>
      </c>
      <c r="BA32" s="281">
        <f ca="1">DATEDIF(AZ32, TODAY(),"y")</f>
        <v>30</v>
      </c>
      <c r="BB32" s="281"/>
      <c r="BC32" s="281"/>
      <c r="BD32" s="281"/>
      <c r="BE32" s="281"/>
      <c r="BF32" s="289"/>
      <c r="BG32" s="289"/>
      <c r="BH32" s="289"/>
      <c r="BI32" s="289"/>
      <c r="BJ32" s="289"/>
      <c r="BK32" s="289"/>
      <c r="BL32" s="288" t="s">
        <v>1019</v>
      </c>
      <c r="BM32" s="281"/>
      <c r="BN32" s="281"/>
      <c r="BO32" s="281"/>
      <c r="BP32" s="281"/>
      <c r="BQ32" s="281"/>
      <c r="BR32" s="288" t="str">
        <f>VLOOKUP(B32,Sheet2!A49:E166,5,FALSE)</f>
        <v>Data Science and Intelligent Systems (DSIS)</v>
      </c>
      <c r="BS32" s="288" t="str">
        <f>VLOOKUP(B32,Sheet2!A49:F166,6,FALSE)</f>
        <v>AWQ</v>
      </c>
      <c r="BT32" s="288" t="str">
        <f>VLOOKUP(B32,Sheet2!A49:G166,7,FALSE)</f>
        <v>Fakultas Informatika</v>
      </c>
      <c r="BU32" s="288" t="str">
        <f>VLOOKUP(B32,Sheet2!A49:H166,8,FALSE)</f>
        <v>ahmadsatria@telkomuniversity.ac.id</v>
      </c>
      <c r="BV32" s="280">
        <f>COUNTIFS('Join TPA Dosen'!B:B,Dosen!B49)</f>
        <v>1</v>
      </c>
      <c r="BW32" s="273" t="str">
        <f>DATEDIF(AM32,DATE(2026,1,1),"y")&amp;" tahun "&amp;DATEDIF(AM32,DATE(2026,1,1),"ym")&amp;" bulan "</f>
        <v xml:space="preserve">5 tahun 1 bulan </v>
      </c>
      <c r="BX32" s="280" t="str">
        <f>VLOOKUP($B32,Sheet1!$A:$G,2,FALSE)</f>
        <v>POLINEMA</v>
      </c>
      <c r="BY32" s="280" t="str">
        <f>VLOOKUP($B32,Sheet1!$A:$G,3,FALSE)</f>
        <v>Teknologi Informasi/Teknik Informatika</v>
      </c>
      <c r="BZ32" s="280" t="str">
        <f>VLOOKUP($B32,Sheet1!$A:$G,4,FALSE)</f>
        <v>Univ. Brawijaya</v>
      </c>
      <c r="CA32" s="280" t="str">
        <f>VLOOKUP($B32,Sheet1!$A:$G,5,FALSE)</f>
        <v>Ilmu Komputer/Ilmu Komputer</v>
      </c>
      <c r="CB32" s="280" t="str">
        <f>VLOOKUP($B32,Sheet1!$A:$G,6,FALSE)</f>
        <v>-</v>
      </c>
      <c r="CC32" s="280">
        <f>VLOOKUP($B32,Sheet1!$A:$G,7,FALSE)</f>
        <v>0</v>
      </c>
      <c r="CD32" s="280" t="s">
        <v>862</v>
      </c>
      <c r="CE32" s="280" t="s">
        <v>903</v>
      </c>
    </row>
    <row r="33" spans="1:84" ht="19.5">
      <c r="A33" s="281">
        <v>49</v>
      </c>
      <c r="B33" s="281" t="s">
        <v>116</v>
      </c>
      <c r="C33" s="281" t="s">
        <v>20</v>
      </c>
      <c r="D33" s="281" t="s">
        <v>107</v>
      </c>
      <c r="E33" s="281">
        <v>25940031</v>
      </c>
      <c r="F33" s="281" t="s">
        <v>1020</v>
      </c>
      <c r="G33" s="282" t="s">
        <v>117</v>
      </c>
      <c r="H33" s="301" t="s">
        <v>845</v>
      </c>
      <c r="I33" s="281" t="s">
        <v>30</v>
      </c>
      <c r="J33" s="281" t="s">
        <v>118</v>
      </c>
      <c r="K33" s="281" t="s">
        <v>893</v>
      </c>
      <c r="L33" s="281" t="s">
        <v>775</v>
      </c>
      <c r="M33" s="283" t="str">
        <f>IF(L33="NJAD","AA",IF(L33="AA","L",IF(L33="L","LK","GB")))</f>
        <v>LK</v>
      </c>
      <c r="N33" s="282" t="s">
        <v>511</v>
      </c>
      <c r="O33" s="281">
        <v>200</v>
      </c>
      <c r="P33" s="281" t="s">
        <v>1021</v>
      </c>
      <c r="Q33" s="284">
        <v>46023</v>
      </c>
      <c r="R33" s="281" t="str">
        <f ca="1">DATEDIF(Q33,TODAY(), "Y") &amp; " Tahun " &amp; DATEDIF(Q33, TODAY(), "YM") &amp; " Bulan"</f>
        <v>0 Tahun 0 Bulan</v>
      </c>
      <c r="S33" s="281" t="s">
        <v>849</v>
      </c>
      <c r="T33" s="285">
        <v>45505</v>
      </c>
      <c r="U33" s="281" t="str">
        <f ca="1">DATEDIF(T33,TODAY(), "Y") &amp; " Tahun " &amp; DATEDIF(T33, TODAY(), "YM") &amp; " Bulan"</f>
        <v>1 Tahun 5 Bulan</v>
      </c>
      <c r="V33" s="281" t="s">
        <v>1022</v>
      </c>
      <c r="W33" s="281" t="s">
        <v>851</v>
      </c>
      <c r="X33" s="283" t="str">
        <f ca="1">IF(AND(OR(L33="AA",L33="L"),OR(S33="Penata Muda Tk. I Golongan III/b",S33="Penata Golongan III/c"),DATEDIF(Q33,TODAY(),"m")&gt;=23,ISBLANK(Z33),C33="Aktif"),"Nominasi Serdos","-")</f>
        <v>-</v>
      </c>
      <c r="Y33" s="281"/>
      <c r="Z33" s="282"/>
      <c r="AA33" s="281"/>
      <c r="AB33" s="281" t="s">
        <v>30</v>
      </c>
      <c r="AC33" s="282" t="s">
        <v>511</v>
      </c>
      <c r="AD33" s="281" t="s">
        <v>30</v>
      </c>
      <c r="AE33" s="281" t="s">
        <v>30</v>
      </c>
      <c r="AF33" s="281" t="s">
        <v>30</v>
      </c>
      <c r="AG33" s="281" t="s">
        <v>30</v>
      </c>
      <c r="AH33" s="281" t="s">
        <v>854</v>
      </c>
      <c r="AI33" s="281" t="s">
        <v>30</v>
      </c>
      <c r="AJ33" s="281" t="s">
        <v>30</v>
      </c>
      <c r="AK33" s="281" t="s">
        <v>30</v>
      </c>
      <c r="AM33" s="286">
        <v>44166</v>
      </c>
      <c r="AN33" s="287" t="str">
        <f ca="1">DATEDIF(AM33,TODAY(),"y")&amp;" tahun "&amp;DATEDIF(AM33,TODAY(),"ym")&amp;" bulan "</f>
        <v xml:space="preserve">5 tahun 1 bulan </v>
      </c>
      <c r="AO33" s="281" t="s">
        <v>858</v>
      </c>
      <c r="AP33" s="281" t="s">
        <v>962</v>
      </c>
      <c r="AQ33" s="281" t="s">
        <v>1023</v>
      </c>
      <c r="AR33" s="281" t="s">
        <v>119</v>
      </c>
      <c r="AS33" s="281">
        <v>85323076783</v>
      </c>
      <c r="AT33" s="281" t="s">
        <v>120</v>
      </c>
      <c r="AU33" s="281" t="s">
        <v>30</v>
      </c>
      <c r="AV33" s="281"/>
      <c r="AW33" s="281" t="str">
        <f>VLOOKUP(B33,Sheet2!A50:I167,9,FALSE)</f>
        <v>Muhammad Dzulfikar Fauzi, S.Kom., M.Cs.</v>
      </c>
      <c r="AX33" s="281" t="s">
        <v>861</v>
      </c>
      <c r="AY33" s="281" t="str">
        <f>VLOOKUP(B33,Sheet2!A50:C167,2,FALSE)</f>
        <v>Jombang</v>
      </c>
      <c r="AZ33" s="288">
        <f>VLOOKUP(B33,Sheet2!A50:C167,3,FALSE)</f>
        <v>34641</v>
      </c>
      <c r="BA33" s="281">
        <f ca="1">DATEDIF(AZ33, TODAY(),"y")</f>
        <v>31</v>
      </c>
      <c r="BB33" s="281"/>
      <c r="BC33" s="281"/>
      <c r="BD33" s="281"/>
      <c r="BE33" s="281"/>
      <c r="BF33" s="289"/>
      <c r="BG33" s="289"/>
      <c r="BH33" s="289"/>
      <c r="BI33" s="289"/>
      <c r="BJ33" s="289"/>
      <c r="BK33" s="289"/>
      <c r="BL33" s="288" t="str">
        <f>VLOOKUP(B33,Sheet2!A50:D167,4,FALSE)</f>
        <v>Kaprodi</v>
      </c>
      <c r="BM33" s="281"/>
      <c r="BN33" s="281"/>
      <c r="BO33" s="281"/>
      <c r="BP33" s="281"/>
      <c r="BQ33" s="281"/>
      <c r="BR33" s="288" t="str">
        <f>VLOOKUP(B33,Sheet2!A50:E167,5,FALSE)</f>
        <v>Data Science and Intelligent Systems (DSIS)</v>
      </c>
      <c r="BS33" s="288" t="str">
        <f>VLOOKUP(B33,Sheet2!A50:F167,6,FALSE)</f>
        <v>MDX</v>
      </c>
      <c r="BT33" s="288" t="str">
        <f>VLOOKUP(B33,Sheet2!A50:G167,7,FALSE)</f>
        <v>Fakultas Informatika</v>
      </c>
      <c r="BU33" s="288" t="str">
        <f>VLOOKUP(B33,Sheet2!A50:H167,8,FALSE)</f>
        <v>dzulfikarf@telkomuniversity.ac.id</v>
      </c>
      <c r="BV33" s="280">
        <f>COUNTIFS('Join TPA Dosen'!B:B,Dosen!B50)</f>
        <v>1</v>
      </c>
      <c r="BW33" s="273" t="str">
        <f>DATEDIF(AM33,DATE(2026,1,1),"y")&amp;" tahun "&amp;DATEDIF(AM33,DATE(2026,1,1),"ym")&amp;" bulan "</f>
        <v xml:space="preserve">5 tahun 1 bulan </v>
      </c>
      <c r="BX33" s="280" t="str">
        <f>VLOOKUP($B33,Sheet1!$A:$G,2,FALSE)</f>
        <v>UIN JOGJA</v>
      </c>
      <c r="BY33" s="280" t="str">
        <f>VLOOKUP($B33,Sheet1!$A:$G,3,FALSE)</f>
        <v>Teknik Informatika</v>
      </c>
      <c r="BZ33" s="280" t="str">
        <f>VLOOKUP($B33,Sheet1!$A:$G,4,FALSE)</f>
        <v>UGM</v>
      </c>
      <c r="CA33" s="280" t="str">
        <f>VLOOKUP($B33,Sheet1!$A:$G,5,FALSE)</f>
        <v>Matematika dan Ilmu Pengatahuan Alam/Ilmu Komputer</v>
      </c>
      <c r="CB33" s="280" t="str">
        <f>VLOOKUP($B33,Sheet1!$A:$G,6,FALSE)</f>
        <v>-</v>
      </c>
      <c r="CC33" s="280">
        <f>VLOOKUP($B33,Sheet1!$A:$G,7,FALSE)</f>
        <v>0</v>
      </c>
      <c r="CD33" s="280" t="s">
        <v>882</v>
      </c>
      <c r="CE33" s="280" t="s">
        <v>903</v>
      </c>
    </row>
    <row r="34" spans="1:84" ht="19.5">
      <c r="A34" s="281">
        <v>50</v>
      </c>
      <c r="B34" s="281" t="s">
        <v>121</v>
      </c>
      <c r="C34" s="281" t="s">
        <v>20</v>
      </c>
      <c r="D34" s="281" t="s">
        <v>107</v>
      </c>
      <c r="E34" s="281">
        <v>23950024</v>
      </c>
      <c r="F34" s="281" t="s">
        <v>1024</v>
      </c>
      <c r="G34" s="282" t="s">
        <v>122</v>
      </c>
      <c r="H34" s="281" t="s">
        <v>845</v>
      </c>
      <c r="I34" s="281" t="s">
        <v>30</v>
      </c>
      <c r="J34" s="281" t="s">
        <v>57</v>
      </c>
      <c r="K34" s="281" t="s">
        <v>846</v>
      </c>
      <c r="L34" s="281" t="s">
        <v>847</v>
      </c>
      <c r="M34" s="283" t="str">
        <f>IF(L34="NJAD","AA",IF(L34="AA","L",IF(L34="L","LK","GB")))</f>
        <v>L</v>
      </c>
      <c r="N34" s="282" t="s">
        <v>511</v>
      </c>
      <c r="O34" s="281">
        <v>150</v>
      </c>
      <c r="P34" s="281" t="s">
        <v>1025</v>
      </c>
      <c r="Q34" s="284">
        <v>45047</v>
      </c>
      <c r="R34" s="281" t="str">
        <f ca="1">DATEDIF(Q34,TODAY(), "Y") &amp; " Tahun " &amp; DATEDIF(Q34, TODAY(), "YM") &amp; " Bulan"</f>
        <v>2 Tahun 8 Bulan</v>
      </c>
      <c r="S34" s="281" t="s">
        <v>849</v>
      </c>
      <c r="T34" s="285">
        <v>45170</v>
      </c>
      <c r="U34" s="281" t="str">
        <f ca="1">DATEDIF(T34,TODAY(), "Y") &amp; " Tahun " &amp; DATEDIF(T34, TODAY(), "YM") &amp; " Bulan"</f>
        <v>2 Tahun 4 Bulan</v>
      </c>
      <c r="V34" s="281" t="s">
        <v>1026</v>
      </c>
      <c r="W34" s="281" t="s">
        <v>851</v>
      </c>
      <c r="X34" s="283" t="str">
        <f ca="1">IF(AND(OR(L34="AA",L34="L"),OR(S34="Penata Muda Tk. I Golongan III/b",S34="Penata Golongan III/c"),DATEDIF(Q34,TODAY(),"m")&gt;=23,ISBLANK(Z34),C34="Aktif"),"Nominasi Serdos","-")</f>
        <v>Nominasi Serdos</v>
      </c>
      <c r="Y34" s="281" t="s">
        <v>1013</v>
      </c>
      <c r="Z34" s="282"/>
      <c r="AA34" s="281"/>
      <c r="AB34" s="281" t="s">
        <v>30</v>
      </c>
      <c r="AC34" s="282" t="s">
        <v>511</v>
      </c>
      <c r="AD34" s="281" t="s">
        <v>30</v>
      </c>
      <c r="AE34" s="281" t="s">
        <v>30</v>
      </c>
      <c r="AF34" s="281" t="s">
        <v>30</v>
      </c>
      <c r="AG34" s="281" t="s">
        <v>30</v>
      </c>
      <c r="AH34" s="281" t="s">
        <v>854</v>
      </c>
      <c r="AI34" s="281" t="s">
        <v>30</v>
      </c>
      <c r="AJ34" s="281" t="s">
        <v>30</v>
      </c>
      <c r="AK34" s="281" t="s">
        <v>30</v>
      </c>
      <c r="AM34" s="286">
        <v>44166</v>
      </c>
      <c r="AN34" s="287" t="str">
        <f ca="1">DATEDIF(AM34,TODAY(),"y")&amp;" tahun "&amp;DATEDIF(AM34,TODAY(),"ym")&amp;" bulan "</f>
        <v xml:space="preserve">5 tahun 1 bulan </v>
      </c>
      <c r="AO34" s="281" t="s">
        <v>858</v>
      </c>
      <c r="AP34" s="281" t="s">
        <v>962</v>
      </c>
      <c r="AQ34" s="281" t="s">
        <v>1027</v>
      </c>
      <c r="AR34" s="281" t="s">
        <v>123</v>
      </c>
      <c r="AS34" s="281">
        <v>81233777404</v>
      </c>
      <c r="AT34" s="281" t="s">
        <v>124</v>
      </c>
      <c r="AU34" s="281" t="s">
        <v>30</v>
      </c>
      <c r="AV34" s="302"/>
      <c r="AW34" s="281" t="str">
        <f>VLOOKUP(B34,Sheet2!A51:I168,9,FALSE)</f>
        <v>Kharisma Monika Dian Pertiwi, S.Kom., M.Kom.</v>
      </c>
      <c r="AX34" s="281" t="s">
        <v>902</v>
      </c>
      <c r="AY34" s="281" t="str">
        <f>VLOOKUP(B34,Sheet2!A51:C168,2,FALSE)</f>
        <v>Madiun</v>
      </c>
      <c r="AZ34" s="288">
        <f>VLOOKUP(B34,Sheet2!A51:C168,3,FALSE)</f>
        <v>34858</v>
      </c>
      <c r="BA34" s="281">
        <f ca="1">DATEDIF(AZ34, TODAY(),"y")</f>
        <v>30</v>
      </c>
      <c r="BB34" s="281"/>
      <c r="BC34" s="281"/>
      <c r="BD34" s="281"/>
      <c r="BE34" s="281"/>
      <c r="BF34" s="289"/>
      <c r="BG34" s="289"/>
      <c r="BH34" s="289"/>
      <c r="BI34" s="289"/>
      <c r="BJ34" s="289"/>
      <c r="BK34" s="289"/>
      <c r="BL34" s="288" t="str">
        <f>VLOOKUP(B34,Sheet2!A51:D168,4,FALSE)</f>
        <v>Dosen</v>
      </c>
      <c r="BM34" s="303"/>
      <c r="BN34" s="302"/>
      <c r="BO34" s="281"/>
      <c r="BP34" s="281"/>
      <c r="BQ34" s="302"/>
      <c r="BR34" s="288" t="str">
        <f>VLOOKUP(B34,Sheet2!A51:E168,5,FALSE)</f>
        <v>Communication and Information Technology Infrastructure (CITI)</v>
      </c>
      <c r="BS34" s="288" t="str">
        <f>VLOOKUP(B34,Sheet2!A51:F168,6,FALSE)</f>
        <v>KMP</v>
      </c>
      <c r="BT34" s="288" t="str">
        <f>VLOOKUP(B34,Sheet2!A51:G168,7,FALSE)</f>
        <v>Fakultas Informatika</v>
      </c>
      <c r="BU34" s="288" t="str">
        <f>VLOOKUP(B34,Sheet2!A51:H168,8,FALSE)</f>
        <v>kharismamonikadp@telkomuniversity.ac.id</v>
      </c>
      <c r="BV34" s="280">
        <f>COUNTIFS('Join TPA Dosen'!B:B,Dosen!B51)</f>
        <v>1</v>
      </c>
      <c r="BW34" s="273" t="str">
        <f>DATEDIF(AM34,DATE(2026,1,1),"y")&amp;" tahun "&amp;DATEDIF(AM34,DATE(2026,1,1),"ym")&amp;" bulan "</f>
        <v xml:space="preserve">5 tahun 1 bulan </v>
      </c>
      <c r="BX34" s="280" t="str">
        <f>VLOOKUP($B34,Sheet1!$A:$G,2,FALSE)</f>
        <v>ITS</v>
      </c>
      <c r="BY34" s="280" t="str">
        <f>VLOOKUP($B34,Sheet1!$A:$G,3,FALSE)</f>
        <v>Teknologi Informasi dan Komunikasi/Teknik Informatika</v>
      </c>
      <c r="BZ34" s="280" t="str">
        <f>VLOOKUP($B34,Sheet1!$A:$G,4,FALSE)</f>
        <v>ITS</v>
      </c>
      <c r="CA34" s="280" t="str">
        <f>VLOOKUP($B34,Sheet1!$A:$G,5,FALSE)</f>
        <v>Teknologi Elektro dan Informatika Cerdas/Teknik Informatika</v>
      </c>
      <c r="CB34" s="280" t="str">
        <f>VLOOKUP($B34,Sheet1!$A:$G,6,FALSE)</f>
        <v>-</v>
      </c>
      <c r="CC34" s="280">
        <f>VLOOKUP($B34,Sheet1!$A:$G,7,FALSE)</f>
        <v>0</v>
      </c>
      <c r="CD34" s="280" t="s">
        <v>882</v>
      </c>
      <c r="CE34" s="280" t="s">
        <v>903</v>
      </c>
    </row>
    <row r="35" spans="1:84" ht="19.5">
      <c r="A35" s="281">
        <v>51</v>
      </c>
      <c r="B35" s="281" t="s">
        <v>125</v>
      </c>
      <c r="C35" s="281" t="s">
        <v>20</v>
      </c>
      <c r="D35" s="281" t="s">
        <v>107</v>
      </c>
      <c r="E35" s="281">
        <v>25970012</v>
      </c>
      <c r="F35" s="281" t="s">
        <v>1028</v>
      </c>
      <c r="G35" s="282" t="s">
        <v>126</v>
      </c>
      <c r="H35" s="301" t="s">
        <v>845</v>
      </c>
      <c r="I35" s="281" t="s">
        <v>30</v>
      </c>
      <c r="J35" s="281" t="s">
        <v>57</v>
      </c>
      <c r="K35" s="281" t="s">
        <v>846</v>
      </c>
      <c r="L35" s="281" t="s">
        <v>847</v>
      </c>
      <c r="M35" s="283" t="str">
        <f>IF(L35="NJAD","AA",IF(L35="AA","L",IF(L35="L","LK","GB")))</f>
        <v>L</v>
      </c>
      <c r="N35" s="282" t="s">
        <v>511</v>
      </c>
      <c r="O35" s="281">
        <v>150</v>
      </c>
      <c r="P35" s="281" t="s">
        <v>1029</v>
      </c>
      <c r="Q35" s="284">
        <v>45108</v>
      </c>
      <c r="R35" s="281" t="str">
        <f ca="1">DATEDIF(Q35,TODAY(), "Y") &amp; " Tahun " &amp; DATEDIF(Q35, TODAY(), "YM") &amp; " Bulan"</f>
        <v>2 Tahun 6 Bulan</v>
      </c>
      <c r="S35" s="281" t="s">
        <v>849</v>
      </c>
      <c r="T35" s="285">
        <v>45505</v>
      </c>
      <c r="U35" s="281" t="str">
        <f ca="1">DATEDIF(T35,TODAY(), "Y") &amp; " Tahun " &amp; DATEDIF(T35, TODAY(), "YM") &amp; " Bulan"</f>
        <v>1 Tahun 5 Bulan</v>
      </c>
      <c r="V35" s="281" t="s">
        <v>1030</v>
      </c>
      <c r="W35" s="281" t="s">
        <v>851</v>
      </c>
      <c r="X35" s="283" t="str">
        <f ca="1">IF(AND(OR(L35="AA",L35="L"),OR(S35="Penata Muda Tk. I Golongan III/b",S35="Penata Golongan III/c"),DATEDIF(Q35,TODAY(),"m")&gt;=23,ISBLANK(Z35),C35="Aktif"),"Nominasi Serdos","-")</f>
        <v>Nominasi Serdos</v>
      </c>
      <c r="Y35" s="281"/>
      <c r="Z35" s="282"/>
      <c r="AA35" s="281"/>
      <c r="AB35" s="281" t="s">
        <v>30</v>
      </c>
      <c r="AC35" s="282" t="s">
        <v>511</v>
      </c>
      <c r="AD35" s="281" t="s">
        <v>30</v>
      </c>
      <c r="AE35" s="281" t="s">
        <v>30</v>
      </c>
      <c r="AF35" s="281" t="s">
        <v>30</v>
      </c>
      <c r="AG35" s="281" t="s">
        <v>30</v>
      </c>
      <c r="AH35" s="281" t="s">
        <v>854</v>
      </c>
      <c r="AI35" s="281" t="s">
        <v>30</v>
      </c>
      <c r="AJ35" s="281" t="s">
        <v>30</v>
      </c>
      <c r="AK35" s="281" t="s">
        <v>30</v>
      </c>
      <c r="AM35" s="286">
        <v>44166</v>
      </c>
      <c r="AN35" s="287" t="str">
        <f ca="1">DATEDIF(AM35,TODAY(),"y")&amp;" tahun "&amp;DATEDIF(AM35,TODAY(),"ym")&amp;" bulan "</f>
        <v xml:space="preserve">5 tahun 1 bulan </v>
      </c>
      <c r="AO35" s="281" t="s">
        <v>858</v>
      </c>
      <c r="AP35" s="281" t="s">
        <v>962</v>
      </c>
      <c r="AQ35" s="281" t="s">
        <v>1031</v>
      </c>
      <c r="AR35" s="281" t="s">
        <v>127</v>
      </c>
      <c r="AS35" s="281">
        <v>81230777099</v>
      </c>
      <c r="AT35" s="281" t="s">
        <v>128</v>
      </c>
      <c r="AU35" s="281" t="s">
        <v>30</v>
      </c>
      <c r="AV35" s="281"/>
      <c r="AW35" s="281" t="str">
        <f>VLOOKUP(B35,Sheet2!A52:I169,9,FALSE)</f>
        <v>Rizky Fenaldo Maulana, S.Kom., M.Kom.</v>
      </c>
      <c r="AX35" s="281" t="s">
        <v>861</v>
      </c>
      <c r="AY35" s="281" t="str">
        <f>VLOOKUP(B35,Sheet2!A52:C169,2,FALSE)</f>
        <v>Denpasar</v>
      </c>
      <c r="AZ35" s="288">
        <f>VLOOKUP(B35,Sheet2!A52:C169,3,FALSE)</f>
        <v>35625</v>
      </c>
      <c r="BA35" s="281">
        <f ca="1">DATEDIF(AZ35, TODAY(),"y")</f>
        <v>28</v>
      </c>
      <c r="BB35" s="281"/>
      <c r="BC35" s="281"/>
      <c r="BD35" s="281"/>
      <c r="BE35" s="281"/>
      <c r="BF35" s="289"/>
      <c r="BG35" s="289"/>
      <c r="BH35" s="289"/>
      <c r="BI35" s="289"/>
      <c r="BJ35" s="289"/>
      <c r="BK35" s="289"/>
      <c r="BL35" s="288" t="str">
        <f>VLOOKUP(B35,Sheet2!A52:D169,4,FALSE)</f>
        <v>Kabag</v>
      </c>
      <c r="BM35" s="281"/>
      <c r="BN35" s="281"/>
      <c r="BO35" s="281"/>
      <c r="BP35" s="281"/>
      <c r="BQ35" s="281"/>
      <c r="BR35" s="288" t="str">
        <f>VLOOKUP(B35,Sheet2!A52:E169,5,FALSE)</f>
        <v>Communication and Information Technology Infrastructure (CITI)</v>
      </c>
      <c r="BS35" s="288" t="str">
        <f>VLOOKUP(B35,Sheet2!A52:F169,6,FALSE)</f>
        <v>RZO</v>
      </c>
      <c r="BT35" s="288" t="str">
        <f>VLOOKUP(B35,Sheet2!A52:G169,7,FALSE)</f>
        <v>Fakultas Informatika</v>
      </c>
      <c r="BU35" s="288" t="str">
        <f>VLOOKUP(B35,Sheet2!A52:H169,8,FALSE)</f>
        <v>rizkyfenaldo@telkomuniversity.ac.id</v>
      </c>
      <c r="BV35" s="280">
        <f>COUNTIFS('Join TPA Dosen'!B:B,Dosen!B52)</f>
        <v>1</v>
      </c>
      <c r="BW35" s="273" t="str">
        <f>DATEDIF(AM35,DATE(2026,1,1),"y")&amp;" tahun "&amp;DATEDIF(AM35,DATE(2026,1,1),"ym")&amp;" bulan "</f>
        <v xml:space="preserve">5 tahun 1 bulan </v>
      </c>
      <c r="BX35" s="280" t="str">
        <f>VLOOKUP($B35,Sheet1!$A:$G,2,FALSE)</f>
        <v>ITS</v>
      </c>
      <c r="BY35" s="280" t="str">
        <f>VLOOKUP($B35,Sheet1!$A:$G,3,FALSE)</f>
        <v>Teknologi Informasi dan Komunikasi/Teknik Informatika</v>
      </c>
      <c r="BZ35" s="280" t="str">
        <f>VLOOKUP($B35,Sheet1!$A:$G,4,FALSE)</f>
        <v>ITS</v>
      </c>
      <c r="CA35" s="280" t="str">
        <f>VLOOKUP($B35,Sheet1!$A:$G,5,FALSE)</f>
        <v>Teknologi Elektro dan Informatika Cerdas/Teknik Informatika</v>
      </c>
      <c r="CB35" s="280" t="str">
        <f>VLOOKUP($B35,Sheet1!$A:$G,6,FALSE)</f>
        <v>-</v>
      </c>
      <c r="CC35" s="280">
        <f>VLOOKUP($B35,Sheet1!$A:$G,7,FALSE)</f>
        <v>0</v>
      </c>
      <c r="CD35" s="280" t="s">
        <v>862</v>
      </c>
      <c r="CE35" s="280" t="s">
        <v>903</v>
      </c>
    </row>
    <row r="36" spans="1:84" ht="19.5">
      <c r="A36" s="281">
        <v>52</v>
      </c>
      <c r="B36" s="281" t="s">
        <v>200</v>
      </c>
      <c r="C36" s="281" t="s">
        <v>20</v>
      </c>
      <c r="D36" s="281" t="s">
        <v>201</v>
      </c>
      <c r="E36" s="281">
        <v>25940030</v>
      </c>
      <c r="F36" s="281" t="s">
        <v>1032</v>
      </c>
      <c r="G36" s="282" t="s">
        <v>202</v>
      </c>
      <c r="H36" s="301" t="s">
        <v>845</v>
      </c>
      <c r="I36" s="281" t="s">
        <v>30</v>
      </c>
      <c r="J36" s="281" t="s">
        <v>203</v>
      </c>
      <c r="K36" s="281" t="s">
        <v>893</v>
      </c>
      <c r="L36" s="281" t="s">
        <v>775</v>
      </c>
      <c r="M36" s="283" t="str">
        <f>IF(L36="NJAD","AA",IF(L36="AA","L",IF(L36="L","LK","GB")))</f>
        <v>LK</v>
      </c>
      <c r="N36" s="281" t="s">
        <v>30</v>
      </c>
      <c r="O36" s="281">
        <v>200</v>
      </c>
      <c r="P36" s="281" t="s">
        <v>1033</v>
      </c>
      <c r="Q36" s="284">
        <v>46023</v>
      </c>
      <c r="R36" s="281" t="str">
        <f ca="1">DATEDIF(Q36,TODAY(), "Y") &amp; " Tahun " &amp; DATEDIF(Q36, TODAY(), "YM") &amp; " Bulan"</f>
        <v>0 Tahun 0 Bulan</v>
      </c>
      <c r="S36" s="281" t="s">
        <v>849</v>
      </c>
      <c r="T36" s="285">
        <v>45505</v>
      </c>
      <c r="U36" s="281" t="str">
        <f ca="1">DATEDIF(T36,TODAY(), "Y") &amp; " Tahun " &amp; DATEDIF(T36, TODAY(), "YM") &amp; " Bulan"</f>
        <v>1 Tahun 5 Bulan</v>
      </c>
      <c r="V36" s="281" t="s">
        <v>1034</v>
      </c>
      <c r="W36" s="281" t="s">
        <v>851</v>
      </c>
      <c r="X36" s="283" t="str">
        <f ca="1">IF(AND(OR(L36="AA",L36="L"),OR(S36="Penata Muda Tk. I Golongan III/b",S36="Penata Golongan III/c"),DATEDIF(Q36,TODAY(),"m")&gt;=23,ISBLANK(Z36),C36="Aktif"),"Nominasi Serdos","-")</f>
        <v>-</v>
      </c>
      <c r="Y36" s="281"/>
      <c r="Z36" s="282"/>
      <c r="AA36" s="281"/>
      <c r="AB36" s="281" t="s">
        <v>30</v>
      </c>
      <c r="AC36" s="282" t="s">
        <v>511</v>
      </c>
      <c r="AD36" s="281" t="s">
        <v>30</v>
      </c>
      <c r="AE36" s="281" t="s">
        <v>30</v>
      </c>
      <c r="AF36" s="281" t="s">
        <v>30</v>
      </c>
      <c r="AG36" s="281" t="s">
        <v>30</v>
      </c>
      <c r="AH36" s="281" t="s">
        <v>854</v>
      </c>
      <c r="AI36" s="281" t="s">
        <v>30</v>
      </c>
      <c r="AJ36" s="281" t="s">
        <v>30</v>
      </c>
      <c r="AK36" s="281" t="s">
        <v>30</v>
      </c>
      <c r="AM36" s="286">
        <v>44166</v>
      </c>
      <c r="AN36" s="287" t="str">
        <f ca="1">DATEDIF(AM36,TODAY(),"y")&amp;" tahun "&amp;DATEDIF(AM36,TODAY(),"ym")&amp;" bulan "</f>
        <v xml:space="preserve">5 tahun 1 bulan </v>
      </c>
      <c r="AO36" s="281" t="s">
        <v>858</v>
      </c>
      <c r="AP36" s="281" t="s">
        <v>1035</v>
      </c>
      <c r="AQ36" s="281" t="s">
        <v>1036</v>
      </c>
      <c r="AR36" s="281" t="s">
        <v>204</v>
      </c>
      <c r="AS36" s="281">
        <v>82229313437</v>
      </c>
      <c r="AT36" s="281" t="s">
        <v>205</v>
      </c>
      <c r="AU36" s="281" t="s">
        <v>30</v>
      </c>
      <c r="AV36" s="302"/>
      <c r="AW36" s="281" t="str">
        <f>VLOOKUP(B36,Sheet2!A53:I170,9,FALSE)</f>
        <v>Amalia Nur Alifah, S.Si., M.Si.</v>
      </c>
      <c r="AX36" s="281" t="s">
        <v>902</v>
      </c>
      <c r="AY36" s="281" t="str">
        <f>VLOOKUP(B36,Sheet2!A53:C170,2,FALSE)</f>
        <v>Kudus</v>
      </c>
      <c r="AZ36" s="288">
        <f>VLOOKUP(B36,Sheet2!A53:C170,3,FALSE)</f>
        <v>34697</v>
      </c>
      <c r="BA36" s="281">
        <f ca="1">DATEDIF(AZ36, TODAY(),"y")</f>
        <v>31</v>
      </c>
      <c r="BB36" s="281"/>
      <c r="BC36" s="281"/>
      <c r="BD36" s="281"/>
      <c r="BE36" s="281"/>
      <c r="BF36" s="289"/>
      <c r="BG36" s="289"/>
      <c r="BH36" s="289"/>
      <c r="BI36" s="289"/>
      <c r="BJ36" s="289"/>
      <c r="BK36" s="289"/>
      <c r="BL36" s="288" t="str">
        <f>VLOOKUP(B36,Sheet2!A53:D170,4,FALSE)</f>
        <v>Dosen</v>
      </c>
      <c r="BM36" s="303"/>
      <c r="BN36" s="302"/>
      <c r="BO36" s="281"/>
      <c r="BP36" s="281"/>
      <c r="BQ36" s="302"/>
      <c r="BR36" s="288" t="str">
        <f>VLOOKUP(B36,Sheet2!A53:E170,5,FALSE)</f>
        <v>Data Science and Intelligent Systems (DSIS)</v>
      </c>
      <c r="BS36" s="288" t="str">
        <f>VLOOKUP(B36,Sheet2!A53:F170,6,FALSE)</f>
        <v>MAC</v>
      </c>
      <c r="BT36" s="288" t="str">
        <f>VLOOKUP(B36,Sheet2!A53:G170,7,FALSE)</f>
        <v>Fakultas Informatika</v>
      </c>
      <c r="BU36" s="288" t="str">
        <f>VLOOKUP(B36,Sheet2!A53:H170,8,FALSE)</f>
        <v>amalialifah@telkomuniversity.ac.id</v>
      </c>
      <c r="BV36" s="280">
        <f>COUNTIFS('Join TPA Dosen'!B:B,Dosen!B53)</f>
        <v>1</v>
      </c>
      <c r="BW36" s="273" t="str">
        <f>DATEDIF(AM36,DATE(2026,1,1),"y")&amp;" tahun "&amp;DATEDIF(AM36,DATE(2026,1,1),"ym")&amp;" bulan "</f>
        <v xml:space="preserve">5 tahun 1 bulan </v>
      </c>
      <c r="BX36" s="280" t="str">
        <f>VLOOKUP($B36,Sheet1!$A:$G,2,FALSE)</f>
        <v>ITB</v>
      </c>
      <c r="BY36" s="280" t="str">
        <f>VLOOKUP($B36,Sheet1!$A:$G,3,FALSE)</f>
        <v>Matematika dan Ilmu Pengatahuan Alam/Matematika</v>
      </c>
      <c r="BZ36" s="280" t="str">
        <f>VLOOKUP($B36,Sheet1!$A:$G,4,FALSE)</f>
        <v>ITB</v>
      </c>
      <c r="CA36" s="280" t="str">
        <f>VLOOKUP($B36,Sheet1!$A:$G,5,FALSE)</f>
        <v>Matematika dan Ilmu Pengatahuan Alam/Matematika</v>
      </c>
      <c r="CB36" s="280" t="str">
        <f>VLOOKUP($B36,Sheet1!$A:$G,6,FALSE)</f>
        <v>-</v>
      </c>
      <c r="CC36" s="280">
        <f>VLOOKUP($B36,Sheet1!$A:$G,7,FALSE)</f>
        <v>0</v>
      </c>
      <c r="CD36" s="280" t="s">
        <v>871</v>
      </c>
      <c r="CE36" s="280" t="s">
        <v>903</v>
      </c>
    </row>
    <row r="37" spans="1:84" ht="18.95">
      <c r="A37" s="281">
        <v>14</v>
      </c>
      <c r="B37" s="281" t="s">
        <v>183</v>
      </c>
      <c r="C37" s="281" t="s">
        <v>20</v>
      </c>
      <c r="D37" s="281" t="s">
        <v>170</v>
      </c>
      <c r="E37" s="281">
        <v>19810001</v>
      </c>
      <c r="F37" s="281" t="s">
        <v>1037</v>
      </c>
      <c r="G37" s="282" t="s">
        <v>184</v>
      </c>
      <c r="H37" s="281" t="s">
        <v>845</v>
      </c>
      <c r="I37" s="281" t="s">
        <v>30</v>
      </c>
      <c r="J37" s="281" t="s">
        <v>57</v>
      </c>
      <c r="K37" s="281" t="s">
        <v>846</v>
      </c>
      <c r="L37" s="281" t="s">
        <v>847</v>
      </c>
      <c r="M37" s="283" t="str">
        <f>IF(L37="NJAD","AA",IF(L37="AA","L",IF(L37="L","LK","GB")))</f>
        <v>L</v>
      </c>
      <c r="N37" s="282" t="s">
        <v>511</v>
      </c>
      <c r="O37" s="281">
        <v>150</v>
      </c>
      <c r="P37" s="281" t="s">
        <v>1038</v>
      </c>
      <c r="Q37" s="284">
        <v>44081</v>
      </c>
      <c r="R37" s="281" t="str">
        <f ca="1">DATEDIF(Q37,TODAY(), "Y") &amp; " Tahun " &amp; DATEDIF(Q37, TODAY(), "YM") &amp; " Bulan"</f>
        <v>5 Tahun 4 Bulan</v>
      </c>
      <c r="S37" s="281" t="s">
        <v>849</v>
      </c>
      <c r="T37" s="285">
        <v>45078</v>
      </c>
      <c r="U37" s="281" t="str">
        <f ca="1">DATEDIF(T37,TODAY(), "Y") &amp; " Tahun " &amp; DATEDIF(T37, TODAY(), "YM") &amp; " Bulan"</f>
        <v>2 Tahun 7 Bulan</v>
      </c>
      <c r="V37" s="281" t="s">
        <v>955</v>
      </c>
      <c r="W37" s="281" t="s">
        <v>851</v>
      </c>
      <c r="X37" s="283" t="str">
        <f ca="1">IF(AND(OR(L37="AA",L37="L"),OR(S37="Penata Muda Tk. I Golongan III/b",S37="Penata Golongan III/c"),DATEDIF(Q37,TODAY(),"m")&gt;=23,ISBLANK(Z37),C37="Aktif"),"Nominasi Serdos","-")</f>
        <v>-</v>
      </c>
      <c r="Y37" s="281"/>
      <c r="Z37" s="282" t="s">
        <v>852</v>
      </c>
      <c r="AA37" s="281">
        <v>25104105710540</v>
      </c>
      <c r="AB37" s="281" t="s">
        <v>1039</v>
      </c>
      <c r="AC37" s="285">
        <v>45917</v>
      </c>
      <c r="AD37" s="281" t="s">
        <v>30</v>
      </c>
      <c r="AE37" s="281" t="s">
        <v>30</v>
      </c>
      <c r="AF37" s="281" t="s">
        <v>30</v>
      </c>
      <c r="AG37" s="281" t="s">
        <v>30</v>
      </c>
      <c r="AH37" s="281" t="s">
        <v>854</v>
      </c>
      <c r="AI37" s="281" t="s">
        <v>855</v>
      </c>
      <c r="AJ37" s="281" t="s">
        <v>856</v>
      </c>
      <c r="AK37" s="281" t="s">
        <v>855</v>
      </c>
      <c r="AL37" s="281" t="s">
        <v>857</v>
      </c>
      <c r="AM37" s="286">
        <v>43101</v>
      </c>
      <c r="AN37" s="287" t="str">
        <f ca="1">DATEDIF(AM37,TODAY(),"y")&amp;" tahun "&amp;DATEDIF(AM37,TODAY(),"ym")&amp;" bulan "</f>
        <v xml:space="preserve">8 tahun 0 bulan </v>
      </c>
      <c r="AO37" s="281" t="s">
        <v>858</v>
      </c>
      <c r="AP37" s="281" t="s">
        <v>914</v>
      </c>
      <c r="AQ37" s="281" t="s">
        <v>1040</v>
      </c>
      <c r="AR37" s="281" t="s">
        <v>185</v>
      </c>
      <c r="AS37" s="281">
        <v>811324984</v>
      </c>
      <c r="AT37" s="281" t="s">
        <v>186</v>
      </c>
      <c r="AU37" s="281" t="s">
        <v>30</v>
      </c>
      <c r="AV37" s="281"/>
      <c r="AW37" s="281" t="str">
        <f>VLOOKUP(B37,Sheet2!A15:I132,9,FALSE)</f>
        <v>Mohammad Sholik, S.Kom., M.Kom.</v>
      </c>
      <c r="AX37" s="281" t="s">
        <v>861</v>
      </c>
      <c r="AY37" s="281" t="str">
        <f>VLOOKUP(B37,Sheet2!A15:C132,2,FALSE)</f>
        <v>Gresik</v>
      </c>
      <c r="AZ37" s="288">
        <f>VLOOKUP(B37,Sheet2!A15:C132,3,FALSE)</f>
        <v>29929</v>
      </c>
      <c r="BA37" s="281">
        <f ca="1">DATEDIF(AZ37, TODAY(),"y")</f>
        <v>44</v>
      </c>
      <c r="BB37" s="281"/>
      <c r="BC37" s="281"/>
      <c r="BD37" s="281"/>
      <c r="BE37" s="281"/>
      <c r="BF37" s="289"/>
      <c r="BG37" s="289"/>
      <c r="BH37" s="289"/>
      <c r="BI37" s="289"/>
      <c r="BJ37" s="289"/>
      <c r="BK37" s="289"/>
      <c r="BL37" s="288" t="str">
        <f>VLOOKUP(B37,Sheet2!A15:D132,4,FALSE)</f>
        <v>Dosen</v>
      </c>
      <c r="BM37" s="281"/>
      <c r="BN37" s="281"/>
      <c r="BO37" s="281"/>
      <c r="BP37" s="281"/>
      <c r="BQ37" s="281"/>
      <c r="BR37" s="288" t="str">
        <f>VLOOKUP(B37,Sheet2!A15:E132,5,FALSE)</f>
        <v>Data Science and Intelligent Systems (DSIS)</v>
      </c>
      <c r="BS37" s="288" t="str">
        <f>VLOOKUP(B37,Sheet2!A15:F132,6,FALSE)</f>
        <v>HHH</v>
      </c>
      <c r="BT37" s="288" t="str">
        <f>VLOOKUP(B37,Sheet2!A15:G132,7,FALSE)</f>
        <v>Fakultas Informatika</v>
      </c>
      <c r="BU37" s="288" t="str">
        <f>VLOOKUP(B37,Sheet2!A15:H132,8,FALSE)</f>
        <v>mohammadsholik@telkomuniversity.ac.id</v>
      </c>
      <c r="BV37" s="280">
        <f>COUNTIFS('Join TPA Dosen'!B:B,Dosen!B15)</f>
        <v>1</v>
      </c>
      <c r="BW37" s="273" t="str">
        <f>DATEDIF(AM37,DATE(2026,1,1),"y")&amp;" tahun "&amp;DATEDIF(AM37,DATE(2026,1,1),"ym")&amp;" bulan "</f>
        <v xml:space="preserve">8 tahun 0 bulan </v>
      </c>
      <c r="BX37" s="280" t="str">
        <f>VLOOKUP($B37,Sheet1!$A:$G,2,FALSE)</f>
        <v>UNTAG</v>
      </c>
      <c r="BY37" s="280" t="str">
        <f>VLOOKUP($B37,Sheet1!$A:$G,3,FALSE)</f>
        <v>Teknik Informatika</v>
      </c>
      <c r="BZ37" s="280" t="str">
        <f>VLOOKUP($B37,Sheet1!$A:$G,4,FALSE)</f>
        <v>ITS</v>
      </c>
      <c r="CA37" s="280" t="str">
        <f>VLOOKUP($B37,Sheet1!$A:$G,5,FALSE)</f>
        <v>Teknik Informatika</v>
      </c>
      <c r="CB37" s="280" t="str">
        <f>VLOOKUP($B37,Sheet1!$A:$G,6,FALSE)</f>
        <v>ITS</v>
      </c>
      <c r="CC37" s="280" t="str">
        <f>VLOOKUP($B37,Sheet1!$A:$G,7,FALSE)</f>
        <v>Ilmu Komputer</v>
      </c>
      <c r="CD37" s="280" t="s">
        <v>882</v>
      </c>
      <c r="CE37" s="280" t="s">
        <v>903</v>
      </c>
    </row>
    <row r="38" spans="1:84" ht="18.95">
      <c r="A38" s="281">
        <v>27</v>
      </c>
      <c r="B38" s="281" t="s">
        <v>169</v>
      </c>
      <c r="C38" s="281" t="s">
        <v>20</v>
      </c>
      <c r="D38" s="281" t="s">
        <v>170</v>
      </c>
      <c r="E38" s="281">
        <v>20870004</v>
      </c>
      <c r="F38" s="281" t="s">
        <v>1041</v>
      </c>
      <c r="G38" s="282" t="s">
        <v>171</v>
      </c>
      <c r="H38" s="281" t="s">
        <v>845</v>
      </c>
      <c r="I38" s="281" t="s">
        <v>30</v>
      </c>
      <c r="J38" s="281" t="s">
        <v>57</v>
      </c>
      <c r="K38" s="281" t="s">
        <v>846</v>
      </c>
      <c r="L38" s="281" t="s">
        <v>847</v>
      </c>
      <c r="M38" s="283" t="str">
        <f>IF(L38="NJAD","AA",IF(L38="AA","L",IF(L38="L","LK","GB")))</f>
        <v>L</v>
      </c>
      <c r="N38" s="282" t="s">
        <v>511</v>
      </c>
      <c r="O38" s="281">
        <v>150</v>
      </c>
      <c r="P38" s="281" t="s">
        <v>1042</v>
      </c>
      <c r="Q38" s="284">
        <v>44007</v>
      </c>
      <c r="R38" s="281" t="str">
        <f ca="1">DATEDIF(Q38,TODAY(), "Y") &amp; " Tahun " &amp; DATEDIF(Q38, TODAY(), "YM") &amp; " Bulan"</f>
        <v>5 Tahun 6 Bulan</v>
      </c>
      <c r="S38" s="281" t="s">
        <v>849</v>
      </c>
      <c r="T38" s="285">
        <v>44075</v>
      </c>
      <c r="U38" s="281" t="str">
        <f ca="1">DATEDIF(T38,TODAY(), "Y") &amp; " Tahun " &amp; DATEDIF(T38, TODAY(), "YM") &amp; " Bulan"</f>
        <v>5 Tahun 4 Bulan</v>
      </c>
      <c r="V38" s="281" t="s">
        <v>955</v>
      </c>
      <c r="W38" s="281" t="s">
        <v>851</v>
      </c>
      <c r="X38" s="283" t="str">
        <f ca="1">IF(AND(OR(L38="AA",L38="L"),OR(S38="Penata Muda Tk. I Golongan III/b",S38="Penata Golongan III/c"),DATEDIF(Q38,TODAY(),"m")&gt;=23,ISBLANK(Z38),C38="Aktif"),"Nominasi Serdos","-")</f>
        <v>-</v>
      </c>
      <c r="Y38" s="281"/>
      <c r="Z38" s="281" t="s">
        <v>852</v>
      </c>
      <c r="AA38" s="281">
        <v>22107201905478</v>
      </c>
      <c r="AB38" s="281" t="s">
        <v>1043</v>
      </c>
      <c r="AC38" s="285">
        <v>44846</v>
      </c>
      <c r="AD38" s="281" t="s">
        <v>30</v>
      </c>
      <c r="AE38" s="281" t="s">
        <v>30</v>
      </c>
      <c r="AF38" s="281" t="s">
        <v>30</v>
      </c>
      <c r="AG38" s="281" t="s">
        <v>30</v>
      </c>
      <c r="AH38" s="281" t="s">
        <v>854</v>
      </c>
      <c r="AI38" s="281" t="s">
        <v>855</v>
      </c>
      <c r="AJ38" s="281" t="s">
        <v>856</v>
      </c>
      <c r="AK38" s="281" t="s">
        <v>855</v>
      </c>
      <c r="AL38" s="281" t="s">
        <v>857</v>
      </c>
      <c r="AM38" s="286">
        <v>43282</v>
      </c>
      <c r="AN38" s="287" t="str">
        <f ca="1">DATEDIF(AM38,TODAY(),"y")&amp;" tahun "&amp;DATEDIF(AM38,TODAY(),"ym")&amp;" bulan "</f>
        <v xml:space="preserve">7 tahun 6 bulan </v>
      </c>
      <c r="AO38" s="281" t="s">
        <v>858</v>
      </c>
      <c r="AP38" s="281" t="s">
        <v>914</v>
      </c>
      <c r="AQ38" s="281" t="s">
        <v>1044</v>
      </c>
      <c r="AR38" s="281" t="s">
        <v>172</v>
      </c>
      <c r="AS38" s="281">
        <v>85233310837</v>
      </c>
      <c r="AT38" s="281" t="s">
        <v>173</v>
      </c>
      <c r="AU38" s="281" t="s">
        <v>30</v>
      </c>
      <c r="AV38" s="281"/>
      <c r="AW38" s="281" t="str">
        <f>VLOOKUP(B38,Sheet2!A28:I145,9,FALSE)</f>
        <v>Billy Montolalu, S.Kom., M.Kom.</v>
      </c>
      <c r="AX38" s="281" t="s">
        <v>861</v>
      </c>
      <c r="AY38" s="281" t="str">
        <f>VLOOKUP(B38,Sheet2!A28:C145,2,FALSE)</f>
        <v>Lumajang</v>
      </c>
      <c r="AZ38" s="288">
        <f>VLOOKUP(B38,Sheet2!A28:C145,3,FALSE)</f>
        <v>32017</v>
      </c>
      <c r="BA38" s="281">
        <f ca="1">DATEDIF(AZ38, TODAY(),"y")</f>
        <v>38</v>
      </c>
      <c r="BB38" s="281"/>
      <c r="BC38" s="281"/>
      <c r="BD38" s="281"/>
      <c r="BE38" s="281"/>
      <c r="BF38" s="289"/>
      <c r="BG38" s="289"/>
      <c r="BH38" s="289"/>
      <c r="BI38" s="289"/>
      <c r="BJ38" s="289"/>
      <c r="BK38" s="289"/>
      <c r="BL38" s="288" t="str">
        <f>VLOOKUP(B38,Sheet2!A28:D145,4,FALSE)</f>
        <v>Dosen</v>
      </c>
      <c r="BM38" s="281"/>
      <c r="BN38" s="281"/>
      <c r="BO38" s="281"/>
      <c r="BP38" s="281"/>
      <c r="BQ38" s="281"/>
      <c r="BR38" s="288" t="str">
        <f>VLOOKUP(B38,Sheet2!A28:E145,5,FALSE)</f>
        <v>Software Engineering and Algorithm (SEAL)</v>
      </c>
      <c r="BS38" s="288" t="str">
        <f>VLOOKUP(B38,Sheet2!A28:F145,6,FALSE)</f>
        <v>BLM</v>
      </c>
      <c r="BT38" s="288" t="str">
        <f>VLOOKUP(B38,Sheet2!A28:G145,7,FALSE)</f>
        <v>Fakultas Informatika</v>
      </c>
      <c r="BU38" s="288" t="str">
        <f>VLOOKUP(B38,Sheet2!A28:H145,8,FALSE)</f>
        <v>billymontolalu@telkomuniversity.ac.id</v>
      </c>
      <c r="BV38" s="280">
        <f>COUNTIFS('Join TPA Dosen'!B:B,Dosen!B10)</f>
        <v>1</v>
      </c>
      <c r="BW38" s="273" t="str">
        <f>DATEDIF(AM38,DATE(2026,1,1),"y")&amp;" tahun "&amp;DATEDIF(AM38,DATE(2026,1,1),"ym")&amp;" bulan "</f>
        <v xml:space="preserve">7 tahun 6 bulan </v>
      </c>
      <c r="BX38" s="280" t="str">
        <f>VLOOKUP($B38,Sheet1!$A:$G,2,FALSE)</f>
        <v>ITS</v>
      </c>
      <c r="BY38" s="280" t="str">
        <f>VLOOKUP($B38,Sheet1!$A:$G,3,FALSE)</f>
        <v>Teknik Informatika</v>
      </c>
      <c r="BZ38" s="280" t="str">
        <f>VLOOKUP($B38,Sheet1!$A:$G,4,FALSE)</f>
        <v>ITS</v>
      </c>
      <c r="CA38" s="280" t="str">
        <f>VLOOKUP($B38,Sheet1!$A:$G,5,FALSE)</f>
        <v>Teknik Informatika</v>
      </c>
      <c r="CB38" s="280" t="str">
        <f>VLOOKUP($B38,Sheet1!$A:$G,6,FALSE)</f>
        <v>ITS</v>
      </c>
      <c r="CC38" s="280" t="str">
        <f>VLOOKUP($B38,Sheet1!$A:$G,7,FALSE)</f>
        <v>Ilmu Komputer</v>
      </c>
      <c r="CD38" s="280" t="s">
        <v>862</v>
      </c>
      <c r="CE38" s="280" t="s">
        <v>903</v>
      </c>
    </row>
    <row r="39" spans="1:84" ht="19.5">
      <c r="A39" s="281">
        <v>56</v>
      </c>
      <c r="B39" s="281" t="s">
        <v>461</v>
      </c>
      <c r="C39" s="281" t="s">
        <v>20</v>
      </c>
      <c r="D39" s="281" t="s">
        <v>448</v>
      </c>
      <c r="E39" s="281">
        <v>25930030</v>
      </c>
      <c r="F39" s="281" t="s">
        <v>1045</v>
      </c>
      <c r="G39" s="282" t="s">
        <v>462</v>
      </c>
      <c r="H39" s="301" t="s">
        <v>845</v>
      </c>
      <c r="I39" s="281" t="s">
        <v>30</v>
      </c>
      <c r="J39" s="281" t="s">
        <v>395</v>
      </c>
      <c r="K39" s="281" t="s">
        <v>846</v>
      </c>
      <c r="L39" s="281" t="s">
        <v>847</v>
      </c>
      <c r="M39" s="283" t="str">
        <f>IF(L39="NJAD","AA",IF(L39="AA","L",IF(L39="L","LK","GB")))</f>
        <v>L</v>
      </c>
      <c r="N39" s="282" t="s">
        <v>511</v>
      </c>
      <c r="O39" s="281">
        <v>150</v>
      </c>
      <c r="P39" s="281" t="s">
        <v>1046</v>
      </c>
      <c r="Q39" s="284">
        <v>45108</v>
      </c>
      <c r="R39" s="281" t="str">
        <f ca="1">DATEDIF(Q39,TODAY(), "Y") &amp; " Tahun " &amp; DATEDIF(Q39, TODAY(), "YM") &amp; " Bulan"</f>
        <v>2 Tahun 6 Bulan</v>
      </c>
      <c r="S39" s="281" t="s">
        <v>849</v>
      </c>
      <c r="T39" s="285">
        <v>45505</v>
      </c>
      <c r="U39" s="281" t="str">
        <f ca="1">DATEDIF(T39,TODAY(), "Y") &amp; " Tahun " &amp; DATEDIF(T39, TODAY(), "YM") &amp; " Bulan"</f>
        <v>1 Tahun 5 Bulan</v>
      </c>
      <c r="V39" s="281" t="s">
        <v>1047</v>
      </c>
      <c r="W39" s="281" t="s">
        <v>851</v>
      </c>
      <c r="X39" s="283" t="str">
        <f ca="1">IF(AND(OR(L39="AA",L39="L"),OR(S39="Penata Muda Tk. I Golongan III/b",S39="Penata Golongan III/c"),DATEDIF(Q39,TODAY(),"m")&gt;=23,ISBLANK(Z39),C39="Aktif"),"Nominasi Serdos","-")</f>
        <v>Nominasi Serdos</v>
      </c>
      <c r="Y39" s="281"/>
      <c r="Z39" s="282"/>
      <c r="AA39" s="281"/>
      <c r="AB39" s="281" t="s">
        <v>30</v>
      </c>
      <c r="AC39" s="282" t="s">
        <v>511</v>
      </c>
      <c r="AD39" s="281" t="s">
        <v>30</v>
      </c>
      <c r="AE39" s="281" t="s">
        <v>30</v>
      </c>
      <c r="AF39" s="281" t="s">
        <v>30</v>
      </c>
      <c r="AG39" s="281" t="s">
        <v>30</v>
      </c>
      <c r="AH39" s="281" t="s">
        <v>854</v>
      </c>
      <c r="AI39" s="281" t="s">
        <v>30</v>
      </c>
      <c r="AJ39" s="281" t="s">
        <v>30</v>
      </c>
      <c r="AK39" s="281" t="s">
        <v>30</v>
      </c>
      <c r="AM39" s="286">
        <v>44166</v>
      </c>
      <c r="AN39" s="287" t="str">
        <f ca="1">DATEDIF(AM39,TODAY(),"y")&amp;" tahun "&amp;DATEDIF(AM39,TODAY(),"ym")&amp;" bulan "</f>
        <v xml:space="preserve">5 tahun 1 bulan </v>
      </c>
      <c r="AO39" s="281" t="s">
        <v>868</v>
      </c>
      <c r="AP39" s="281" t="s">
        <v>980</v>
      </c>
      <c r="AQ39" s="281" t="s">
        <v>1048</v>
      </c>
      <c r="AR39" s="281" t="s">
        <v>463</v>
      </c>
      <c r="AS39" s="281">
        <v>8113770702</v>
      </c>
      <c r="AT39" s="281" t="s">
        <v>464</v>
      </c>
      <c r="AU39" s="281" t="s">
        <v>30</v>
      </c>
      <c r="AV39" s="281"/>
      <c r="AW39" s="281" t="str">
        <f>VLOOKUP(B39,Sheet2!A57:I174,9,FALSE)</f>
        <v>Desita Nur Rachmaniar, S.T., M.Sc.</v>
      </c>
      <c r="AX39" s="281" t="s">
        <v>902</v>
      </c>
      <c r="AY39" s="281" t="str">
        <f>VLOOKUP(B39,Sheet2!A57:C174,2,FALSE)</f>
        <v>Bantul</v>
      </c>
      <c r="AZ39" s="288">
        <f>VLOOKUP(B39,Sheet2!A57:C174,3,FALSE)</f>
        <v>34152</v>
      </c>
      <c r="BA39" s="281">
        <f ca="1">DATEDIF(AZ39, TODAY(),"y")</f>
        <v>32</v>
      </c>
      <c r="BB39" s="281"/>
      <c r="BC39" s="281"/>
      <c r="BD39" s="281"/>
      <c r="BE39" s="281"/>
      <c r="BF39" s="289"/>
      <c r="BG39" s="289"/>
      <c r="BH39" s="289"/>
      <c r="BI39" s="304"/>
      <c r="BJ39" s="304"/>
      <c r="BK39" s="304"/>
      <c r="BL39" s="288" t="str">
        <f>VLOOKUP(B39,Sheet2!A57:D174,4,FALSE)</f>
        <v>Dosen</v>
      </c>
      <c r="BM39" s="281"/>
      <c r="BN39" s="281"/>
      <c r="BO39" s="281"/>
      <c r="BP39" s="281"/>
      <c r="BQ39" s="281"/>
      <c r="BR39" s="288" t="str">
        <f>VLOOKUP(B39,Sheet2!A57:E174,5,FALSE)</f>
        <v>Enterprise and Industrial System (EINS)</v>
      </c>
      <c r="BS39" s="288" t="str">
        <f>VLOOKUP(B39,Sheet2!A57:F174,6,FALSE)</f>
        <v>DEZ</v>
      </c>
      <c r="BT39" s="288" t="str">
        <f>VLOOKUP(B39,Sheet2!A57:G174,7,FALSE)</f>
        <v>Fakultas Rekayasa Industri</v>
      </c>
      <c r="BU39" s="288" t="str">
        <f>VLOOKUP(B39,Sheet2!A57:H174,8,FALSE)</f>
        <v>desitanurr@telkomuniversity.ac.id</v>
      </c>
      <c r="BV39" s="280">
        <f>COUNTIFS('Join TPA Dosen'!B:B,Dosen!B57)</f>
        <v>1</v>
      </c>
      <c r="BW39" s="273" t="str">
        <f>DATEDIF(AM39,DATE(2026,1,1),"y")&amp;" tahun "&amp;DATEDIF(AM39,DATE(2026,1,1),"ym")&amp;" bulan "</f>
        <v xml:space="preserve">5 tahun 1 bulan </v>
      </c>
      <c r="BX39" s="280" t="str">
        <f>VLOOKUP($B39,Sheet1!$A:$G,2,FALSE)</f>
        <v>Univ. Brawijaya</v>
      </c>
      <c r="BY39" s="280" t="str">
        <f>VLOOKUP($B39,Sheet1!$A:$G,3,FALSE)</f>
        <v>Teknik/Teknik Industri</v>
      </c>
      <c r="BZ39" s="280" t="str">
        <f>VLOOKUP($B39,Sheet1!$A:$G,4,FALSE)</f>
        <v>UGM</v>
      </c>
      <c r="CA39" s="280" t="str">
        <f>VLOOKUP($B39,Sheet1!$A:$G,5,FALSE)</f>
        <v>Teknik/Teknik Industri</v>
      </c>
      <c r="CB39" s="280" t="str">
        <f>VLOOKUP($B39,Sheet1!$A:$G,6,FALSE)</f>
        <v>-</v>
      </c>
      <c r="CC39" s="280">
        <f>VLOOKUP($B39,Sheet1!$A:$G,7,FALSE)</f>
        <v>0</v>
      </c>
      <c r="CD39" s="280" t="s">
        <v>871</v>
      </c>
      <c r="CE39" s="280" t="s">
        <v>863</v>
      </c>
    </row>
    <row r="40" spans="1:84" ht="23.25" customHeight="1">
      <c r="A40" s="281">
        <v>57</v>
      </c>
      <c r="B40" s="281" t="s">
        <v>465</v>
      </c>
      <c r="C40" s="281" t="s">
        <v>20</v>
      </c>
      <c r="D40" s="281" t="s">
        <v>448</v>
      </c>
      <c r="E40" s="281">
        <v>24950003</v>
      </c>
      <c r="F40" s="281" t="s">
        <v>1049</v>
      </c>
      <c r="G40" s="282" t="s">
        <v>466</v>
      </c>
      <c r="H40" s="281" t="s">
        <v>845</v>
      </c>
      <c r="I40" s="281" t="s">
        <v>30</v>
      </c>
      <c r="J40" s="281" t="s">
        <v>176</v>
      </c>
      <c r="K40" s="281" t="s">
        <v>893</v>
      </c>
      <c r="L40" s="281" t="s">
        <v>775</v>
      </c>
      <c r="M40" s="283" t="str">
        <f>IF(L40="NJAD","AA",IF(L40="AA","L",IF(L40="L","LK","GB")))</f>
        <v>LK</v>
      </c>
      <c r="N40" s="282" t="s">
        <v>511</v>
      </c>
      <c r="O40" s="281">
        <v>200</v>
      </c>
      <c r="P40" s="281" t="s">
        <v>1050</v>
      </c>
      <c r="Q40" s="284">
        <v>46023</v>
      </c>
      <c r="R40" s="281" t="str">
        <f ca="1">DATEDIF(Q40,TODAY(), "Y") &amp; " Tahun " &amp; DATEDIF(Q40, TODAY(), "YM") &amp; " Bulan"</f>
        <v>0 Tahun 0 Bulan</v>
      </c>
      <c r="S40" s="281" t="s">
        <v>849</v>
      </c>
      <c r="T40" s="285">
        <v>45017</v>
      </c>
      <c r="U40" s="281" t="str">
        <f ca="1">DATEDIF(T40,TODAY(), "Y") &amp; " Tahun " &amp; DATEDIF(T40, TODAY(), "YM") &amp; " Bulan"</f>
        <v>2 Tahun 9 Bulan</v>
      </c>
      <c r="V40" s="281" t="s">
        <v>1047</v>
      </c>
      <c r="W40" s="281" t="s">
        <v>851</v>
      </c>
      <c r="X40" s="283" t="str">
        <f ca="1">IF(AND(OR(L40="AA",L40="L"),OR(S40="Penata Muda Tk. I Golongan III/b",S40="Penata Golongan III/c"),DATEDIF(Q40,TODAY(),"m")&gt;=23,ISBLANK(Z40),C40="Aktif"),"Nominasi Serdos","-")</f>
        <v>-</v>
      </c>
      <c r="Y40" s="281"/>
      <c r="Z40" s="282" t="s">
        <v>852</v>
      </c>
      <c r="AA40" s="281">
        <v>25104105713495</v>
      </c>
      <c r="AB40" s="281" t="s">
        <v>1051</v>
      </c>
      <c r="AC40" s="285">
        <v>45917</v>
      </c>
      <c r="AD40" s="281" t="s">
        <v>30</v>
      </c>
      <c r="AE40" s="281" t="s">
        <v>30</v>
      </c>
      <c r="AF40" s="281" t="s">
        <v>30</v>
      </c>
      <c r="AG40" s="281" t="s">
        <v>30</v>
      </c>
      <c r="AH40" s="281" t="s">
        <v>854</v>
      </c>
      <c r="AI40" s="281" t="s">
        <v>30</v>
      </c>
      <c r="AJ40" s="281" t="s">
        <v>30</v>
      </c>
      <c r="AK40" s="281" t="s">
        <v>30</v>
      </c>
      <c r="AM40" s="286">
        <v>44166</v>
      </c>
      <c r="AN40" s="287" t="str">
        <f ca="1">DATEDIF(AM40,TODAY(),"y")&amp;" tahun "&amp;DATEDIF(AM40,TODAY(),"ym")&amp;" bulan "</f>
        <v xml:space="preserve">5 tahun 1 bulan </v>
      </c>
      <c r="AO40" s="281" t="s">
        <v>868</v>
      </c>
      <c r="AP40" s="281" t="s">
        <v>980</v>
      </c>
      <c r="AQ40" s="281" t="s">
        <v>1052</v>
      </c>
      <c r="AR40" s="281" t="s">
        <v>467</v>
      </c>
      <c r="AS40" s="281">
        <v>82143305935</v>
      </c>
      <c r="AT40" s="281" t="s">
        <v>468</v>
      </c>
      <c r="AU40" s="281" t="s">
        <v>30</v>
      </c>
      <c r="AV40" s="281"/>
      <c r="AW40" s="281" t="str">
        <f>VLOOKUP(B40,Sheet2!A58:I175,9,FALSE)</f>
        <v>Granita Hajar, S.T., M.T.</v>
      </c>
      <c r="AX40" s="281" t="s">
        <v>902</v>
      </c>
      <c r="AY40" s="281" t="str">
        <f>VLOOKUP(B40,Sheet2!A58:C175,2,FALSE)</f>
        <v>Surabaya</v>
      </c>
      <c r="AZ40" s="288">
        <f>VLOOKUP(B40,Sheet2!A58:C175,3,FALSE)</f>
        <v>34903</v>
      </c>
      <c r="BA40" s="281">
        <f ca="1">DATEDIF(AZ40, TODAY(),"y")</f>
        <v>30</v>
      </c>
      <c r="BB40" s="281"/>
      <c r="BC40" s="281"/>
      <c r="BD40" s="281"/>
      <c r="BE40" s="281"/>
      <c r="BF40" s="289"/>
      <c r="BG40" s="289"/>
      <c r="BH40" s="289"/>
      <c r="BI40" s="289"/>
      <c r="BJ40" s="289"/>
      <c r="BK40" s="289"/>
      <c r="BL40" s="288" t="str">
        <f>VLOOKUP(B40,Sheet2!A58:D175,4,FALSE)</f>
        <v>Dosen</v>
      </c>
      <c r="BM40" s="281"/>
      <c r="BN40" s="281"/>
      <c r="BO40" s="281"/>
      <c r="BP40" s="281"/>
      <c r="BQ40" s="281"/>
      <c r="BR40" s="288" t="str">
        <f>VLOOKUP(B40,Sheet2!A58:E175,5,FALSE)</f>
        <v>Enterprise and Industrial System (EINS)</v>
      </c>
      <c r="BS40" s="288" t="str">
        <f>VLOOKUP(B40,Sheet2!A58:F175,6,FALSE)</f>
        <v>GRN</v>
      </c>
      <c r="BT40" s="288" t="str">
        <f>VLOOKUP(B40,Sheet2!A58:G175,7,FALSE)</f>
        <v>Fakultas Rekayasa Industri</v>
      </c>
      <c r="BU40" s="288" t="str">
        <f>VLOOKUP(B40,Sheet2!A58:H175,8,FALSE)</f>
        <v>granita@telkomuniversity.ac.id</v>
      </c>
      <c r="BV40" s="280">
        <f>COUNTIFS('Join TPA Dosen'!B:B,Dosen!B58)</f>
        <v>1</v>
      </c>
      <c r="BW40" s="273" t="str">
        <f>DATEDIF(AM40,DATE(2026,1,1),"y")&amp;" tahun "&amp;DATEDIF(AM40,DATE(2026,1,1),"ym")&amp;" bulan "</f>
        <v xml:space="preserve">5 tahun 1 bulan </v>
      </c>
      <c r="BX40" s="280" t="str">
        <f>VLOOKUP($B40,Sheet1!$A:$G,2,FALSE)</f>
        <v>UBAYA</v>
      </c>
      <c r="BY40" s="280" t="str">
        <f>VLOOKUP($B40,Sheet1!$A:$G,3,FALSE)</f>
        <v>Teknik/Teknik Industri</v>
      </c>
      <c r="BZ40" s="280" t="str">
        <f>VLOOKUP($B40,Sheet1!$A:$G,4,FALSE)</f>
        <v>ITS</v>
      </c>
      <c r="CA40" s="280" t="str">
        <f>VLOOKUP($B40,Sheet1!$A:$G,5,FALSE)</f>
        <v>Teknologi Industri dan Rekayasa Sistem/Teknik Industri</v>
      </c>
      <c r="CB40" s="280" t="str">
        <f>VLOOKUP($B40,Sheet1!$A:$G,6,FALSE)</f>
        <v>-</v>
      </c>
      <c r="CC40" s="280">
        <f>VLOOKUP($B40,Sheet1!$A:$G,7,FALSE)</f>
        <v>0</v>
      </c>
      <c r="CD40" s="280" t="s">
        <v>871</v>
      </c>
      <c r="CE40" s="280" t="s">
        <v>863</v>
      </c>
    </row>
    <row r="41" spans="1:84" ht="19.5">
      <c r="A41" s="281">
        <v>58</v>
      </c>
      <c r="B41" s="281" t="s">
        <v>469</v>
      </c>
      <c r="C41" s="281" t="s">
        <v>20</v>
      </c>
      <c r="D41" s="281" t="s">
        <v>448</v>
      </c>
      <c r="E41" s="281">
        <v>25930031</v>
      </c>
      <c r="F41" s="281" t="s">
        <v>1053</v>
      </c>
      <c r="G41" s="282" t="s">
        <v>470</v>
      </c>
      <c r="H41" s="301" t="s">
        <v>845</v>
      </c>
      <c r="I41" s="281" t="s">
        <v>30</v>
      </c>
      <c r="J41" s="281" t="s">
        <v>176</v>
      </c>
      <c r="K41" s="281" t="s">
        <v>846</v>
      </c>
      <c r="L41" s="281" t="s">
        <v>847</v>
      </c>
      <c r="M41" s="283" t="str">
        <f>IF(L41="NJAD","AA",IF(L41="AA","L",IF(L41="L","LK","GB")))</f>
        <v>L</v>
      </c>
      <c r="N41" s="282" t="s">
        <v>511</v>
      </c>
      <c r="O41" s="281">
        <v>150</v>
      </c>
      <c r="P41" s="281" t="s">
        <v>1054</v>
      </c>
      <c r="Q41" s="284">
        <v>45108</v>
      </c>
      <c r="R41" s="281" t="str">
        <f ca="1">DATEDIF(Q41,TODAY(), "Y") &amp; " Tahun " &amp; DATEDIF(Q41, TODAY(), "YM") &amp; " Bulan"</f>
        <v>2 Tahun 6 Bulan</v>
      </c>
      <c r="S41" s="281" t="s">
        <v>849</v>
      </c>
      <c r="T41" s="285">
        <v>45505</v>
      </c>
      <c r="U41" s="281" t="str">
        <f ca="1">DATEDIF(T41,TODAY(), "Y") &amp; " Tahun " &amp; DATEDIF(T41, TODAY(), "YM") &amp; " Bulan"</f>
        <v>1 Tahun 5 Bulan</v>
      </c>
      <c r="V41" s="281" t="s">
        <v>1055</v>
      </c>
      <c r="W41" s="281" t="s">
        <v>851</v>
      </c>
      <c r="X41" s="283" t="str">
        <f ca="1">IF(AND(OR(L41="AA",L41="L"),OR(S41="Penata Muda Tk. I Golongan III/b",S41="Penata Golongan III/c"),DATEDIF(Q41,TODAY(),"m")&gt;=23,ISBLANK(Z41),C41="Aktif"),"Nominasi Serdos","-")</f>
        <v>Nominasi Serdos</v>
      </c>
      <c r="Y41" s="281"/>
      <c r="Z41" s="282"/>
      <c r="AA41" s="281"/>
      <c r="AB41" s="281" t="s">
        <v>30</v>
      </c>
      <c r="AC41" s="282" t="s">
        <v>511</v>
      </c>
      <c r="AD41" s="281" t="s">
        <v>30</v>
      </c>
      <c r="AE41" s="281" t="s">
        <v>30</v>
      </c>
      <c r="AF41" s="281" t="s">
        <v>30</v>
      </c>
      <c r="AG41" s="281" t="s">
        <v>30</v>
      </c>
      <c r="AH41" s="281" t="s">
        <v>854</v>
      </c>
      <c r="AI41" s="281" t="s">
        <v>30</v>
      </c>
      <c r="AJ41" s="281" t="s">
        <v>30</v>
      </c>
      <c r="AK41" s="281" t="s">
        <v>30</v>
      </c>
      <c r="AM41" s="286">
        <v>44166</v>
      </c>
      <c r="AN41" s="287" t="str">
        <f ca="1">DATEDIF(AM41,TODAY(),"y")&amp;" tahun "&amp;DATEDIF(AM41,TODAY(),"ym")&amp;" bulan "</f>
        <v xml:space="preserve">5 tahun 1 bulan </v>
      </c>
      <c r="AO41" s="281" t="s">
        <v>868</v>
      </c>
      <c r="AP41" s="281" t="s">
        <v>980</v>
      </c>
      <c r="AQ41" s="281" t="s">
        <v>1056</v>
      </c>
      <c r="AR41" s="281" t="s">
        <v>471</v>
      </c>
      <c r="AS41" s="281">
        <v>81331292077</v>
      </c>
      <c r="AT41" s="281" t="s">
        <v>472</v>
      </c>
      <c r="AU41" s="281" t="s">
        <v>30</v>
      </c>
      <c r="AV41" s="281"/>
      <c r="AW41" s="281" t="str">
        <f>VLOOKUP(B41,Sheet2!A59:I176,9,FALSE)</f>
        <v>Nisa Isrofi, S.T., M.T.</v>
      </c>
      <c r="AX41" s="281" t="s">
        <v>902</v>
      </c>
      <c r="AY41" s="281" t="str">
        <f>VLOOKUP(B41,Sheet2!A59:C176,2,FALSE)</f>
        <v>Kediri</v>
      </c>
      <c r="AZ41" s="288">
        <f>VLOOKUP(B41,Sheet2!A59:C176,3,FALSE)</f>
        <v>34308</v>
      </c>
      <c r="BA41" s="281">
        <f ca="1">DATEDIF(AZ41, TODAY(),"y")</f>
        <v>32</v>
      </c>
      <c r="BB41" s="281"/>
      <c r="BC41" s="281"/>
      <c r="BD41" s="281"/>
      <c r="BE41" s="281"/>
      <c r="BF41" s="289"/>
      <c r="BG41" s="289"/>
      <c r="BH41" s="289"/>
      <c r="BI41" s="289"/>
      <c r="BJ41" s="289"/>
      <c r="BK41" s="289"/>
      <c r="BL41" s="288" t="str">
        <f>VLOOKUP(B41,Sheet2!A59:D176,4,FALSE)</f>
        <v>Kaprodi</v>
      </c>
      <c r="BM41" s="281"/>
      <c r="BN41" s="281"/>
      <c r="BO41" s="281"/>
      <c r="BP41" s="281"/>
      <c r="BQ41" s="281"/>
      <c r="BR41" s="288" t="str">
        <f>VLOOKUP(B41,Sheet2!A59:E176,5,FALSE)</f>
        <v>Enterprise and Industrial System (EINS)</v>
      </c>
      <c r="BS41" s="288" t="str">
        <f>VLOOKUP(B41,Sheet2!A59:F176,6,FALSE)</f>
        <v>NSX</v>
      </c>
      <c r="BT41" s="288" t="str">
        <f>VLOOKUP(B41,Sheet2!A59:G176,7,FALSE)</f>
        <v>Fakultas Rekayasa Industri</v>
      </c>
      <c r="BU41" s="288" t="str">
        <f>VLOOKUP(B41,Sheet2!A59:H176,8,FALSE)</f>
        <v>nisaisrofi@telkomuniversity.ac.id</v>
      </c>
      <c r="BV41" s="280">
        <f>COUNTIFS('Join TPA Dosen'!B:B,Dosen!B59)</f>
        <v>1</v>
      </c>
      <c r="BW41" s="273" t="str">
        <f>DATEDIF(AM41,DATE(2026,1,1),"y")&amp;" tahun "&amp;DATEDIF(AM41,DATE(2026,1,1),"ym")&amp;" bulan "</f>
        <v xml:space="preserve">5 tahun 1 bulan </v>
      </c>
      <c r="BX41" s="280" t="str">
        <f>VLOOKUP($B41,Sheet1!$A:$G,2,FALSE)</f>
        <v>Univ. Brawijaya</v>
      </c>
      <c r="BY41" s="280" t="str">
        <f>VLOOKUP($B41,Sheet1!$A:$G,3,FALSE)</f>
        <v>Teknik/Teknik Industri</v>
      </c>
      <c r="BZ41" s="280" t="str">
        <f>VLOOKUP($B41,Sheet1!$A:$G,4,FALSE)</f>
        <v>ITS</v>
      </c>
      <c r="CA41" s="280" t="str">
        <f>VLOOKUP($B41,Sheet1!$A:$G,5,FALSE)</f>
        <v>Teknologi Industri/Teknik Industri</v>
      </c>
      <c r="CB41" s="280" t="str">
        <f>VLOOKUP($B41,Sheet1!$A:$G,6,FALSE)</f>
        <v>-</v>
      </c>
      <c r="CC41" s="280">
        <f>VLOOKUP($B41,Sheet1!$A:$G,7,FALSE)</f>
        <v>0</v>
      </c>
      <c r="CD41" s="280" t="s">
        <v>871</v>
      </c>
      <c r="CE41" s="280" t="s">
        <v>863</v>
      </c>
      <c r="CF41" s="336">
        <v>45748</v>
      </c>
    </row>
    <row r="42" spans="1:84" ht="19.5">
      <c r="A42" s="281">
        <v>59</v>
      </c>
      <c r="B42" s="281" t="s">
        <v>501</v>
      </c>
      <c r="C42" s="281" t="s">
        <v>20</v>
      </c>
      <c r="D42" s="281" t="s">
        <v>475</v>
      </c>
      <c r="E42" s="291">
        <v>25910023</v>
      </c>
      <c r="F42" s="281" t="s">
        <v>1057</v>
      </c>
      <c r="G42" s="282" t="s">
        <v>502</v>
      </c>
      <c r="H42" s="301" t="s">
        <v>845</v>
      </c>
      <c r="I42" s="281" t="s">
        <v>143</v>
      </c>
      <c r="J42" s="281" t="s">
        <v>503</v>
      </c>
      <c r="K42" s="281" t="s">
        <v>874</v>
      </c>
      <c r="L42" s="281" t="s">
        <v>775</v>
      </c>
      <c r="M42" s="283" t="str">
        <f>IF(L42="NJAD","AA",IF(L42="AA","L",IF(L42="L","LK","GB")))</f>
        <v>LK</v>
      </c>
      <c r="N42" s="282" t="s">
        <v>511</v>
      </c>
      <c r="O42" s="281">
        <v>200</v>
      </c>
      <c r="P42" s="281" t="s">
        <v>1058</v>
      </c>
      <c r="Q42" s="284">
        <v>45108</v>
      </c>
      <c r="R42" s="281" t="str">
        <f ca="1">DATEDIF(Q42,TODAY(), "Y") &amp; " Tahun " &amp; DATEDIF(Q42, TODAY(), "YM") &amp; " Bulan"</f>
        <v>2 Tahun 6 Bulan</v>
      </c>
      <c r="S42" s="281" t="s">
        <v>876</v>
      </c>
      <c r="T42" s="285">
        <v>45505</v>
      </c>
      <c r="U42" s="281" t="str">
        <f ca="1">DATEDIF(T42,TODAY(), "Y") &amp; " Tahun " &amp; DATEDIF(T42, TODAY(), "YM") &amp; " Bulan"</f>
        <v>1 Tahun 5 Bulan</v>
      </c>
      <c r="V42" s="281" t="s">
        <v>1059</v>
      </c>
      <c r="W42" s="281" t="s">
        <v>851</v>
      </c>
      <c r="X42" s="283" t="str">
        <f ca="1">IF(AND(OR(L42="AA",L42="L"),OR(S42="Penata Muda Tk. I Golongan III/b",S42="Penata Golongan III/c"),DATEDIF(Q42,TODAY(),"m")&gt;=23,ISBLANK(Z42),C42="Aktif"),"Nominasi Serdos","-")</f>
        <v>Nominasi Serdos</v>
      </c>
      <c r="Y42" s="281"/>
      <c r="Z42" s="282"/>
      <c r="AA42" s="281"/>
      <c r="AB42" s="281" t="s">
        <v>30</v>
      </c>
      <c r="AC42" s="282" t="s">
        <v>511</v>
      </c>
      <c r="AD42" s="281" t="s">
        <v>30</v>
      </c>
      <c r="AE42" s="281" t="s">
        <v>30</v>
      </c>
      <c r="AF42" s="281" t="s">
        <v>30</v>
      </c>
      <c r="AG42" s="281" t="s">
        <v>30</v>
      </c>
      <c r="AH42" s="281" t="s">
        <v>879</v>
      </c>
      <c r="AI42" s="281" t="s">
        <v>30</v>
      </c>
      <c r="AJ42" s="281" t="s">
        <v>30</v>
      </c>
      <c r="AK42" s="281" t="s">
        <v>30</v>
      </c>
      <c r="AM42" s="286">
        <v>43885</v>
      </c>
      <c r="AN42" s="287" t="str">
        <f ca="1">DATEDIF(AM42,TODAY(),"y")&amp;" tahun "&amp;DATEDIF(AM42,TODAY(),"ym")&amp;" bulan "</f>
        <v xml:space="preserve">5 tahun 10 bulan </v>
      </c>
      <c r="AO42" s="281" t="s">
        <v>868</v>
      </c>
      <c r="AP42" s="281" t="s">
        <v>869</v>
      </c>
      <c r="AQ42" s="281" t="s">
        <v>1060</v>
      </c>
      <c r="AR42" s="281" t="s">
        <v>504</v>
      </c>
      <c r="AS42" s="281">
        <v>81333391371</v>
      </c>
      <c r="AT42" s="281" t="s">
        <v>505</v>
      </c>
      <c r="AU42" s="281" t="s">
        <v>30</v>
      </c>
      <c r="AV42" s="281"/>
      <c r="AW42" s="281" t="str">
        <f>VLOOKUP(B42,Sheet2!A60:I177,9,FALSE)</f>
        <v>Dr. Fannush Shofi Akbar, S.ST.</v>
      </c>
      <c r="AX42" s="281" t="s">
        <v>861</v>
      </c>
      <c r="AY42" s="281" t="str">
        <f>VLOOKUP(B42,Sheet2!A60:C177,2,FALSE)</f>
        <v>Surabaya</v>
      </c>
      <c r="AZ42" s="288">
        <f>VLOOKUP(B42,Sheet2!A60:C177,3,FALSE)</f>
        <v>33564</v>
      </c>
      <c r="BA42" s="281">
        <f ca="1">DATEDIF(AZ42, TODAY(),"y")</f>
        <v>34</v>
      </c>
      <c r="BB42" s="281"/>
      <c r="BC42" s="281"/>
      <c r="BD42" s="281"/>
      <c r="BE42" s="281"/>
      <c r="BF42" s="289"/>
      <c r="BG42" s="289"/>
      <c r="BH42" s="289"/>
      <c r="BI42" s="304"/>
      <c r="BJ42" s="304"/>
      <c r="BK42" s="304"/>
      <c r="BL42" s="288" t="str">
        <f>VLOOKUP(B42,Sheet2!A60:D177,4,FALSE)</f>
        <v>Kaprodi</v>
      </c>
      <c r="BM42" s="281"/>
      <c r="BN42" s="281"/>
      <c r="BO42" s="281"/>
      <c r="BP42" s="281"/>
      <c r="BQ42" s="281"/>
      <c r="BR42" s="288" t="str">
        <f>VLOOKUP(B42,Sheet2!A60:E177,5,FALSE)</f>
        <v>Intelligent Communications and Networks (ICON)</v>
      </c>
      <c r="BS42" s="288" t="str">
        <f>VLOOKUP(B42,Sheet2!A60:F177,6,FALSE)</f>
        <v>FSX</v>
      </c>
      <c r="BT42" s="288" t="str">
        <f>VLOOKUP(B42,Sheet2!A60:G177,7,FALSE)</f>
        <v>Fakultas Teknik Elektro</v>
      </c>
      <c r="BU42" s="288" t="str">
        <f>VLOOKUP(B42,Sheet2!A60:H177,8,FALSE)</f>
        <v>fannushakbar@telkomuniversity.ac.id</v>
      </c>
      <c r="BV42" s="280">
        <f>COUNTIFS('Join TPA Dosen'!B:B,Dosen!B60)</f>
        <v>1</v>
      </c>
      <c r="BW42" s="273" t="str">
        <f>DATEDIF(AM42,DATE(2026,1,1),"y")&amp;" tahun "&amp;DATEDIF(AM42,DATE(2026,1,1),"ym")&amp;" bulan "</f>
        <v xml:space="preserve">5 tahun 10 bulan </v>
      </c>
      <c r="BX42" s="280" t="str">
        <f>VLOOKUP($B42,Sheet1!$A:$G,2,FALSE)</f>
        <v>PENS</v>
      </c>
      <c r="BY42" s="280" t="str">
        <f>VLOOKUP($B42,Sheet1!$A:$G,3,FALSE)</f>
        <v>Teknik Telekomunikasi</v>
      </c>
      <c r="BZ42" s="280" t="str">
        <f>VLOOKUP($B42,Sheet1!$A:$G,4,FALSE)</f>
        <v>ITS</v>
      </c>
      <c r="CA42" s="280" t="str">
        <f>VLOOKUP($B42,Sheet1!$A:$G,5,FALSE)</f>
        <v>Teknik Elektro</v>
      </c>
      <c r="CB42" s="280" t="str">
        <f>VLOOKUP($B42,Sheet1!$A:$G,6,FALSE)</f>
        <v>ITS</v>
      </c>
      <c r="CC42" s="280" t="str">
        <f>VLOOKUP($B42,Sheet1!$A:$G,7,FALSE)</f>
        <v>Teknik Elektro</v>
      </c>
      <c r="CD42" s="280" t="s">
        <v>882</v>
      </c>
      <c r="CE42" s="280" t="s">
        <v>872</v>
      </c>
    </row>
    <row r="43" spans="1:84" ht="19.5">
      <c r="A43" s="281">
        <v>61</v>
      </c>
      <c r="B43" s="281" t="s">
        <v>264</v>
      </c>
      <c r="C43" s="281" t="s">
        <v>20</v>
      </c>
      <c r="D43" s="281" t="s">
        <v>235</v>
      </c>
      <c r="E43" s="281">
        <v>21890010</v>
      </c>
      <c r="F43" s="281" t="s">
        <v>1061</v>
      </c>
      <c r="G43" s="282" t="s">
        <v>265</v>
      </c>
      <c r="H43" s="291" t="s">
        <v>884</v>
      </c>
      <c r="I43" s="281" t="s">
        <v>30</v>
      </c>
      <c r="J43" s="281" t="s">
        <v>57</v>
      </c>
      <c r="K43" s="281" t="s">
        <v>846</v>
      </c>
      <c r="L43" s="281" t="s">
        <v>847</v>
      </c>
      <c r="M43" s="283" t="str">
        <f>IF(L43="NJAD","AA",IF(L43="AA","L",IF(L43="L","LK","GB")))</f>
        <v>L</v>
      </c>
      <c r="N43" s="292"/>
      <c r="O43" s="281">
        <v>150</v>
      </c>
      <c r="P43" s="281" t="s">
        <v>1062</v>
      </c>
      <c r="Q43" s="284">
        <v>45870</v>
      </c>
      <c r="R43" s="281" t="str">
        <f ca="1">DATEDIF(Q43,TODAY(), "Y") &amp; " Tahun " &amp; DATEDIF(Q43, TODAY(), "YM") &amp; " Bulan"</f>
        <v>0 Tahun 5 Bulan</v>
      </c>
      <c r="S43" s="281" t="s">
        <v>849</v>
      </c>
      <c r="T43" s="285">
        <v>45931</v>
      </c>
      <c r="U43" s="281" t="str">
        <f ca="1">DATEDIF(T43,TODAY(), "Y") &amp; " Tahun " &amp; DATEDIF(T43, TODAY(), "YM") &amp; " Bulan"</f>
        <v>0 Tahun 3 Bulan</v>
      </c>
      <c r="V43" s="281" t="s">
        <v>933</v>
      </c>
      <c r="W43" s="281" t="s">
        <v>851</v>
      </c>
      <c r="X43" s="283" t="str">
        <f ca="1">IF(AND(OR(L43="AA",L43="L"),OR(S43="Penata Muda Tk. I Golongan III/b",S43="Penata Golongan III/c"),DATEDIF(Q43,TODAY(),"m")&gt;=23,ISBLANK(Z43),C43="Aktif"),"Nominasi Serdos","-")</f>
        <v>-</v>
      </c>
      <c r="Y43" s="281"/>
      <c r="Z43" s="282"/>
      <c r="AA43" s="281"/>
      <c r="AB43" s="281" t="s">
        <v>30</v>
      </c>
      <c r="AC43" s="282" t="s">
        <v>511</v>
      </c>
      <c r="AD43" s="281" t="s">
        <v>30</v>
      </c>
      <c r="AE43" s="281" t="s">
        <v>30</v>
      </c>
      <c r="AF43" s="281" t="s">
        <v>30</v>
      </c>
      <c r="AG43" s="281" t="s">
        <v>30</v>
      </c>
      <c r="AH43" s="281" t="s">
        <v>854</v>
      </c>
      <c r="AI43" s="281" t="s">
        <v>30</v>
      </c>
      <c r="AJ43" s="281" t="s">
        <v>30</v>
      </c>
      <c r="AK43" s="281" t="s">
        <v>30</v>
      </c>
      <c r="AM43" s="286">
        <v>44470</v>
      </c>
      <c r="AN43" s="287" t="str">
        <f ca="1">DATEDIF(AM43,TODAY(),"y")&amp;" tahun "&amp;DATEDIF(AM43,TODAY(),"ym")&amp;" bulan "</f>
        <v xml:space="preserve">4 tahun 3 bulan </v>
      </c>
      <c r="AO43" s="281" t="s">
        <v>858</v>
      </c>
      <c r="AP43" s="281" t="s">
        <v>934</v>
      </c>
      <c r="AQ43" s="281" t="s">
        <v>1063</v>
      </c>
      <c r="AR43" s="281" t="s">
        <v>266</v>
      </c>
      <c r="AS43" s="281">
        <v>81330823998</v>
      </c>
      <c r="AT43" s="281" t="s">
        <v>267</v>
      </c>
      <c r="AU43" s="281" t="s">
        <v>30</v>
      </c>
      <c r="AV43" s="281"/>
      <c r="AW43" s="281" t="str">
        <f>VLOOKUP(B43,Sheet2!A62:I179,9,FALSE)</f>
        <v>Aris Kusumawati, S.Kom., M.Kom.</v>
      </c>
      <c r="AX43" s="281" t="s">
        <v>902</v>
      </c>
      <c r="AY43" s="281" t="str">
        <f>VLOOKUP(B43,Sheet2!A62:C179,2,FALSE)</f>
        <v>Lamongan</v>
      </c>
      <c r="AZ43" s="288">
        <f>VLOOKUP(B43,Sheet2!A62:C179,3,FALSE)</f>
        <v>32740</v>
      </c>
      <c r="BA43" s="281">
        <f ca="1">DATEDIF(AZ43, TODAY(),"y")</f>
        <v>36</v>
      </c>
      <c r="BB43" s="281"/>
      <c r="BC43" s="281"/>
      <c r="BD43" s="281"/>
      <c r="BE43" s="281"/>
      <c r="BF43" s="289"/>
      <c r="BG43" s="289"/>
      <c r="BH43" s="289"/>
      <c r="BI43" s="304"/>
      <c r="BJ43" s="304"/>
      <c r="BK43" s="304"/>
      <c r="BL43" s="288" t="str">
        <f>VLOOKUP(B43,Sheet2!A62:D179,4,FALSE)</f>
        <v>Dosen</v>
      </c>
      <c r="BM43" s="281"/>
      <c r="BN43" s="281"/>
      <c r="BO43" s="281"/>
      <c r="BP43" s="281"/>
      <c r="BQ43" s="281"/>
      <c r="BR43" s="288" t="str">
        <f>VLOOKUP(B43,Sheet2!A62:E179,5,FALSE)</f>
        <v>Enterprise and Industrial System (EINS)</v>
      </c>
      <c r="BS43" s="288" t="str">
        <f>VLOOKUP(B43,Sheet2!A62:F179,6,FALSE)</f>
        <v>KUZ</v>
      </c>
      <c r="BT43" s="288" t="str">
        <f>VLOOKUP(B43,Sheet2!A62:G179,7,FALSE)</f>
        <v>Fakultas Rekayasa Industri</v>
      </c>
      <c r="BU43" s="288" t="str">
        <f>VLOOKUP(B43,Sheet2!A62:H179,8,FALSE)</f>
        <v>ariskusumawati@telkomuniversity.ac.id</v>
      </c>
      <c r="BV43" s="280">
        <f>COUNTIFS('Join TPA Dosen'!B:B,Dosen!B62)</f>
        <v>1</v>
      </c>
      <c r="BW43" s="273" t="str">
        <f>DATEDIF(AM43,DATE(2026,1,1),"y")&amp;" tahun "&amp;DATEDIF(AM43,DATE(2026,1,1),"ym")&amp;" bulan "</f>
        <v xml:space="preserve">4 tahun 3 bulan </v>
      </c>
      <c r="BX43" s="280" t="str">
        <f>VLOOKUP($B43,Sheet1!$A:$G,2,FALSE)</f>
        <v>ITS</v>
      </c>
      <c r="BY43" s="280" t="str">
        <f>VLOOKUP($B43,Sheet1!$A:$G,3,FALSE)</f>
        <v>Sistem Informasi</v>
      </c>
      <c r="BZ43" s="280" t="str">
        <f>VLOOKUP($B43,Sheet1!$A:$G,4,FALSE)</f>
        <v>ITS</v>
      </c>
      <c r="CA43" s="280" t="str">
        <f>VLOOKUP($B43,Sheet1!$A:$G,5,FALSE)</f>
        <v>Sistem Informasi</v>
      </c>
      <c r="CB43" s="280" t="str">
        <f>VLOOKUP($B43,Sheet1!$A:$G,6,FALSE)</f>
        <v>-</v>
      </c>
      <c r="CC43" s="280">
        <f>VLOOKUP($B43,Sheet1!$A:$G,7,FALSE)</f>
        <v>0</v>
      </c>
      <c r="CD43" s="280" t="s">
        <v>882</v>
      </c>
      <c r="CE43" s="280" t="s">
        <v>863</v>
      </c>
    </row>
    <row r="44" spans="1:84" ht="19.5">
      <c r="A44" s="281">
        <v>62</v>
      </c>
      <c r="B44" s="281" t="s">
        <v>268</v>
      </c>
      <c r="C44" s="281" t="s">
        <v>20</v>
      </c>
      <c r="D44" s="281" t="s">
        <v>235</v>
      </c>
      <c r="E44" s="281">
        <v>21910012</v>
      </c>
      <c r="F44" s="281" t="s">
        <v>1064</v>
      </c>
      <c r="G44" s="282" t="s">
        <v>269</v>
      </c>
      <c r="H44" s="291" t="s">
        <v>884</v>
      </c>
      <c r="I44" s="281" t="s">
        <v>30</v>
      </c>
      <c r="J44" s="281" t="s">
        <v>1065</v>
      </c>
      <c r="K44" s="281" t="s">
        <v>846</v>
      </c>
      <c r="L44" s="281" t="s">
        <v>847</v>
      </c>
      <c r="M44" s="283" t="str">
        <f>IF(L44="NJAD","AA",IF(L44="AA","L",IF(L44="L","LK","GB")))</f>
        <v>L</v>
      </c>
      <c r="N44" s="282" t="s">
        <v>511</v>
      </c>
      <c r="O44" s="281">
        <v>150</v>
      </c>
      <c r="P44" s="281" t="s">
        <v>1066</v>
      </c>
      <c r="Q44" s="284">
        <v>45444</v>
      </c>
      <c r="R44" s="281" t="str">
        <f ca="1">DATEDIF(Q44,TODAY(), "Y") &amp; " Tahun " &amp; DATEDIF(Q44, TODAY(), "YM") &amp; " Bulan"</f>
        <v>1 Tahun 7 Bulan</v>
      </c>
      <c r="S44" s="281" t="s">
        <v>849</v>
      </c>
      <c r="T44" s="284">
        <v>45717</v>
      </c>
      <c r="U44" s="281" t="str">
        <f ca="1">DATEDIF(T44,TODAY(), "Y") &amp; " Tahun " &amp; DATEDIF(T44, TODAY(), "YM") &amp; " Bulan"</f>
        <v>0 Tahun 10 Bulan</v>
      </c>
      <c r="V44" s="281" t="s">
        <v>1067</v>
      </c>
      <c r="W44" s="281" t="s">
        <v>851</v>
      </c>
      <c r="X44" s="283" t="str">
        <f ca="1">IF(AND(OR(L44="AA",L44="L"),OR(S44="Penata Muda Tk. I Golongan III/b",S44="Penata Golongan III/c"),DATEDIF(Q44,TODAY(),"m")&gt;=23,ISBLANK(Z44),C44="Aktif"),"Nominasi Serdos","-")</f>
        <v>-</v>
      </c>
      <c r="Y44" s="281"/>
      <c r="Z44" s="282"/>
      <c r="AA44" s="281"/>
      <c r="AB44" s="281" t="s">
        <v>30</v>
      </c>
      <c r="AC44" s="282" t="s">
        <v>511</v>
      </c>
      <c r="AD44" s="281" t="s">
        <v>30</v>
      </c>
      <c r="AE44" s="281" t="s">
        <v>30</v>
      </c>
      <c r="AF44" s="281" t="s">
        <v>30</v>
      </c>
      <c r="AG44" s="281" t="s">
        <v>30</v>
      </c>
      <c r="AH44" s="281" t="s">
        <v>854</v>
      </c>
      <c r="AI44" s="281" t="s">
        <v>30</v>
      </c>
      <c r="AJ44" s="281" t="s">
        <v>30</v>
      </c>
      <c r="AK44" s="281" t="s">
        <v>30</v>
      </c>
      <c r="AM44" s="286">
        <v>44562</v>
      </c>
      <c r="AN44" s="287" t="str">
        <f ca="1">DATEDIF(AM44,TODAY(),"y")&amp;" tahun "&amp;DATEDIF(AM44,TODAY(),"ym")&amp;" bulan "</f>
        <v xml:space="preserve">4 tahun 0 bulan </v>
      </c>
      <c r="AO44" s="281" t="s">
        <v>858</v>
      </c>
      <c r="AP44" s="281" t="s">
        <v>934</v>
      </c>
      <c r="AQ44" s="281" t="s">
        <v>1068</v>
      </c>
      <c r="AR44" s="281" t="s">
        <v>271</v>
      </c>
      <c r="AS44" s="281">
        <v>8123122708</v>
      </c>
      <c r="AT44" s="281" t="s">
        <v>272</v>
      </c>
      <c r="AU44" s="281" t="s">
        <v>30</v>
      </c>
      <c r="AV44" s="281"/>
      <c r="AW44" s="281" t="str">
        <f>VLOOKUP(B44,Sheet2!A63:I180,9,FALSE)</f>
        <v>Mochamad Nizar Palefi Ma'ady, S.Kom., M.Kom., M.IM.</v>
      </c>
      <c r="AX44" s="281" t="s">
        <v>861</v>
      </c>
      <c r="AY44" s="281" t="str">
        <f>VLOOKUP(B44,Sheet2!A63:C180,2,FALSE)</f>
        <v>Bojonegoro</v>
      </c>
      <c r="AZ44" s="288">
        <f>VLOOKUP(B44,Sheet2!A63:C180,3,FALSE)</f>
        <v>33550</v>
      </c>
      <c r="BA44" s="281">
        <f ca="1">DATEDIF(AZ44, TODAY(),"y")</f>
        <v>34</v>
      </c>
      <c r="BB44" s="281"/>
      <c r="BC44" s="281"/>
      <c r="BD44" s="281"/>
      <c r="BE44" s="281"/>
      <c r="BF44" s="289"/>
      <c r="BG44" s="289"/>
      <c r="BH44" s="289"/>
      <c r="BI44" s="304"/>
      <c r="BJ44" s="304"/>
      <c r="BK44" s="304"/>
      <c r="BL44" s="288" t="s">
        <v>922</v>
      </c>
      <c r="BM44" s="281"/>
      <c r="BN44" s="281"/>
      <c r="BO44" s="281"/>
      <c r="BP44" s="281"/>
      <c r="BQ44" s="281"/>
      <c r="BR44" s="288" t="str">
        <f>VLOOKUP(B44,Sheet2!A63:E180,5,FALSE)</f>
        <v>Cybernetics</v>
      </c>
      <c r="BS44" s="288" t="str">
        <f>VLOOKUP(B44,Sheet2!A63:F180,6,FALSE)</f>
        <v>NZR</v>
      </c>
      <c r="BT44" s="288" t="str">
        <f>VLOOKUP(B44,Sheet2!A63:G180,7,FALSE)</f>
        <v>Fakultas Rekayasa Industri</v>
      </c>
      <c r="BU44" s="288" t="str">
        <f>VLOOKUP(B44,Sheet2!A63:H180,8,FALSE)</f>
        <v>mnizarpm@telkomuniversity.ac.id</v>
      </c>
      <c r="BV44" s="280">
        <f>COUNTIFS('Join TPA Dosen'!B:B,Dosen!B63)</f>
        <v>1</v>
      </c>
      <c r="BW44" s="273" t="str">
        <f>DATEDIF(AM44,DATE(2026,1,1),"y")&amp;" tahun "&amp;DATEDIF(AM44,DATE(2026,1,1),"ym")&amp;" bulan "</f>
        <v xml:space="preserve">4 tahun 0 bulan </v>
      </c>
      <c r="BX44" s="280" t="str">
        <f>VLOOKUP($B44,Sheet1!$A:$G,2,FALSE)</f>
        <v>ITS</v>
      </c>
      <c r="BY44" s="280" t="str">
        <f>VLOOKUP($B44,Sheet1!$A:$G,3,FALSE)</f>
        <v>Sistem Informasi</v>
      </c>
      <c r="BZ44" s="280" t="str">
        <f>VLOOKUP($B44,Sheet1!$A:$G,4,FALSE)</f>
        <v>ITS &amp; NTUST</v>
      </c>
      <c r="CA44" s="280" t="str">
        <f>VLOOKUP($B44,Sheet1!$A:$G,5,FALSE)</f>
        <v>Teknik Informatika - Sistem Informasi &amp; Information Management</v>
      </c>
      <c r="CB44" s="280" t="str">
        <f>VLOOKUP($B44,Sheet1!$A:$G,6,FALSE)</f>
        <v>-</v>
      </c>
      <c r="CC44" s="280">
        <f>VLOOKUP($B44,Sheet1!$A:$G,7,FALSE)</f>
        <v>0</v>
      </c>
      <c r="CD44" s="280" t="s">
        <v>862</v>
      </c>
      <c r="CE44" s="280" t="s">
        <v>863</v>
      </c>
    </row>
    <row r="45" spans="1:84" ht="18.95">
      <c r="A45" s="281">
        <v>53</v>
      </c>
      <c r="B45" s="281" t="s">
        <v>206</v>
      </c>
      <c r="C45" s="281" t="s">
        <v>46</v>
      </c>
      <c r="D45" s="281" t="s">
        <v>201</v>
      </c>
      <c r="E45" s="281">
        <v>23950026</v>
      </c>
      <c r="F45" s="281" t="s">
        <v>1069</v>
      </c>
      <c r="G45" s="282" t="s">
        <v>207</v>
      </c>
      <c r="H45" s="281" t="s">
        <v>845</v>
      </c>
      <c r="I45" s="281" t="s">
        <v>143</v>
      </c>
      <c r="J45" s="281" t="s">
        <v>208</v>
      </c>
      <c r="K45" s="281" t="s">
        <v>926</v>
      </c>
      <c r="L45" s="281" t="s">
        <v>847</v>
      </c>
      <c r="M45" s="283" t="str">
        <f>IF(L45="NJAD","AA",IF(L45="AA","L",IF(L45="L","LK","GB")))</f>
        <v>L</v>
      </c>
      <c r="N45" s="282" t="s">
        <v>511</v>
      </c>
      <c r="O45" s="281">
        <v>150</v>
      </c>
      <c r="P45" s="281" t="s">
        <v>1070</v>
      </c>
      <c r="Q45" s="284">
        <v>45047</v>
      </c>
      <c r="R45" s="281" t="str">
        <f ca="1">DATEDIF(Q45,TODAY(), "Y") &amp; " Tahun " &amp; DATEDIF(Q45, TODAY(), "YM") &amp; " Bulan"</f>
        <v>2 Tahun 8 Bulan</v>
      </c>
      <c r="S45" s="281" t="s">
        <v>849</v>
      </c>
      <c r="T45" s="285">
        <v>45170</v>
      </c>
      <c r="U45" s="281" t="str">
        <f ca="1">DATEDIF(T45,TODAY(), "Y") &amp; " Tahun " &amp; DATEDIF(T45, TODAY(), "YM") &amp; " Bulan"</f>
        <v>2 Tahun 4 Bulan</v>
      </c>
      <c r="V45" s="281" t="s">
        <v>1034</v>
      </c>
      <c r="W45" s="281" t="s">
        <v>851</v>
      </c>
      <c r="X45" s="283" t="str">
        <f ca="1">IF(AND(OR(L45="AA",L45="L"),OR(S45="Penata Muda Tk. I Golongan III/b",S45="Penata Golongan III/c"),DATEDIF(Q45,TODAY(),"m")&gt;=23,ISBLANK(Z45),C45="Aktif"),"Nominasi Serdos","-")</f>
        <v>-</v>
      </c>
      <c r="Y45" s="281"/>
      <c r="Z45" s="282"/>
      <c r="AA45" s="281"/>
      <c r="AB45" s="281" t="s">
        <v>30</v>
      </c>
      <c r="AC45" s="282" t="s">
        <v>511</v>
      </c>
      <c r="AD45" s="281" t="s">
        <v>30</v>
      </c>
      <c r="AE45" s="281" t="s">
        <v>30</v>
      </c>
      <c r="AF45" s="281" t="s">
        <v>30</v>
      </c>
      <c r="AG45" s="281" t="s">
        <v>30</v>
      </c>
      <c r="AH45" s="281" t="s">
        <v>879</v>
      </c>
      <c r="AI45" s="281" t="s">
        <v>30</v>
      </c>
      <c r="AJ45" s="281" t="s">
        <v>30</v>
      </c>
      <c r="AK45" s="281" t="s">
        <v>30</v>
      </c>
      <c r="AM45" s="286">
        <v>44166</v>
      </c>
      <c r="AN45" s="287" t="str">
        <f ca="1">DATEDIF(AM45,TODAY(),"y")&amp;" tahun "&amp;DATEDIF(AM45,TODAY(),"ym")&amp;" bulan "</f>
        <v xml:space="preserve">5 tahun 1 bulan </v>
      </c>
      <c r="AO45" s="281" t="s">
        <v>858</v>
      </c>
      <c r="AP45" s="281" t="s">
        <v>1035</v>
      </c>
      <c r="AQ45" s="281" t="s">
        <v>1071</v>
      </c>
      <c r="AR45" s="281" t="s">
        <v>209</v>
      </c>
      <c r="AS45" s="281">
        <v>82131281868</v>
      </c>
      <c r="AT45" s="281" t="s">
        <v>210</v>
      </c>
      <c r="AU45" s="281" t="s">
        <v>30</v>
      </c>
      <c r="AV45" s="281"/>
      <c r="AW45" s="281" t="str">
        <f>VLOOKUP(B45,Sheet2!A54:I171,9,FALSE)</f>
        <v>Dr. Helisyah Nur Fadhilah, S.Si., M.Mat.</v>
      </c>
      <c r="AX45" s="281" t="s">
        <v>902</v>
      </c>
      <c r="AY45" s="281" t="str">
        <f>VLOOKUP(B45,Sheet2!A54:C171,2,FALSE)</f>
        <v>Gresik</v>
      </c>
      <c r="AZ45" s="288">
        <f>VLOOKUP(B45,Sheet2!A54:C171,3,FALSE)</f>
        <v>34881</v>
      </c>
      <c r="BA45" s="281">
        <f ca="1">DATEDIF(AZ45, TODAY(),"y")</f>
        <v>30</v>
      </c>
      <c r="BB45" s="281"/>
      <c r="BC45" s="281"/>
      <c r="BD45" s="281"/>
      <c r="BE45" s="281"/>
      <c r="BF45" s="289"/>
      <c r="BG45" s="289"/>
      <c r="BH45" s="289"/>
      <c r="BI45" s="304"/>
      <c r="BJ45" s="304"/>
      <c r="BK45" s="304"/>
      <c r="BL45" s="288" t="str">
        <f>VLOOKUP(B45,Sheet2!A54:D171,4,FALSE)</f>
        <v>Dosen</v>
      </c>
      <c r="BM45" s="281"/>
      <c r="BN45" s="286"/>
      <c r="BO45" s="281"/>
      <c r="BP45" s="281"/>
      <c r="BQ45" s="281"/>
      <c r="BR45" s="288" t="str">
        <f>VLOOKUP(B45,Sheet2!A54:E171,5,FALSE)</f>
        <v>Data Science and Intelligent Systems (DSIS)</v>
      </c>
      <c r="BS45" s="288" t="str">
        <f>VLOOKUP(B45,Sheet2!A54:F171,6,FALSE)</f>
        <v>HEF</v>
      </c>
      <c r="BT45" s="288" t="str">
        <f>VLOOKUP(B45,Sheet2!A54:G171,7,FALSE)</f>
        <v>Fakultas Informatika</v>
      </c>
      <c r="BU45" s="288" t="str">
        <f>VLOOKUP(B45,Sheet2!A54:H171,8,FALSE)</f>
        <v>helisyahnf@telkomuniversity.ac.id</v>
      </c>
      <c r="BV45" s="280">
        <f>COUNTIFS('Join TPA Dosen'!B:B,Dosen!B54)</f>
        <v>1</v>
      </c>
      <c r="BW45" s="273" t="str">
        <f>DATEDIF(AM45,DATE(2026,1,1),"y")&amp;" tahun "&amp;DATEDIF(AM45,DATE(2026,1,1),"ym")&amp;" bulan "</f>
        <v xml:space="preserve">5 tahun 1 bulan </v>
      </c>
      <c r="BX45" s="280" t="str">
        <f>VLOOKUP($B45,Sheet1!$A:$G,2,FALSE)</f>
        <v>ITS</v>
      </c>
      <c r="BY45" s="280" t="str">
        <f>VLOOKUP($B45,Sheet1!$A:$G,3,FALSE)</f>
        <v>Matematika dan Ilmu Pengatahuan Alam/Matematika</v>
      </c>
      <c r="BZ45" s="280" t="str">
        <f>VLOOKUP($B45,Sheet1!$A:$G,4,FALSE)</f>
        <v>ITS</v>
      </c>
      <c r="CA45" s="280" t="str">
        <f>VLOOKUP($B45,Sheet1!$A:$G,5,FALSE)</f>
        <v>Matematika, Komputasi, dan Sains Data/Matematika</v>
      </c>
      <c r="CB45" s="280" t="str">
        <f>VLOOKUP($B45,Sheet1!$A:$G,6,FALSE)</f>
        <v>ITS</v>
      </c>
      <c r="CC45" s="280" t="str">
        <f>VLOOKUP($B45,Sheet1!$A:$G,7,FALSE)</f>
        <v>Sains dan Analitika Data/Matematika</v>
      </c>
      <c r="CD45" s="280" t="e">
        <v>#N/A</v>
      </c>
      <c r="CE45" s="280" t="e">
        <v>#N/A</v>
      </c>
    </row>
    <row r="46" spans="1:84" ht="18.95">
      <c r="A46" s="281">
        <v>54</v>
      </c>
      <c r="B46" s="281" t="s">
        <v>211</v>
      </c>
      <c r="C46" s="281" t="s">
        <v>20</v>
      </c>
      <c r="D46" s="281" t="s">
        <v>201</v>
      </c>
      <c r="E46" s="281">
        <v>23950023</v>
      </c>
      <c r="F46" s="281" t="s">
        <v>1072</v>
      </c>
      <c r="G46" s="282" t="s">
        <v>212</v>
      </c>
      <c r="H46" s="281" t="s">
        <v>845</v>
      </c>
      <c r="I46" s="281" t="s">
        <v>30</v>
      </c>
      <c r="J46" s="281" t="s">
        <v>208</v>
      </c>
      <c r="K46" s="281" t="s">
        <v>893</v>
      </c>
      <c r="L46" s="281" t="s">
        <v>775</v>
      </c>
      <c r="M46" s="283" t="str">
        <f>IF(L46="NJAD","AA",IF(L46="AA","L",IF(L46="L","LK","GB")))</f>
        <v>LK</v>
      </c>
      <c r="N46" s="292"/>
      <c r="O46" s="281">
        <v>200</v>
      </c>
      <c r="P46" s="281" t="s">
        <v>1073</v>
      </c>
      <c r="Q46" s="284">
        <v>45931</v>
      </c>
      <c r="R46" s="281" t="str">
        <f ca="1">DATEDIF(Q46,TODAY(), "Y") &amp; " Tahun " &amp; DATEDIF(Q46, TODAY(), "YM") &amp; " Bulan"</f>
        <v>0 Tahun 3 Bulan</v>
      </c>
      <c r="S46" s="281" t="s">
        <v>876</v>
      </c>
      <c r="T46" s="285">
        <v>46023</v>
      </c>
      <c r="U46" s="281" t="str">
        <f ca="1">DATEDIF(T46,TODAY(), "Y") &amp; " Tahun " &amp; DATEDIF(T46, TODAY(), "YM") &amp; " Bulan"</f>
        <v>0 Tahun 0 Bulan</v>
      </c>
      <c r="V46" s="281" t="s">
        <v>1074</v>
      </c>
      <c r="W46" s="281" t="s">
        <v>851</v>
      </c>
      <c r="X46" s="283" t="str">
        <f ca="1">IF(AND(OR(L46="AA",L46="L"),OR(S46="Penata Muda Tk. I Golongan III/b",S46="Penata Golongan III/c"),DATEDIF(Q46,TODAY(),"m")&gt;=23,ISBLANK(Z46),C46="Aktif"),"Nominasi Serdos","-")</f>
        <v>-</v>
      </c>
      <c r="Y46" s="281"/>
      <c r="Z46" s="282" t="s">
        <v>852</v>
      </c>
      <c r="AA46" s="281">
        <v>25104105713496</v>
      </c>
      <c r="AB46" s="291" t="s">
        <v>1075</v>
      </c>
      <c r="AC46" s="285">
        <v>45917</v>
      </c>
      <c r="AD46" s="281" t="s">
        <v>30</v>
      </c>
      <c r="AE46" s="281" t="s">
        <v>30</v>
      </c>
      <c r="AF46" s="281" t="s">
        <v>30</v>
      </c>
      <c r="AG46" s="281" t="s">
        <v>30</v>
      </c>
      <c r="AH46" s="281" t="s">
        <v>854</v>
      </c>
      <c r="AI46" s="281" t="s">
        <v>855</v>
      </c>
      <c r="AJ46" s="281" t="s">
        <v>856</v>
      </c>
      <c r="AK46" s="281" t="s">
        <v>855</v>
      </c>
      <c r="AL46" s="280" t="s">
        <v>857</v>
      </c>
      <c r="AM46" s="286">
        <v>44166</v>
      </c>
      <c r="AN46" s="287" t="str">
        <f ca="1">DATEDIF(AM46,TODAY(),"y")&amp;" tahun "&amp;DATEDIF(AM46,TODAY(),"ym")&amp;" bulan "</f>
        <v xml:space="preserve">5 tahun 1 bulan </v>
      </c>
      <c r="AO46" s="281" t="s">
        <v>858</v>
      </c>
      <c r="AP46" s="281" t="s">
        <v>1035</v>
      </c>
      <c r="AQ46" s="281" t="s">
        <v>1076</v>
      </c>
      <c r="AR46" s="281" t="s">
        <v>213</v>
      </c>
      <c r="AS46" s="281">
        <v>81331653603</v>
      </c>
      <c r="AT46" s="281" t="s">
        <v>214</v>
      </c>
      <c r="AU46" s="281" t="s">
        <v>30</v>
      </c>
      <c r="AV46" s="281"/>
      <c r="AW46" s="281" t="str">
        <f>VLOOKUP(B46,Sheet2!A55:I172,9,FALSE)</f>
        <v>Moh. Hamim Zajuli Al Faroby, S.Si., M.Mat.</v>
      </c>
      <c r="AX46" s="281" t="s">
        <v>861</v>
      </c>
      <c r="AY46" s="281" t="str">
        <f>VLOOKUP(B46,Sheet2!A55:C172,2,FALSE)</f>
        <v>Banyuwangi</v>
      </c>
      <c r="AZ46" s="288">
        <f>VLOOKUP(B46,Sheet2!A55:C172,3,FALSE)</f>
        <v>34904</v>
      </c>
      <c r="BA46" s="281">
        <f ca="1">DATEDIF(AZ46, TODAY(),"y")</f>
        <v>30</v>
      </c>
      <c r="BB46" s="281"/>
      <c r="BC46" s="281"/>
      <c r="BD46" s="281"/>
      <c r="BE46" s="281"/>
      <c r="BF46" s="289"/>
      <c r="BG46" s="289"/>
      <c r="BH46" s="289"/>
      <c r="BI46" s="289"/>
      <c r="BJ46" s="289"/>
      <c r="BK46" s="289"/>
      <c r="BL46" s="288" t="str">
        <f>VLOOKUP(B46,Sheet2!A55:D172,4,FALSE)</f>
        <v>Kaprodi</v>
      </c>
      <c r="BM46" s="281"/>
      <c r="BN46" s="286"/>
      <c r="BO46" s="281"/>
      <c r="BP46" s="281"/>
      <c r="BQ46" s="281"/>
      <c r="BR46" s="288" t="str">
        <f>VLOOKUP(B46,Sheet2!A55:E172,5,FALSE)</f>
        <v>Data Science and Intelligent Systems (DSIS)</v>
      </c>
      <c r="BS46" s="288" t="str">
        <f>VLOOKUP(B46,Sheet2!A55:F172,6,FALSE)</f>
        <v>OBY</v>
      </c>
      <c r="BT46" s="288" t="str">
        <f>VLOOKUP(B46,Sheet2!A55:G172,7,FALSE)</f>
        <v>Fakultas Informatika</v>
      </c>
      <c r="BU46" s="288" t="str">
        <f>VLOOKUP(B46,Sheet2!A55:H172,8,FALSE)</f>
        <v>alfarobymhz@telkomuniversity.ac.id</v>
      </c>
      <c r="BV46" s="280">
        <f>COUNTIFS('Join TPA Dosen'!B:B,Dosen!B55)</f>
        <v>1</v>
      </c>
      <c r="BW46" s="273" t="str">
        <f>DATEDIF(AM46,DATE(2026,1,1),"y")&amp;" tahun "&amp;DATEDIF(AM46,DATE(2026,1,1),"ym")&amp;" bulan "</f>
        <v xml:space="preserve">5 tahun 1 bulan </v>
      </c>
      <c r="BX46" s="280" t="str">
        <f>VLOOKUP($B46,Sheet1!$A:$G,2,FALSE)</f>
        <v>ITS</v>
      </c>
      <c r="BY46" s="280" t="str">
        <f>VLOOKUP($B46,Sheet1!$A:$G,3,FALSE)</f>
        <v>Matematika, Komputasi, dan Sains Data/Matematika</v>
      </c>
      <c r="BZ46" s="280" t="str">
        <f>VLOOKUP($B46,Sheet1!$A:$G,4,FALSE)</f>
        <v>ITS</v>
      </c>
      <c r="CA46" s="280" t="str">
        <f>VLOOKUP($B46,Sheet1!$A:$G,5,FALSE)</f>
        <v>Sains dan Analitika Data/Matematika</v>
      </c>
      <c r="CB46" s="280" t="str">
        <f>VLOOKUP($B46,Sheet1!$A:$G,6,FALSE)</f>
        <v>-</v>
      </c>
      <c r="CC46" s="280">
        <f>VLOOKUP($B46,Sheet1!$A:$G,7,FALSE)</f>
        <v>0</v>
      </c>
      <c r="CD46" s="280" t="s">
        <v>882</v>
      </c>
      <c r="CE46" s="280" t="s">
        <v>903</v>
      </c>
    </row>
    <row r="47" spans="1:84" ht="19.5">
      <c r="A47" s="281">
        <v>63</v>
      </c>
      <c r="B47" s="281" t="s">
        <v>273</v>
      </c>
      <c r="C47" s="281" t="s">
        <v>20</v>
      </c>
      <c r="D47" s="281" t="s">
        <v>235</v>
      </c>
      <c r="E47" s="281">
        <v>21870007</v>
      </c>
      <c r="F47" s="281" t="s">
        <v>1077</v>
      </c>
      <c r="G47" s="282" t="s">
        <v>274</v>
      </c>
      <c r="H47" s="291" t="s">
        <v>884</v>
      </c>
      <c r="I47" s="281" t="s">
        <v>30</v>
      </c>
      <c r="J47" s="281" t="s">
        <v>57</v>
      </c>
      <c r="K47" s="281" t="s">
        <v>917</v>
      </c>
      <c r="L47" s="281" t="s">
        <v>918</v>
      </c>
      <c r="M47" s="283" t="str">
        <f>IF(L47="NJAD","AA",IF(L47="AA","L",IF(L47="L","LK","GB")))</f>
        <v>AA</v>
      </c>
      <c r="N47" s="282" t="s">
        <v>511</v>
      </c>
      <c r="O47" s="281">
        <v>0</v>
      </c>
      <c r="P47" s="281" t="s">
        <v>30</v>
      </c>
      <c r="Q47" s="284">
        <v>44562</v>
      </c>
      <c r="R47" s="281" t="str">
        <f ca="1">DATEDIF(Q47,TODAY(), "Y") &amp; " Tahun " &amp; DATEDIF(Q47, TODAY(), "YM") &amp; " Bulan"</f>
        <v>4 Tahun 0 Bulan</v>
      </c>
      <c r="S47" s="282" t="s">
        <v>511</v>
      </c>
      <c r="T47" s="282" t="s">
        <v>511</v>
      </c>
      <c r="U47" s="281" t="e">
        <f ca="1">DATEDIF(T47,TODAY(), "Y") &amp; " Tahun " &amp; DATEDIF(T47, TODAY(), "YM") &amp; " Bulan"</f>
        <v>#VALUE!</v>
      </c>
      <c r="V47" s="281" t="s">
        <v>933</v>
      </c>
      <c r="W47" s="281" t="s">
        <v>851</v>
      </c>
      <c r="X47" s="283" t="str">
        <f ca="1">IF(AND(OR(L47="AA",L47="L"),OR(S47="Penata Muda Tk. I Golongan III/b",S47="Penata Golongan III/c"),DATEDIF(Q47,TODAY(),"m")&gt;=23,ISBLANK(Z47),C47="Aktif"),"Nominasi Serdos","-")</f>
        <v>-</v>
      </c>
      <c r="Y47" s="281"/>
      <c r="Z47" s="282"/>
      <c r="AA47" s="281"/>
      <c r="AB47" s="281" t="s">
        <v>30</v>
      </c>
      <c r="AC47" s="282" t="s">
        <v>511</v>
      </c>
      <c r="AD47" s="281" t="s">
        <v>30</v>
      </c>
      <c r="AE47" s="281" t="s">
        <v>30</v>
      </c>
      <c r="AF47" s="281" t="s">
        <v>30</v>
      </c>
      <c r="AG47" s="281" t="s">
        <v>30</v>
      </c>
      <c r="AH47" s="281" t="s">
        <v>854</v>
      </c>
      <c r="AI47" s="281" t="s">
        <v>30</v>
      </c>
      <c r="AJ47" s="281" t="s">
        <v>30</v>
      </c>
      <c r="AK47" s="281" t="s">
        <v>30</v>
      </c>
      <c r="AM47" s="286">
        <v>44562</v>
      </c>
      <c r="AN47" s="287" t="str">
        <f ca="1">DATEDIF(AM47,TODAY(),"y")&amp;" tahun "&amp;DATEDIF(AM47,TODAY(),"ym")&amp;" bulan "</f>
        <v xml:space="preserve">4 tahun 0 bulan </v>
      </c>
      <c r="AO47" s="281" t="s">
        <v>858</v>
      </c>
      <c r="AP47" s="281" t="s">
        <v>934</v>
      </c>
      <c r="AQ47" s="281" t="s">
        <v>1078</v>
      </c>
      <c r="AR47" s="281" t="s">
        <v>275</v>
      </c>
      <c r="AS47" s="281">
        <v>81239428683</v>
      </c>
      <c r="AT47" s="281" t="s">
        <v>276</v>
      </c>
      <c r="AU47" s="281" t="s">
        <v>30</v>
      </c>
      <c r="AV47" s="281"/>
      <c r="AW47" s="281" t="str">
        <f>VLOOKUP(B47,Sheet2!A64:I181,9,FALSE)</f>
        <v>Purnama Anaking, S.Kom., M.Kom.</v>
      </c>
      <c r="AX47" s="281" t="s">
        <v>861</v>
      </c>
      <c r="AY47" s="281" t="str">
        <f>VLOOKUP(B47,Sheet2!A64:C181,2,FALSE)</f>
        <v>Jakarta</v>
      </c>
      <c r="AZ47" s="288">
        <f>VLOOKUP(B47,Sheet2!A64:C181,3,FALSE)</f>
        <v>32044</v>
      </c>
      <c r="BA47" s="281">
        <f ca="1">DATEDIF(AZ47, TODAY(),"y")</f>
        <v>38</v>
      </c>
      <c r="BB47" s="281"/>
      <c r="BC47" s="281"/>
      <c r="BD47" s="281"/>
      <c r="BE47" s="281"/>
      <c r="BF47" s="289"/>
      <c r="BG47" s="289"/>
      <c r="BH47" s="289"/>
      <c r="BI47" s="289"/>
      <c r="BJ47" s="289"/>
      <c r="BK47" s="289"/>
      <c r="BL47" s="288" t="str">
        <f>VLOOKUP(B47,Sheet2!A64:D181,4,FALSE)</f>
        <v>Dosen</v>
      </c>
      <c r="BM47" s="281"/>
      <c r="BN47" s="281"/>
      <c r="BO47" s="281"/>
      <c r="BP47" s="281"/>
      <c r="BQ47" s="281"/>
      <c r="BR47" s="288" t="str">
        <f>VLOOKUP(B47,Sheet2!A64:E181,5,FALSE)</f>
        <v>Cybernetics</v>
      </c>
      <c r="BS47" s="288" t="str">
        <f>VLOOKUP(B47,Sheet2!A64:F181,6,FALSE)</f>
        <v>PAK</v>
      </c>
      <c r="BT47" s="288" t="str">
        <f>VLOOKUP(B47,Sheet2!A64:G181,7,FALSE)</f>
        <v>Fakultas Rekayasa Industri</v>
      </c>
      <c r="BU47" s="288" t="str">
        <f>VLOOKUP(B47,Sheet2!A64:H181,8,FALSE)</f>
        <v>purnamaanaking@telkomuniversity.ac.id</v>
      </c>
      <c r="BV47" s="280">
        <f>COUNTIFS('Join TPA Dosen'!B:B,Dosen!B64)</f>
        <v>1</v>
      </c>
      <c r="BW47" s="273" t="str">
        <f>DATEDIF(AM47,DATE(2026,1,1),"y")&amp;" tahun "&amp;DATEDIF(AM47,DATE(2026,1,1),"ym")&amp;" bulan "</f>
        <v xml:space="preserve">4 tahun 0 bulan </v>
      </c>
      <c r="BX47" s="280" t="str">
        <f>VLOOKUP($B47,Sheet1!$A:$G,2,FALSE)</f>
        <v>ITS</v>
      </c>
      <c r="BY47" s="280" t="str">
        <f>VLOOKUP($B47,Sheet1!$A:$G,3,FALSE)</f>
        <v>Sistem Informasi</v>
      </c>
      <c r="BZ47" s="280" t="str">
        <f>VLOOKUP($B47,Sheet1!$A:$G,4,FALSE)</f>
        <v>ITS</v>
      </c>
      <c r="CA47" s="280" t="str">
        <f>VLOOKUP($B47,Sheet1!$A:$G,5,FALSE)</f>
        <v>Sistem Informasi</v>
      </c>
      <c r="CB47" s="280" t="str">
        <f>VLOOKUP($B47,Sheet1!$A:$G,6,FALSE)</f>
        <v>-</v>
      </c>
      <c r="CC47" s="280">
        <f>VLOOKUP($B47,Sheet1!$A:$G,7,FALSE)</f>
        <v>0</v>
      </c>
      <c r="CD47" s="280" t="s">
        <v>882</v>
      </c>
      <c r="CE47" s="280" t="s">
        <v>903</v>
      </c>
    </row>
    <row r="48" spans="1:84" ht="19.5">
      <c r="A48" s="281">
        <v>64</v>
      </c>
      <c r="B48" s="281" t="s">
        <v>506</v>
      </c>
      <c r="C48" s="281" t="s">
        <v>20</v>
      </c>
      <c r="D48" s="281" t="s">
        <v>475</v>
      </c>
      <c r="E48" s="281">
        <v>22960009</v>
      </c>
      <c r="F48" s="281" t="s">
        <v>1079</v>
      </c>
      <c r="G48" s="282" t="s">
        <v>507</v>
      </c>
      <c r="H48" s="291" t="s">
        <v>884</v>
      </c>
      <c r="I48" s="281" t="s">
        <v>30</v>
      </c>
      <c r="J48" s="281" t="s">
        <v>176</v>
      </c>
      <c r="K48" s="281" t="s">
        <v>917</v>
      </c>
      <c r="L48" s="281" t="s">
        <v>918</v>
      </c>
      <c r="M48" s="283" t="str">
        <f>IF(L48="NJAD","AA",IF(L48="AA","L",IF(L48="L","LK","GB")))</f>
        <v>AA</v>
      </c>
      <c r="N48" s="282" t="s">
        <v>511</v>
      </c>
      <c r="O48" s="281">
        <v>0</v>
      </c>
      <c r="P48" s="281" t="s">
        <v>30</v>
      </c>
      <c r="Q48" s="284">
        <v>44627</v>
      </c>
      <c r="R48" s="281" t="str">
        <f ca="1">DATEDIF(Q48,TODAY(), "Y") &amp; " Tahun " &amp; DATEDIF(Q48, TODAY(), "YM") &amp; " Bulan"</f>
        <v>3 Tahun 10 Bulan</v>
      </c>
      <c r="S48" s="282" t="s">
        <v>511</v>
      </c>
      <c r="T48" s="282" t="s">
        <v>511</v>
      </c>
      <c r="U48" s="281" t="e">
        <f ca="1">DATEDIF(T48,TODAY(), "Y") &amp; " Tahun " &amp; DATEDIF(T48, TODAY(), "YM") &amp; " Bulan"</f>
        <v>#VALUE!</v>
      </c>
      <c r="V48" s="281" t="s">
        <v>866</v>
      </c>
      <c r="W48" s="281" t="s">
        <v>851</v>
      </c>
      <c r="X48" s="283" t="str">
        <f ca="1">IF(AND(OR(L48="AA",L48="L"),OR(S48="Penata Muda Tk. I Golongan III/b",S48="Penata Golongan III/c"),DATEDIF(Q48,TODAY(),"m")&gt;=23,ISBLANK(Z48),C48="Aktif"),"Nominasi Serdos","-")</f>
        <v>-</v>
      </c>
      <c r="Y48" s="281"/>
      <c r="Z48" s="282"/>
      <c r="AA48" s="281"/>
      <c r="AB48" s="281" t="s">
        <v>30</v>
      </c>
      <c r="AC48" s="282" t="s">
        <v>511</v>
      </c>
      <c r="AD48" s="281" t="s">
        <v>30</v>
      </c>
      <c r="AE48" s="281" t="s">
        <v>30</v>
      </c>
      <c r="AF48" s="281" t="s">
        <v>30</v>
      </c>
      <c r="AG48" s="281" t="s">
        <v>30</v>
      </c>
      <c r="AH48" s="281" t="s">
        <v>854</v>
      </c>
      <c r="AI48" s="281" t="s">
        <v>30</v>
      </c>
      <c r="AJ48" s="281" t="s">
        <v>30</v>
      </c>
      <c r="AK48" s="281" t="s">
        <v>30</v>
      </c>
      <c r="AM48" s="286">
        <v>44627</v>
      </c>
      <c r="AN48" s="287" t="str">
        <f ca="1">DATEDIF(AM48,TODAY(),"y")&amp;" tahun "&amp;DATEDIF(AM48,TODAY(),"ym")&amp;" bulan "</f>
        <v xml:space="preserve">3 tahun 10 bulan </v>
      </c>
      <c r="AO48" s="281" t="s">
        <v>868</v>
      </c>
      <c r="AP48" s="281" t="s">
        <v>869</v>
      </c>
      <c r="AQ48" s="281" t="s">
        <v>1080</v>
      </c>
      <c r="AR48" s="281" t="s">
        <v>508</v>
      </c>
      <c r="AS48" s="281">
        <v>82116869268</v>
      </c>
      <c r="AT48" s="281" t="s">
        <v>509</v>
      </c>
      <c r="AU48" s="281" t="s">
        <v>30</v>
      </c>
      <c r="AV48" s="281"/>
      <c r="AW48" s="281" t="str">
        <f>VLOOKUP(B48,Sheet2!A65:I182,9,FALSE)</f>
        <v>Arrizky Ayu Faradila Purnama, S.T., M.T.</v>
      </c>
      <c r="AX48" s="281" t="s">
        <v>902</v>
      </c>
      <c r="AY48" s="281" t="str">
        <f>VLOOKUP(B48,Sheet2!A65:C182,2,FALSE)</f>
        <v>Trenggalek</v>
      </c>
      <c r="AZ48" s="288">
        <f>VLOOKUP(B48,Sheet2!A65:C182,3,FALSE)</f>
        <v>35109</v>
      </c>
      <c r="BA48" s="281">
        <f ca="1">DATEDIF(AZ48, TODAY(),"y")</f>
        <v>29</v>
      </c>
      <c r="BB48" s="281"/>
      <c r="BC48" s="281"/>
      <c r="BD48" s="281"/>
      <c r="BE48" s="281"/>
      <c r="BF48" s="289"/>
      <c r="BG48" s="289"/>
      <c r="BH48" s="289"/>
      <c r="BI48" s="289"/>
      <c r="BJ48" s="289"/>
      <c r="BK48" s="289"/>
      <c r="BL48" s="288" t="str">
        <f>VLOOKUP(B48,Sheet2!A65:D182,4,FALSE)</f>
        <v>Dosen</v>
      </c>
      <c r="BM48" s="281"/>
      <c r="BN48" s="281"/>
      <c r="BO48" s="281"/>
      <c r="BP48" s="281"/>
      <c r="BQ48" s="281"/>
      <c r="BR48" s="288" t="str">
        <f>VLOOKUP(B48,Sheet2!A65:E182,5,FALSE)</f>
        <v>Intelligent Communications and Networks (ICON)</v>
      </c>
      <c r="BS48" s="288" t="str">
        <f>VLOOKUP(B48,Sheet2!A65:F182,6,FALSE)</f>
        <v>KYA</v>
      </c>
      <c r="BT48" s="288" t="str">
        <f>VLOOKUP(B48,Sheet2!A65:G182,7,FALSE)</f>
        <v>Fakultas Teknik Elektro</v>
      </c>
      <c r="BU48" s="288" t="str">
        <f>VLOOKUP(B48,Sheet2!A65:H182,8,FALSE)</f>
        <v>kyafara@telkomuniversity.ac.id</v>
      </c>
      <c r="BV48" s="280">
        <f>COUNTIFS('Join TPA Dosen'!B:B,Dosen!B65)</f>
        <v>1</v>
      </c>
      <c r="BW48" s="273" t="str">
        <f>DATEDIF(AM48,DATE(2026,1,1),"y")&amp;" tahun "&amp;DATEDIF(AM48,DATE(2026,1,1),"ym")&amp;" bulan "</f>
        <v xml:space="preserve">3 tahun 9 bulan </v>
      </c>
      <c r="BX48" s="280" t="str">
        <f>VLOOKUP($B48,Sheet1!$A:$G,2,FALSE)</f>
        <v>Tel-U</v>
      </c>
      <c r="BY48" s="280" t="str">
        <f>VLOOKUP($B48,Sheet1!$A:$G,3,FALSE)</f>
        <v>Teknik Telekomunikasi</v>
      </c>
      <c r="BZ48" s="280" t="str">
        <f>VLOOKUP($B48,Sheet1!$A:$G,4,FALSE)</f>
        <v>Tel-U</v>
      </c>
      <c r="CA48" s="280" t="str">
        <f>VLOOKUP($B48,Sheet1!$A:$G,5,FALSE)</f>
        <v>Teknik Elektro</v>
      </c>
      <c r="CB48" s="280" t="str">
        <f>VLOOKUP($B48,Sheet1!$A:$G,6,FALSE)</f>
        <v>-</v>
      </c>
      <c r="CC48" s="280">
        <f>VLOOKUP($B48,Sheet1!$A:$G,7,FALSE)</f>
        <v>0</v>
      </c>
      <c r="CD48" s="280" t="s">
        <v>882</v>
      </c>
      <c r="CE48" s="280" t="s">
        <v>872</v>
      </c>
    </row>
    <row r="49" spans="1:84" ht="19.5">
      <c r="A49" s="281">
        <v>65</v>
      </c>
      <c r="B49" s="281" t="s">
        <v>215</v>
      </c>
      <c r="C49" s="281" t="s">
        <v>20</v>
      </c>
      <c r="D49" s="281" t="s">
        <v>201</v>
      </c>
      <c r="E49" s="281">
        <v>22960008</v>
      </c>
      <c r="F49" s="281" t="s">
        <v>1081</v>
      </c>
      <c r="G49" s="282" t="s">
        <v>216</v>
      </c>
      <c r="H49" s="291" t="s">
        <v>884</v>
      </c>
      <c r="I49" s="281" t="s">
        <v>30</v>
      </c>
      <c r="J49" s="281" t="s">
        <v>217</v>
      </c>
      <c r="K49" s="281" t="s">
        <v>846</v>
      </c>
      <c r="L49" s="281" t="s">
        <v>847</v>
      </c>
      <c r="M49" s="283" t="str">
        <f>IF(L49="NJAD","AA",IF(L49="AA","L",IF(L49="L","LK","GB")))</f>
        <v>L</v>
      </c>
      <c r="N49" s="282" t="s">
        <v>511</v>
      </c>
      <c r="O49" s="281">
        <v>150</v>
      </c>
      <c r="P49" s="281" t="s">
        <v>1082</v>
      </c>
      <c r="Q49" s="284">
        <v>45444</v>
      </c>
      <c r="R49" s="281" t="str">
        <f ca="1">DATEDIF(Q49,TODAY(), "Y") &amp; " Tahun " &amp; DATEDIF(Q49, TODAY(), "YM") &amp; " Bulan"</f>
        <v>1 Tahun 7 Bulan</v>
      </c>
      <c r="S49" s="281" t="s">
        <v>849</v>
      </c>
      <c r="T49" s="284">
        <v>45717</v>
      </c>
      <c r="U49" s="281" t="str">
        <f ca="1">DATEDIF(T49,TODAY(), "Y") &amp; " Tahun " &amp; DATEDIF(T49, TODAY(), "YM") &amp; " Bulan"</f>
        <v>0 Tahun 10 Bulan</v>
      </c>
      <c r="V49" s="281" t="s">
        <v>1034</v>
      </c>
      <c r="W49" s="281" t="s">
        <v>851</v>
      </c>
      <c r="X49" s="283" t="str">
        <f ca="1">IF(AND(OR(L49="AA",L49="L"),OR(S49="Penata Muda Tk. I Golongan III/b",S49="Penata Golongan III/c"),DATEDIF(Q49,TODAY(),"m")&gt;=23,ISBLANK(Z49),C49="Aktif"),"Nominasi Serdos","-")</f>
        <v>-</v>
      </c>
      <c r="Y49" s="281"/>
      <c r="Z49" s="282"/>
      <c r="AA49" s="281"/>
      <c r="AB49" s="281" t="s">
        <v>30</v>
      </c>
      <c r="AC49" s="282" t="s">
        <v>511</v>
      </c>
      <c r="AD49" s="281" t="s">
        <v>30</v>
      </c>
      <c r="AE49" s="281" t="s">
        <v>30</v>
      </c>
      <c r="AF49" s="281" t="s">
        <v>30</v>
      </c>
      <c r="AG49" s="281" t="s">
        <v>30</v>
      </c>
      <c r="AH49" s="281" t="s">
        <v>854</v>
      </c>
      <c r="AI49" s="281" t="s">
        <v>30</v>
      </c>
      <c r="AJ49" s="281" t="s">
        <v>30</v>
      </c>
      <c r="AK49" s="281" t="s">
        <v>30</v>
      </c>
      <c r="AM49" s="286">
        <v>44627</v>
      </c>
      <c r="AN49" s="287" t="str">
        <f ca="1">DATEDIF(AM49,TODAY(),"y")&amp;" tahun "&amp;DATEDIF(AM49,TODAY(),"ym")&amp;" bulan "</f>
        <v xml:space="preserve">3 tahun 10 bulan </v>
      </c>
      <c r="AO49" s="281" t="s">
        <v>858</v>
      </c>
      <c r="AP49" s="281" t="s">
        <v>1035</v>
      </c>
      <c r="AQ49" s="281" t="s">
        <v>1083</v>
      </c>
      <c r="AR49" s="281" t="s">
        <v>218</v>
      </c>
      <c r="AS49" s="281">
        <v>81232988938</v>
      </c>
      <c r="AT49" s="281" t="s">
        <v>219</v>
      </c>
      <c r="AU49" s="281" t="s">
        <v>30</v>
      </c>
      <c r="AV49" s="281"/>
      <c r="AW49" s="281" t="str">
        <f>VLOOKUP(B49,Sheet2!A66:I183,9,FALSE)</f>
        <v>Regita Putri Permata, S.Stat., M.Stat.</v>
      </c>
      <c r="AX49" s="281" t="s">
        <v>902</v>
      </c>
      <c r="AY49" s="281" t="str">
        <f>VLOOKUP(B49,Sheet2!A66:C183,2,FALSE)</f>
        <v>Tuban</v>
      </c>
      <c r="AZ49" s="288">
        <f>VLOOKUP(B49,Sheet2!A66:C183,3,FALSE)</f>
        <v>35338</v>
      </c>
      <c r="BA49" s="281">
        <f ca="1">DATEDIF(AZ49, TODAY(),"y")</f>
        <v>29</v>
      </c>
      <c r="BB49" s="281"/>
      <c r="BC49" s="281"/>
      <c r="BD49" s="281"/>
      <c r="BE49" s="281"/>
      <c r="BF49" s="289"/>
      <c r="BG49" s="289"/>
      <c r="BH49" s="289"/>
      <c r="BI49" s="304"/>
      <c r="BJ49" s="304"/>
      <c r="BK49" s="304"/>
      <c r="BL49" s="288" t="str">
        <f>VLOOKUP(B49,Sheet2!A66:D183,4,FALSE)</f>
        <v>Dosen</v>
      </c>
      <c r="BM49" s="281"/>
      <c r="BN49" s="281"/>
      <c r="BO49" s="281"/>
      <c r="BP49" s="281"/>
      <c r="BQ49" s="281"/>
      <c r="BR49" s="288" t="str">
        <f>VLOOKUP(B49,Sheet2!A66:E183,5,FALSE)</f>
        <v>Data Science and Intelligent Systems (DSIS)</v>
      </c>
      <c r="BS49" s="288" t="str">
        <f>VLOOKUP(B49,Sheet2!A66:F183,6,FALSE)</f>
        <v>GIT</v>
      </c>
      <c r="BT49" s="288" t="str">
        <f>VLOOKUP(B49,Sheet2!A66:G183,7,FALSE)</f>
        <v>Fakultas Informatika</v>
      </c>
      <c r="BU49" s="288" t="str">
        <f>VLOOKUP(B49,Sheet2!A66:H183,8,FALSE)</f>
        <v>regitapermata@telkomuniversity.ac.id</v>
      </c>
      <c r="BV49" s="280">
        <f>COUNTIFS('Join TPA Dosen'!B:B,Dosen!B66)</f>
        <v>1</v>
      </c>
      <c r="BW49" s="273" t="str">
        <f>DATEDIF(AM49,DATE(2026,1,1),"y")&amp;" tahun "&amp;DATEDIF(AM49,DATE(2026,1,1),"ym")&amp;" bulan "</f>
        <v xml:space="preserve">3 tahun 9 bulan </v>
      </c>
      <c r="BX49" s="280" t="str">
        <f>VLOOKUP($B49,Sheet1!$A:$G,2,FALSE)</f>
        <v>ITS</v>
      </c>
      <c r="BY49" s="280" t="str">
        <f>VLOOKUP($B49,Sheet1!$A:$G,3,FALSE)</f>
        <v>Matematika, Komputasi, dan Sains Data/Statistika</v>
      </c>
      <c r="BZ49" s="280" t="str">
        <f>VLOOKUP($B49,Sheet1!$A:$G,4,FALSE)</f>
        <v>ITS</v>
      </c>
      <c r="CA49" s="280" t="str">
        <f>VLOOKUP($B49,Sheet1!$A:$G,5,FALSE)</f>
        <v>Sains dan Analitika Data/Statistika</v>
      </c>
      <c r="CB49" s="280" t="str">
        <f>VLOOKUP($B49,Sheet1!$A:$G,6,FALSE)</f>
        <v>-</v>
      </c>
      <c r="CC49" s="280">
        <f>VLOOKUP($B49,Sheet1!$A:$G,7,FALSE)</f>
        <v>0</v>
      </c>
      <c r="CD49" s="280" t="s">
        <v>862</v>
      </c>
      <c r="CE49" s="280" t="s">
        <v>903</v>
      </c>
    </row>
    <row r="50" spans="1:84" ht="19.5">
      <c r="A50" s="281">
        <v>66</v>
      </c>
      <c r="B50" s="281" t="s">
        <v>220</v>
      </c>
      <c r="C50" s="281" t="s">
        <v>20</v>
      </c>
      <c r="D50" s="281" t="s">
        <v>201</v>
      </c>
      <c r="E50" s="281">
        <v>22900008</v>
      </c>
      <c r="F50" s="281" t="s">
        <v>1084</v>
      </c>
      <c r="G50" s="282" t="s">
        <v>221</v>
      </c>
      <c r="H50" s="291" t="s">
        <v>884</v>
      </c>
      <c r="I50" s="281" t="s">
        <v>30</v>
      </c>
      <c r="J50" s="281" t="s">
        <v>203</v>
      </c>
      <c r="K50" s="281" t="s">
        <v>846</v>
      </c>
      <c r="L50" s="281" t="s">
        <v>847</v>
      </c>
      <c r="M50" s="283" t="str">
        <f>IF(L50="NJAD","AA",IF(L50="AA","L",IF(L50="L","LK","GB")))</f>
        <v>L</v>
      </c>
      <c r="N50" s="282" t="s">
        <v>511</v>
      </c>
      <c r="O50" s="281">
        <v>150</v>
      </c>
      <c r="P50" s="281" t="s">
        <v>1085</v>
      </c>
      <c r="Q50" s="284">
        <v>45444</v>
      </c>
      <c r="R50" s="281" t="str">
        <f ca="1">DATEDIF(Q50,TODAY(), "Y") &amp; " Tahun " &amp; DATEDIF(Q50, TODAY(), "YM") &amp; " Bulan"</f>
        <v>1 Tahun 7 Bulan</v>
      </c>
      <c r="S50" s="281" t="s">
        <v>849</v>
      </c>
      <c r="T50" s="284">
        <v>45717</v>
      </c>
      <c r="U50" s="281" t="str">
        <f ca="1">DATEDIF(T50,TODAY(), "Y") &amp; " Tahun " &amp; DATEDIF(T50, TODAY(), "YM") &amp; " Bulan"</f>
        <v>0 Tahun 10 Bulan</v>
      </c>
      <c r="V50" s="281" t="s">
        <v>1034</v>
      </c>
      <c r="W50" s="281" t="s">
        <v>851</v>
      </c>
      <c r="X50" s="283" t="str">
        <f ca="1">IF(AND(OR(L50="AA",L50="L"),OR(S50="Penata Muda Tk. I Golongan III/b",S50="Penata Golongan III/c"),DATEDIF(Q50,TODAY(),"m")&gt;=23,ISBLANK(Z50),C50="Aktif"),"Nominasi Serdos","-")</f>
        <v>-</v>
      </c>
      <c r="Y50" s="281"/>
      <c r="Z50" s="282"/>
      <c r="AA50" s="281"/>
      <c r="AB50" s="281" t="s">
        <v>30</v>
      </c>
      <c r="AC50" s="282" t="s">
        <v>511</v>
      </c>
      <c r="AD50" s="281" t="s">
        <v>30</v>
      </c>
      <c r="AE50" s="281" t="s">
        <v>30</v>
      </c>
      <c r="AF50" s="281" t="s">
        <v>30</v>
      </c>
      <c r="AG50" s="281" t="s">
        <v>30</v>
      </c>
      <c r="AH50" s="281" t="s">
        <v>854</v>
      </c>
      <c r="AI50" s="281" t="s">
        <v>30</v>
      </c>
      <c r="AJ50" s="281" t="s">
        <v>30</v>
      </c>
      <c r="AK50" s="281" t="s">
        <v>30</v>
      </c>
      <c r="AM50" s="286">
        <v>44627</v>
      </c>
      <c r="AN50" s="287" t="str">
        <f ca="1">DATEDIF(AM50,TODAY(),"y")&amp;" tahun "&amp;DATEDIF(AM50,TODAY(),"ym")&amp;" bulan "</f>
        <v xml:space="preserve">3 tahun 10 bulan </v>
      </c>
      <c r="AO50" s="281" t="s">
        <v>858</v>
      </c>
      <c r="AP50" s="281" t="s">
        <v>1035</v>
      </c>
      <c r="AQ50" s="281" t="s">
        <v>1086</v>
      </c>
      <c r="AR50" s="281" t="s">
        <v>222</v>
      </c>
      <c r="AS50" s="281">
        <v>82143858460</v>
      </c>
      <c r="AT50" s="281" t="s">
        <v>223</v>
      </c>
      <c r="AU50" s="281" t="s">
        <v>30</v>
      </c>
      <c r="AV50" s="281"/>
      <c r="AW50" s="281" t="str">
        <f>VLOOKUP(B50,Sheet2!A67:I184,9,FALSE)</f>
        <v>Rifdatun Ni'mah, S.Si., M.Si.</v>
      </c>
      <c r="AX50" s="281" t="s">
        <v>902</v>
      </c>
      <c r="AY50" s="281" t="str">
        <f>VLOOKUP(B50,Sheet2!A67:C184,2,FALSE)</f>
        <v>Gresik</v>
      </c>
      <c r="AZ50" s="288">
        <f>VLOOKUP(B50,Sheet2!A67:C184,3,FALSE)</f>
        <v>33038</v>
      </c>
      <c r="BA50" s="281">
        <f ca="1">DATEDIF(AZ50, TODAY(),"y")</f>
        <v>35</v>
      </c>
      <c r="BB50" s="281"/>
      <c r="BC50" s="281"/>
      <c r="BD50" s="281"/>
      <c r="BE50" s="281"/>
      <c r="BF50" s="289"/>
      <c r="BG50" s="289"/>
      <c r="BH50" s="289"/>
      <c r="BI50" s="289"/>
      <c r="BJ50" s="289"/>
      <c r="BK50" s="289"/>
      <c r="BL50" s="288" t="str">
        <f>VLOOKUP(B50,Sheet2!A67:D184,4,FALSE)</f>
        <v>Dosen</v>
      </c>
      <c r="BM50" s="281"/>
      <c r="BN50" s="281"/>
      <c r="BO50" s="281"/>
      <c r="BP50" s="281"/>
      <c r="BQ50" s="281"/>
      <c r="BR50" s="288" t="str">
        <f>VLOOKUP(B50,Sheet2!A67:E184,5,FALSE)</f>
        <v>Data Science and Intelligent Systems (DSIS)</v>
      </c>
      <c r="BS50" s="288" t="str">
        <f>VLOOKUP(B50,Sheet2!A67:F184,6,FALSE)</f>
        <v>NIC</v>
      </c>
      <c r="BT50" s="288" t="str">
        <f>VLOOKUP(B50,Sheet2!A67:G184,7,FALSE)</f>
        <v>Fakultas Informatika</v>
      </c>
      <c r="BU50" s="288" t="str">
        <f>VLOOKUP(B50,Sheet2!A67:H184,8,FALSE)</f>
        <v>rifdatun@telkomuniversity.ac.id</v>
      </c>
      <c r="BV50" s="280">
        <f>COUNTIFS('Join TPA Dosen'!B:B,Dosen!B67)</f>
        <v>1</v>
      </c>
      <c r="BW50" s="273" t="str">
        <f>DATEDIF(AM50,DATE(2026,1,1),"y")&amp;" tahun "&amp;DATEDIF(AM50,DATE(2026,1,1),"ym")&amp;" bulan "</f>
        <v xml:space="preserve">3 tahun 9 bulan </v>
      </c>
      <c r="BX50" s="280" t="str">
        <f>VLOOKUP($B50,Sheet1!$A:$G,2,FALSE)</f>
        <v>ITS</v>
      </c>
      <c r="BY50" s="280" t="str">
        <f>VLOOKUP($B50,Sheet1!$A:$G,3,FALSE)</f>
        <v>Matematika dan Ilmu Pengetahuan Alam/Statistika</v>
      </c>
      <c r="BZ50" s="280" t="str">
        <f>VLOOKUP($B50,Sheet1!$A:$G,4,FALSE)</f>
        <v>ITS</v>
      </c>
      <c r="CA50" s="280" t="str">
        <f>VLOOKUP($B50,Sheet1!$A:$G,5,FALSE)</f>
        <v>Matematika dan Ilmu Pengetahuan Alam/Statistika</v>
      </c>
      <c r="CB50" s="280" t="str">
        <f>VLOOKUP($B50,Sheet1!$A:$G,6,FALSE)</f>
        <v>-</v>
      </c>
      <c r="CC50" s="280">
        <f>VLOOKUP($B50,Sheet1!$A:$G,7,FALSE)</f>
        <v>0</v>
      </c>
      <c r="CD50" s="280" t="s">
        <v>882</v>
      </c>
      <c r="CE50" s="280" t="s">
        <v>903</v>
      </c>
    </row>
    <row r="51" spans="1:84" ht="19.5">
      <c r="A51" s="281">
        <v>68</v>
      </c>
      <c r="B51" s="281" t="s">
        <v>552</v>
      </c>
      <c r="C51" s="281" t="s">
        <v>20</v>
      </c>
      <c r="D51" s="281" t="s">
        <v>524</v>
      </c>
      <c r="E51" s="281">
        <v>22970007</v>
      </c>
      <c r="F51" s="281" t="s">
        <v>1087</v>
      </c>
      <c r="G51" s="282" t="s">
        <v>553</v>
      </c>
      <c r="H51" s="291" t="s">
        <v>884</v>
      </c>
      <c r="I51" s="281" t="s">
        <v>30</v>
      </c>
      <c r="J51" s="281" t="s">
        <v>554</v>
      </c>
      <c r="K51" s="281" t="s">
        <v>846</v>
      </c>
      <c r="L51" s="281" t="s">
        <v>847</v>
      </c>
      <c r="M51" s="283" t="str">
        <f>IF(L51="NJAD","AA",IF(L51="AA","L",IF(L51="L","LK","GB")))</f>
        <v>L</v>
      </c>
      <c r="N51" s="281" t="s">
        <v>511</v>
      </c>
      <c r="O51" s="281">
        <v>150</v>
      </c>
      <c r="P51" s="281" t="s">
        <v>30</v>
      </c>
      <c r="Q51" s="284">
        <v>45444</v>
      </c>
      <c r="R51" s="281" t="str">
        <f ca="1">DATEDIF(Q51,TODAY(), "Y") &amp; " Tahun " &amp; DATEDIF(Q51, TODAY(), "YM") &amp; " Bulan"</f>
        <v>1 Tahun 7 Bulan</v>
      </c>
      <c r="S51" s="281" t="s">
        <v>849</v>
      </c>
      <c r="T51" s="284">
        <v>45717</v>
      </c>
      <c r="U51" s="281" t="str">
        <f ca="1">DATEDIF(T51,TODAY(), "Y") &amp; " Tahun " &amp; DATEDIF(T51, TODAY(), "YM") &amp; " Bulan"</f>
        <v>0 Tahun 10 Bulan</v>
      </c>
      <c r="V51" s="281" t="s">
        <v>1088</v>
      </c>
      <c r="W51" s="281" t="s">
        <v>851</v>
      </c>
      <c r="X51" s="283" t="str">
        <f ca="1">IF(AND(OR(L51="AA",L51="L"),OR(S51="Penata Muda Tk. I Golongan III/b",S51="Penata Golongan III/c"),DATEDIF(Q51,TODAY(),"m")&gt;=23,ISBLANK(Z51),C51="Aktif"),"Nominasi Serdos","-")</f>
        <v>-</v>
      </c>
      <c r="Y51" s="281"/>
      <c r="Z51" s="282"/>
      <c r="AA51" s="281"/>
      <c r="AB51" s="281" t="s">
        <v>30</v>
      </c>
      <c r="AC51" s="282" t="s">
        <v>511</v>
      </c>
      <c r="AD51" s="281" t="s">
        <v>30</v>
      </c>
      <c r="AE51" s="281" t="s">
        <v>30</v>
      </c>
      <c r="AF51" s="281" t="s">
        <v>30</v>
      </c>
      <c r="AG51" s="281" t="s">
        <v>30</v>
      </c>
      <c r="AH51" s="281" t="s">
        <v>854</v>
      </c>
      <c r="AI51" s="281" t="s">
        <v>30</v>
      </c>
      <c r="AJ51" s="281" t="s">
        <v>30</v>
      </c>
      <c r="AK51" s="281" t="s">
        <v>30</v>
      </c>
      <c r="AM51" s="286">
        <v>44627</v>
      </c>
      <c r="AN51" s="287" t="str">
        <f ca="1">DATEDIF(AM51,TODAY(),"y")&amp;" tahun "&amp;DATEDIF(AM51,TODAY(),"ym")&amp;" bulan "</f>
        <v xml:space="preserve">3 tahun 10 bulan </v>
      </c>
      <c r="AO51" s="281" t="s">
        <v>858</v>
      </c>
      <c r="AP51" s="281" t="s">
        <v>900</v>
      </c>
      <c r="AQ51" s="281" t="s">
        <v>1089</v>
      </c>
      <c r="AR51" s="281" t="s">
        <v>555</v>
      </c>
      <c r="AS51" s="281">
        <v>81230089797</v>
      </c>
      <c r="AT51" s="281" t="s">
        <v>556</v>
      </c>
      <c r="AU51" s="281" t="s">
        <v>30</v>
      </c>
      <c r="AV51" s="281"/>
      <c r="AW51" s="281" t="str">
        <f>VLOOKUP(B51,Sheet2!A69:I186,9,FALSE)</f>
        <v>Muhammad Adib Kamali, S.T., M.Eng.</v>
      </c>
      <c r="AX51" s="281" t="s">
        <v>861</v>
      </c>
      <c r="AY51" s="281" t="str">
        <f>VLOOKUP(B51,Sheet2!A69:C186,2,FALSE)</f>
        <v>Jember</v>
      </c>
      <c r="AZ51" s="288">
        <f>VLOOKUP(B51,Sheet2!A69:C186,3,FALSE)</f>
        <v>35474</v>
      </c>
      <c r="BA51" s="281">
        <f ca="1">DATEDIF(AZ51, TODAY(),"y")</f>
        <v>28</v>
      </c>
      <c r="BB51" s="281"/>
      <c r="BC51" s="281"/>
      <c r="BD51" s="281"/>
      <c r="BE51" s="281"/>
      <c r="BF51" s="289"/>
      <c r="BG51" s="289"/>
      <c r="BH51" s="289"/>
      <c r="BI51" s="289"/>
      <c r="BJ51" s="289"/>
      <c r="BK51" s="289"/>
      <c r="BL51" s="288" t="s">
        <v>1000</v>
      </c>
      <c r="BM51" s="281"/>
      <c r="BN51" s="286"/>
      <c r="BO51" s="281"/>
      <c r="BP51" s="281"/>
      <c r="BQ51" s="281"/>
      <c r="BR51" s="288" t="str">
        <f>VLOOKUP(B51,Sheet2!A69:E186,5,FALSE)</f>
        <v>Data Science and Intelligent Systems (DSIS)</v>
      </c>
      <c r="BS51" s="288" t="str">
        <f>VLOOKUP(B51,Sheet2!A69:F186,6,FALSE)</f>
        <v>MDB</v>
      </c>
      <c r="BT51" s="288" t="str">
        <f>VLOOKUP(B51,Sheet2!A69:G186,7,FALSE)</f>
        <v>Fakultas Informatika</v>
      </c>
      <c r="BU51" s="288" t="str">
        <f>VLOOKUP(B51,Sheet2!A69:H186,8,FALSE)</f>
        <v>adibmkamali@telkomuniversity.ac.id</v>
      </c>
      <c r="BV51" s="280">
        <f>COUNTIFS('Join TPA Dosen'!B:B,Dosen!B69)</f>
        <v>1</v>
      </c>
      <c r="BW51" s="273" t="str">
        <f>DATEDIF(AM51,DATE(2026,1,1),"y")&amp;" tahun "&amp;DATEDIF(AM51,DATE(2026,1,1),"ym")&amp;" bulan "</f>
        <v xml:space="preserve">3 tahun 9 bulan </v>
      </c>
      <c r="BX51" s="280" t="str">
        <f>VLOOKUP($B51,Sheet1!$A:$G,2,FALSE)</f>
        <v>Tel-U</v>
      </c>
      <c r="BY51" s="280" t="str">
        <f>VLOOKUP($B51,Sheet1!$A:$G,3,FALSE)</f>
        <v>Teknik Telekomunikasi</v>
      </c>
      <c r="BZ51" s="280" t="str">
        <f>VLOOKUP($B51,Sheet1!$A:$G,4,FALSE)</f>
        <v>Kumoh National Institute of Tech</v>
      </c>
      <c r="CA51" s="280" t="str">
        <f>VLOOKUP($B51,Sheet1!$A:$G,5,FALSE)</f>
        <v>Electronic Engineering</v>
      </c>
      <c r="CB51" s="280" t="str">
        <f>VLOOKUP($B51,Sheet1!$A:$G,6,FALSE)</f>
        <v>-</v>
      </c>
      <c r="CC51" s="280">
        <f>VLOOKUP($B51,Sheet1!$A:$G,7,FALSE)</f>
        <v>0</v>
      </c>
      <c r="CD51" s="280" t="s">
        <v>862</v>
      </c>
      <c r="CE51" s="280" t="s">
        <v>903</v>
      </c>
    </row>
    <row r="52" spans="1:84" ht="19.5">
      <c r="A52" s="281">
        <v>69</v>
      </c>
      <c r="B52" s="281" t="s">
        <v>277</v>
      </c>
      <c r="C52" s="281" t="s">
        <v>20</v>
      </c>
      <c r="D52" s="281" t="s">
        <v>235</v>
      </c>
      <c r="E52" s="281">
        <v>22940003</v>
      </c>
      <c r="F52" s="281" t="s">
        <v>1090</v>
      </c>
      <c r="G52" s="282" t="s">
        <v>278</v>
      </c>
      <c r="H52" s="291" t="s">
        <v>884</v>
      </c>
      <c r="I52" s="281" t="s">
        <v>30</v>
      </c>
      <c r="J52" s="281" t="s">
        <v>279</v>
      </c>
      <c r="K52" s="281" t="s">
        <v>846</v>
      </c>
      <c r="L52" s="281" t="s">
        <v>847</v>
      </c>
      <c r="M52" s="283" t="str">
        <f>IF(L52="NJAD","AA",IF(L52="AA","L",IF(L52="L","LK","GB")))</f>
        <v>L</v>
      </c>
      <c r="N52" s="282" t="s">
        <v>511</v>
      </c>
      <c r="O52" s="281">
        <v>150</v>
      </c>
      <c r="P52" s="281" t="s">
        <v>1091</v>
      </c>
      <c r="Q52" s="284">
        <v>45444</v>
      </c>
      <c r="R52" s="281" t="str">
        <f ca="1">DATEDIF(Q52,TODAY(), "Y") &amp; " Tahun " &amp; DATEDIF(Q52, TODAY(), "YM") &amp; " Bulan"</f>
        <v>1 Tahun 7 Bulan</v>
      </c>
      <c r="S52" s="281" t="s">
        <v>849</v>
      </c>
      <c r="T52" s="284">
        <v>45717</v>
      </c>
      <c r="U52" s="281" t="str">
        <f ca="1">DATEDIF(T52,TODAY(), "Y") &amp; " Tahun " &amp; DATEDIF(T52, TODAY(), "YM") &amp; " Bulan"</f>
        <v>0 Tahun 10 Bulan</v>
      </c>
      <c r="V52" s="281" t="s">
        <v>933</v>
      </c>
      <c r="W52" s="281" t="s">
        <v>851</v>
      </c>
      <c r="X52" s="283" t="str">
        <f ca="1">IF(AND(OR(L52="AA",L52="L"),OR(S52="Penata Muda Tk. I Golongan III/b",S52="Penata Golongan III/c"),DATEDIF(Q52,TODAY(),"m")&gt;=23,ISBLANK(Z52),C52="Aktif"),"Nominasi Serdos","-")</f>
        <v>-</v>
      </c>
      <c r="Y52" s="281"/>
      <c r="Z52" s="282"/>
      <c r="AA52" s="281"/>
      <c r="AB52" s="281" t="s">
        <v>30</v>
      </c>
      <c r="AC52" s="282" t="s">
        <v>511</v>
      </c>
      <c r="AD52" s="281" t="s">
        <v>30</v>
      </c>
      <c r="AE52" s="281" t="s">
        <v>30</v>
      </c>
      <c r="AF52" s="281" t="s">
        <v>30</v>
      </c>
      <c r="AG52" s="281" t="s">
        <v>30</v>
      </c>
      <c r="AH52" s="281" t="s">
        <v>854</v>
      </c>
      <c r="AI52" s="281" t="s">
        <v>30</v>
      </c>
      <c r="AJ52" s="281" t="s">
        <v>30</v>
      </c>
      <c r="AK52" s="281" t="s">
        <v>30</v>
      </c>
      <c r="AM52" s="286">
        <v>44627</v>
      </c>
      <c r="AN52" s="287" t="str">
        <f ca="1">DATEDIF(AM52,TODAY(),"y")&amp;" tahun "&amp;DATEDIF(AM52,TODAY(),"ym")&amp;" bulan "</f>
        <v xml:space="preserve">3 tahun 10 bulan </v>
      </c>
      <c r="AO52" s="281" t="s">
        <v>858</v>
      </c>
      <c r="AP52" s="281" t="s">
        <v>934</v>
      </c>
      <c r="AQ52" s="281" t="s">
        <v>1092</v>
      </c>
      <c r="AR52" s="281" t="s">
        <v>280</v>
      </c>
      <c r="AS52" s="281">
        <v>81357644374</v>
      </c>
      <c r="AT52" s="281" t="s">
        <v>281</v>
      </c>
      <c r="AU52" s="281" t="s">
        <v>30</v>
      </c>
      <c r="AV52" s="281"/>
      <c r="AW52" s="281" t="str">
        <f>VLOOKUP(B52,Sheet2!A70:I187,9,FALSE)</f>
        <v>Raulia Riski, S.Kom., M.Kom., M.M.S.</v>
      </c>
      <c r="AX52" s="281" t="s">
        <v>902</v>
      </c>
      <c r="AY52" s="281" t="str">
        <f>VLOOKUP(B52,Sheet2!A70:C187,2,FALSE)</f>
        <v>Manggarai</v>
      </c>
      <c r="AZ52" s="288">
        <f>VLOOKUP(B52,Sheet2!A70:C187,3,FALSE)</f>
        <v>34626</v>
      </c>
      <c r="BA52" s="281">
        <f ca="1">DATEDIF(AZ52, TODAY(),"y")</f>
        <v>31</v>
      </c>
      <c r="BB52" s="281"/>
      <c r="BC52" s="281"/>
      <c r="BD52" s="281"/>
      <c r="BE52" s="281"/>
      <c r="BF52" s="289"/>
      <c r="BG52" s="289"/>
      <c r="BH52" s="289"/>
      <c r="BI52" s="289"/>
      <c r="BJ52" s="289"/>
      <c r="BK52" s="289"/>
      <c r="BL52" s="288" t="str">
        <f>VLOOKUP(B52,Sheet2!A70:D187,4,FALSE)</f>
        <v>Dosen</v>
      </c>
      <c r="BM52" s="281"/>
      <c r="BN52" s="281"/>
      <c r="BO52" s="281"/>
      <c r="BP52" s="281"/>
      <c r="BQ52" s="281"/>
      <c r="BR52" s="288" t="str">
        <f>VLOOKUP(B52,Sheet2!A70:E187,5,FALSE)</f>
        <v>Enterprise and Industrial System (EINS)</v>
      </c>
      <c r="BS52" s="288" t="str">
        <f>VLOOKUP(B52,Sheet2!A70:F187,6,FALSE)</f>
        <v>IKI</v>
      </c>
      <c r="BT52" s="288" t="str">
        <f>VLOOKUP(B52,Sheet2!A70:G187,7,FALSE)</f>
        <v>Fakultas Rekayasa Industri</v>
      </c>
      <c r="BU52" s="288" t="str">
        <f>VLOOKUP(B52,Sheet2!A70:H187,8,FALSE)</f>
        <v>riskiraulia@telkomuniversity.ac.id</v>
      </c>
      <c r="BV52" s="280">
        <f>COUNTIFS('Join TPA Dosen'!B:B,Dosen!B70)</f>
        <v>1</v>
      </c>
      <c r="BW52" s="273" t="str">
        <f>DATEDIF(AM52,DATE(2026,1,1),"y")&amp;" tahun "&amp;DATEDIF(AM52,DATE(2026,1,1),"ym")&amp;" bulan "</f>
        <v xml:space="preserve">3 tahun 9 bulan </v>
      </c>
      <c r="BX52" s="280" t="str">
        <f>VLOOKUP($B52,Sheet1!$A:$G,2,FALSE)</f>
        <v>Tel-U</v>
      </c>
      <c r="BY52" s="280" t="str">
        <f>VLOOKUP($B52,Sheet1!$A:$G,3,FALSE)</f>
        <v>Sistem Informasi</v>
      </c>
      <c r="BZ52" s="280" t="str">
        <f>VLOOKUP($B52,Sheet1!$A:$G,4,FALSE)</f>
        <v>ITS &amp; NCKU</v>
      </c>
      <c r="CA52" s="280" t="str">
        <f>VLOOKUP($B52,Sheet1!$A:$G,5,FALSE)</f>
        <v>Sistem Informasi &amp; Industrial and Information Management</v>
      </c>
      <c r="CB52" s="280" t="str">
        <f>VLOOKUP($B52,Sheet1!$A:$G,6,FALSE)</f>
        <v>-</v>
      </c>
      <c r="CC52" s="280">
        <f>VLOOKUP($B52,Sheet1!$A:$G,7,FALSE)</f>
        <v>0</v>
      </c>
      <c r="CD52" s="280" t="s">
        <v>862</v>
      </c>
      <c r="CE52" s="280" t="s">
        <v>863</v>
      </c>
    </row>
    <row r="53" spans="1:84" ht="19.5">
      <c r="A53" s="281">
        <v>70</v>
      </c>
      <c r="B53" s="281" t="s">
        <v>224</v>
      </c>
      <c r="C53" s="281" t="s">
        <v>20</v>
      </c>
      <c r="D53" s="281" t="s">
        <v>201</v>
      </c>
      <c r="E53" s="281">
        <v>22930003</v>
      </c>
      <c r="F53" s="281" t="s">
        <v>1093</v>
      </c>
      <c r="G53" s="282" t="s">
        <v>225</v>
      </c>
      <c r="H53" s="291" t="s">
        <v>884</v>
      </c>
      <c r="I53" s="281" t="s">
        <v>30</v>
      </c>
      <c r="J53" s="281" t="s">
        <v>304</v>
      </c>
      <c r="K53" s="281" t="s">
        <v>846</v>
      </c>
      <c r="L53" s="281" t="s">
        <v>847</v>
      </c>
      <c r="M53" s="283" t="str">
        <f>IF(L53="NJAD","AA",IF(L53="AA","L",IF(L53="L","LK","GB")))</f>
        <v>L</v>
      </c>
      <c r="N53" s="282" t="s">
        <v>511</v>
      </c>
      <c r="O53" s="281">
        <v>150</v>
      </c>
      <c r="P53" s="281" t="s">
        <v>1094</v>
      </c>
      <c r="Q53" s="284">
        <v>45444</v>
      </c>
      <c r="R53" s="281" t="str">
        <f ca="1">DATEDIF(Q53,TODAY(), "Y") &amp; " Tahun " &amp; DATEDIF(Q53, TODAY(), "YM") &amp; " Bulan"</f>
        <v>1 Tahun 7 Bulan</v>
      </c>
      <c r="S53" s="281" t="s">
        <v>849</v>
      </c>
      <c r="T53" s="285">
        <v>45717</v>
      </c>
      <c r="U53" s="281" t="str">
        <f ca="1">DATEDIF(T53,TODAY(), "Y") &amp; " Tahun " &amp; DATEDIF(T53, TODAY(), "YM") &amp; " Bulan"</f>
        <v>0 Tahun 10 Bulan</v>
      </c>
      <c r="V53" s="281" t="s">
        <v>933</v>
      </c>
      <c r="W53" s="281" t="s">
        <v>851</v>
      </c>
      <c r="X53" s="283" t="str">
        <f ca="1">IF(AND(OR(L53="AA",L53="L"),OR(S53="Penata Muda Tk. I Golongan III/b",S53="Penata Golongan III/c"),DATEDIF(Q53,TODAY(),"m")&gt;=23,ISBLANK(Z53),C53="Aktif"),"Nominasi Serdos","-")</f>
        <v>-</v>
      </c>
      <c r="Y53" s="281"/>
      <c r="Z53" s="282"/>
      <c r="AA53" s="281"/>
      <c r="AB53" s="281" t="s">
        <v>30</v>
      </c>
      <c r="AC53" s="282" t="s">
        <v>511</v>
      </c>
      <c r="AD53" s="281" t="s">
        <v>30</v>
      </c>
      <c r="AE53" s="281" t="s">
        <v>30</v>
      </c>
      <c r="AF53" s="281" t="s">
        <v>30</v>
      </c>
      <c r="AG53" s="281" t="s">
        <v>30</v>
      </c>
      <c r="AH53" s="281" t="s">
        <v>854</v>
      </c>
      <c r="AI53" s="281" t="s">
        <v>30</v>
      </c>
      <c r="AJ53" s="281" t="s">
        <v>30</v>
      </c>
      <c r="AK53" s="281" t="s">
        <v>30</v>
      </c>
      <c r="AM53" s="286">
        <v>44627</v>
      </c>
      <c r="AN53" s="287" t="str">
        <f ca="1">DATEDIF(AM53,TODAY(),"y")&amp;" tahun "&amp;DATEDIF(AM53,TODAY(),"ym")&amp;" bulan "</f>
        <v xml:space="preserve">3 tahun 10 bulan </v>
      </c>
      <c r="AO53" s="281" t="s">
        <v>858</v>
      </c>
      <c r="AP53" s="281" t="s">
        <v>1035</v>
      </c>
      <c r="AQ53" s="281" t="s">
        <v>1095</v>
      </c>
      <c r="AR53" s="281" t="s">
        <v>227</v>
      </c>
      <c r="AS53" s="281">
        <v>81217497767</v>
      </c>
      <c r="AT53" s="281" t="s">
        <v>228</v>
      </c>
      <c r="AU53" s="281" t="s">
        <v>30</v>
      </c>
      <c r="AV53" s="281"/>
      <c r="AW53" s="281" t="str">
        <f>VLOOKUP(B53,Sheet2!A71:I188,9,FALSE)</f>
        <v>Sri Hidayati, S.Si., M.Stat.</v>
      </c>
      <c r="AX53" s="281" t="s">
        <v>902</v>
      </c>
      <c r="AY53" s="281" t="str">
        <f>VLOOKUP(B53,Sheet2!A71:C188,2,FALSE)</f>
        <v>Banyuwangi</v>
      </c>
      <c r="AZ53" s="288">
        <f>VLOOKUP(B53,Sheet2!A71:C188,3,FALSE)</f>
        <v>34296</v>
      </c>
      <c r="BA53" s="281">
        <f ca="1">DATEDIF(AZ53, TODAY(),"y")</f>
        <v>32</v>
      </c>
      <c r="BB53" s="281"/>
      <c r="BC53" s="281"/>
      <c r="BD53" s="281"/>
      <c r="BE53" s="281"/>
      <c r="BF53" s="289"/>
      <c r="BG53" s="289"/>
      <c r="BH53" s="289"/>
      <c r="BI53" s="304"/>
      <c r="BJ53" s="304"/>
      <c r="BK53" s="304"/>
      <c r="BL53" s="288" t="str">
        <f>VLOOKUP(B53,Sheet2!A71:D188,4,FALSE)</f>
        <v>Dosen</v>
      </c>
      <c r="BM53" s="281"/>
      <c r="BN53" s="286"/>
      <c r="BO53" s="281"/>
      <c r="BP53" s="281"/>
      <c r="BQ53" s="281"/>
      <c r="BR53" s="288" t="str">
        <f>VLOOKUP(B53,Sheet2!A71:E188,5,FALSE)</f>
        <v>Cybernetics</v>
      </c>
      <c r="BS53" s="288" t="str">
        <f>VLOOKUP(B53,Sheet2!A71:F188,6,FALSE)</f>
        <v>SRX</v>
      </c>
      <c r="BT53" s="288" t="s">
        <v>1096</v>
      </c>
      <c r="BU53" s="288" t="str">
        <f>VLOOKUP(B53,Sheet2!A71:H188,8,FALSE)</f>
        <v>srihidayatisi@telkomuniversity.ac.id</v>
      </c>
      <c r="BV53" s="280">
        <f>COUNTIFS('Join TPA Dosen'!B:B,Dosen!B71)</f>
        <v>1</v>
      </c>
      <c r="BW53" s="273" t="str">
        <f>DATEDIF(AM53,DATE(2026,1,1),"y")&amp;" tahun "&amp;DATEDIF(AM53,DATE(2026,1,1),"ym")&amp;" bulan "</f>
        <v xml:space="preserve">3 tahun 9 bulan </v>
      </c>
      <c r="BX53" s="280" t="str">
        <f>VLOOKUP($B53,Sheet1!$A:$G,2,FALSE)</f>
        <v>ITB</v>
      </c>
      <c r="BY53" s="280" t="str">
        <f>VLOOKUP($B53,Sheet1!$A:$G,3,FALSE)</f>
        <v>Matematika</v>
      </c>
      <c r="BZ53" s="280" t="str">
        <f>VLOOKUP($B53,Sheet1!$A:$G,4,FALSE)</f>
        <v>ITS</v>
      </c>
      <c r="CA53" s="280" t="str">
        <f>VLOOKUP($B53,Sheet1!$A:$G,5,FALSE)</f>
        <v>Statistika</v>
      </c>
      <c r="CB53" s="280" t="str">
        <f>VLOOKUP($B53,Sheet1!$A:$G,6,FALSE)</f>
        <v>-</v>
      </c>
      <c r="CC53" s="280">
        <f>VLOOKUP($B53,Sheet1!$A:$G,7,FALSE)</f>
        <v>0</v>
      </c>
      <c r="CD53" s="280" t="s">
        <v>882</v>
      </c>
      <c r="CE53" s="280" t="s">
        <v>903</v>
      </c>
    </row>
    <row r="54" spans="1:84" ht="19.5">
      <c r="A54" s="281">
        <v>72</v>
      </c>
      <c r="B54" s="281" t="s">
        <v>50</v>
      </c>
      <c r="C54" s="281" t="s">
        <v>20</v>
      </c>
      <c r="D54" s="281" t="s">
        <v>22</v>
      </c>
      <c r="E54" s="281">
        <v>15890076</v>
      </c>
      <c r="F54" s="281" t="s">
        <v>1097</v>
      </c>
      <c r="G54" s="282" t="s">
        <v>51</v>
      </c>
      <c r="H54" s="281" t="s">
        <v>845</v>
      </c>
      <c r="I54" s="281" t="s">
        <v>30</v>
      </c>
      <c r="J54" s="281" t="s">
        <v>52</v>
      </c>
      <c r="K54" s="281" t="s">
        <v>846</v>
      </c>
      <c r="L54" s="281" t="s">
        <v>847</v>
      </c>
      <c r="M54" s="283" t="str">
        <f>IF(L54="NJAD","AA",IF(L54="AA","L",IF(L54="L","LK","GB")))</f>
        <v>L</v>
      </c>
      <c r="N54" s="282" t="s">
        <v>511</v>
      </c>
      <c r="O54" s="281">
        <v>150</v>
      </c>
      <c r="P54" s="281" t="s">
        <v>1098</v>
      </c>
      <c r="Q54" s="284">
        <v>45444</v>
      </c>
      <c r="R54" s="281" t="str">
        <f ca="1">DATEDIF(Q54,TODAY(), "Y") &amp; " Tahun " &amp; DATEDIF(Q54, TODAY(), "YM") &amp; " Bulan"</f>
        <v>1 Tahun 7 Bulan</v>
      </c>
      <c r="S54" s="281" t="s">
        <v>849</v>
      </c>
      <c r="T54" s="285">
        <v>45717</v>
      </c>
      <c r="U54" s="281" t="str">
        <f ca="1">DATEDIF(T54,TODAY(), "Y") &amp; " Tahun " &amp; DATEDIF(T54, TODAY(), "YM") &amp; " Bulan"</f>
        <v>0 Tahun 10 Bulan</v>
      </c>
      <c r="V54" s="281" t="s">
        <v>1099</v>
      </c>
      <c r="W54" s="281" t="s">
        <v>851</v>
      </c>
      <c r="X54" s="283" t="str">
        <f ca="1">IF(AND(OR(L54="AA",L54="L"),OR(S54="Penata Muda Tk. I Golongan III/b",S54="Penata Golongan III/c"),DATEDIF(Q54,TODAY(),"m")&gt;=23,ISBLANK(Z54),C54="Aktif"),"Nominasi Serdos","-")</f>
        <v>-</v>
      </c>
      <c r="Y54" s="281"/>
      <c r="Z54" s="282"/>
      <c r="AA54" s="281"/>
      <c r="AB54" s="281" t="s">
        <v>30</v>
      </c>
      <c r="AC54" s="282" t="s">
        <v>511</v>
      </c>
      <c r="AD54" s="281" t="s">
        <v>30</v>
      </c>
      <c r="AE54" s="281" t="s">
        <v>30</v>
      </c>
      <c r="AF54" s="281" t="s">
        <v>30</v>
      </c>
      <c r="AG54" s="281" t="s">
        <v>30</v>
      </c>
      <c r="AH54" s="281" t="s">
        <v>854</v>
      </c>
      <c r="AI54" s="281" t="s">
        <v>30</v>
      </c>
      <c r="AJ54" s="281" t="s">
        <v>30</v>
      </c>
      <c r="AK54" s="281" t="s">
        <v>30</v>
      </c>
      <c r="AM54" s="286">
        <v>44652</v>
      </c>
      <c r="AN54" s="287" t="str">
        <f ca="1">DATEDIF(AM54,TODAY(),"y")&amp;" tahun "&amp;DATEDIF(AM54,TODAY(),"ym")&amp;" bulan "</f>
        <v xml:space="preserve">3 tahun 9 bulan </v>
      </c>
      <c r="AO54" s="281" t="s">
        <v>858</v>
      </c>
      <c r="AP54" s="281" t="s">
        <v>859</v>
      </c>
      <c r="AQ54" s="281" t="s">
        <v>1100</v>
      </c>
      <c r="AR54" s="281" t="s">
        <v>53</v>
      </c>
      <c r="AS54" s="281">
        <v>81214806006</v>
      </c>
      <c r="AT54" s="281" t="s">
        <v>54</v>
      </c>
      <c r="AU54" s="281" t="s">
        <v>30</v>
      </c>
      <c r="AV54" s="281"/>
      <c r="AW54" s="281" t="str">
        <f>VLOOKUP(B54,Sheet2!A73:I190,9,FALSE)</f>
        <v>Caesareano Lafado Yesa, S.M.B., M.M.</v>
      </c>
      <c r="AX54" s="281" t="s">
        <v>861</v>
      </c>
      <c r="AY54" s="281" t="str">
        <f>VLOOKUP(B54,Sheet2!A73:C190,2,FALSE)</f>
        <v>Jakarta</v>
      </c>
      <c r="AZ54" s="288">
        <f>VLOOKUP(B54,Sheet2!A73:C190,3,FALSE)</f>
        <v>32850</v>
      </c>
      <c r="BA54" s="281">
        <f ca="1">DATEDIF(AZ54, TODAY(),"y")</f>
        <v>36</v>
      </c>
      <c r="BB54" s="281"/>
      <c r="BC54" s="281"/>
      <c r="BD54" s="281"/>
      <c r="BE54" s="281"/>
      <c r="BF54" s="289"/>
      <c r="BG54" s="289"/>
      <c r="BH54" s="289"/>
      <c r="BI54" s="289"/>
      <c r="BJ54" s="289"/>
      <c r="BK54" s="289"/>
      <c r="BL54" s="288" t="str">
        <f>VLOOKUP(B54,Sheet2!A73:D190,4,FALSE)</f>
        <v>Kaprodi</v>
      </c>
      <c r="BM54" s="281"/>
      <c r="BN54" s="286"/>
      <c r="BO54" s="281"/>
      <c r="BP54" s="281"/>
      <c r="BQ54" s="281"/>
      <c r="BR54" s="288" t="str">
        <f>VLOOKUP(B54,Sheet2!A73:E190,5,FALSE)</f>
        <v>ICT Business Management (IBM)</v>
      </c>
      <c r="BS54" s="288" t="str">
        <f>VLOOKUP(B54,Sheet2!A73:F190,6,FALSE)</f>
        <v>CNO</v>
      </c>
      <c r="BT54" s="288" t="str">
        <f>VLOOKUP(B54,Sheet2!A73:G190,7,FALSE)</f>
        <v>Fakultas Ekonomi dan Bisnis</v>
      </c>
      <c r="BU54" s="288" t="str">
        <f>VLOOKUP(B54,Sheet2!A73:H190,8,FALSE)</f>
        <v>anofado@telkomuniversity.ac.id</v>
      </c>
      <c r="BV54" s="280">
        <f>COUNTIFS('Join TPA Dosen'!B:B,Dosen!B73)</f>
        <v>1</v>
      </c>
      <c r="BW54" s="273" t="str">
        <f>DATEDIF(AM54,DATE(2026,1,1),"y")&amp;" tahun "&amp;DATEDIF(AM54,DATE(2026,1,1),"ym")&amp;" bulan "</f>
        <v xml:space="preserve">3 tahun 9 bulan </v>
      </c>
      <c r="BX54" s="280" t="str">
        <f>VLOOKUP($B54,Sheet1!$A:$G,2,FALSE)</f>
        <v>Tel-U</v>
      </c>
      <c r="BY54" s="280" t="str">
        <f>VLOOKUP($B54,Sheet1!$A:$G,3,FALSE)</f>
        <v>Manajemen Bisnis Telekomunikasi dan Informatika</v>
      </c>
      <c r="BZ54" s="280" t="str">
        <f>VLOOKUP($B54,Sheet1!$A:$G,4,FALSE)</f>
        <v>Tel-U</v>
      </c>
      <c r="CA54" s="280" t="str">
        <f>VLOOKUP($B54,Sheet1!$A:$G,5,FALSE)</f>
        <v>Ekonomi dan Bisnis/Manajemen</v>
      </c>
      <c r="CB54" s="280" t="str">
        <f>VLOOKUP($B54,Sheet1!$A:$G,6,FALSE)</f>
        <v>-</v>
      </c>
      <c r="CC54" s="280">
        <f>VLOOKUP($B54,Sheet1!$A:$G,7,FALSE)</f>
        <v>0</v>
      </c>
      <c r="CD54" s="280" t="s">
        <v>862</v>
      </c>
      <c r="CE54" s="280" t="s">
        <v>863</v>
      </c>
    </row>
    <row r="55" spans="1:84" ht="18.95">
      <c r="A55" s="281">
        <v>21</v>
      </c>
      <c r="B55" s="281" t="s">
        <v>247</v>
      </c>
      <c r="C55" s="281" t="s">
        <v>20</v>
      </c>
      <c r="D55" s="281" t="s">
        <v>235</v>
      </c>
      <c r="E55" s="281">
        <v>19900003</v>
      </c>
      <c r="F55" s="281" t="s">
        <v>1101</v>
      </c>
      <c r="G55" s="282" t="s">
        <v>248</v>
      </c>
      <c r="H55" s="281" t="s">
        <v>845</v>
      </c>
      <c r="I55" s="281" t="s">
        <v>30</v>
      </c>
      <c r="J55" s="281" t="s">
        <v>57</v>
      </c>
      <c r="K55" s="281" t="s">
        <v>893</v>
      </c>
      <c r="L55" s="281" t="s">
        <v>775</v>
      </c>
      <c r="M55" s="283" t="str">
        <f>IF(L55="NJAD","AA",IF(L55="AA","L",IF(L55="L","LK","GB")))</f>
        <v>LK</v>
      </c>
      <c r="N55" s="282" t="s">
        <v>511</v>
      </c>
      <c r="O55" s="281">
        <v>200</v>
      </c>
      <c r="P55" s="281" t="s">
        <v>1102</v>
      </c>
      <c r="Q55" s="284">
        <v>45108</v>
      </c>
      <c r="R55" s="281" t="str">
        <f ca="1">DATEDIF(Q55,TODAY(), "Y") &amp; " Tahun " &amp; DATEDIF(Q55, TODAY(), "YM") &amp; " Bulan"</f>
        <v>2 Tahun 6 Bulan</v>
      </c>
      <c r="S55" s="281" t="s">
        <v>876</v>
      </c>
      <c r="T55" s="285">
        <v>45658</v>
      </c>
      <c r="U55" s="281" t="str">
        <f ca="1">DATEDIF(T55,TODAY(), "Y") &amp; " Tahun " &amp; DATEDIF(T55, TODAY(), "YM") &amp; " Bulan"</f>
        <v>1 Tahun 0 Bulan</v>
      </c>
      <c r="V55" s="281" t="s">
        <v>933</v>
      </c>
      <c r="W55" s="281" t="s">
        <v>851</v>
      </c>
      <c r="X55" s="283" t="str">
        <f ca="1">IF(AND(OR(L55="AA",L55="L"),OR(S55="Penata Muda Tk. I Golongan III/b",S55="Penata Golongan III/c"),DATEDIF(Q55,TODAY(),"m")&gt;=23,ISBLANK(Z55),C55="Aktif"),"Nominasi Serdos","-")</f>
        <v>-</v>
      </c>
      <c r="Y55" s="281"/>
      <c r="Z55" s="281" t="s">
        <v>852</v>
      </c>
      <c r="AA55" s="281">
        <v>22107201905189</v>
      </c>
      <c r="AB55" s="291" t="s">
        <v>1103</v>
      </c>
      <c r="AC55" s="285">
        <v>44846</v>
      </c>
      <c r="AD55" s="281" t="s">
        <v>30</v>
      </c>
      <c r="AE55" s="281" t="s">
        <v>30</v>
      </c>
      <c r="AF55" s="281" t="s">
        <v>30</v>
      </c>
      <c r="AG55" s="281" t="s">
        <v>30</v>
      </c>
      <c r="AH55" s="281" t="s">
        <v>854</v>
      </c>
      <c r="AI55" s="281" t="s">
        <v>855</v>
      </c>
      <c r="AJ55" s="281" t="s">
        <v>856</v>
      </c>
      <c r="AK55" s="281" t="s">
        <v>855</v>
      </c>
      <c r="AL55" s="281" t="s">
        <v>857</v>
      </c>
      <c r="AM55" s="286">
        <v>43101</v>
      </c>
      <c r="AN55" s="287" t="str">
        <f ca="1">DATEDIF(AM55,TODAY(),"y")&amp;" tahun "&amp;DATEDIF(AM55,TODAY(),"ym")&amp;" bulan "</f>
        <v xml:space="preserve">8 tahun 0 bulan </v>
      </c>
      <c r="AO55" s="281" t="s">
        <v>858</v>
      </c>
      <c r="AP55" s="281" t="s">
        <v>934</v>
      </c>
      <c r="AQ55" s="281" t="s">
        <v>1104</v>
      </c>
      <c r="AR55" s="281" t="s">
        <v>249</v>
      </c>
      <c r="AS55" s="281">
        <v>85326721456</v>
      </c>
      <c r="AT55" s="281" t="s">
        <v>250</v>
      </c>
      <c r="AU55" s="281" t="s">
        <v>30</v>
      </c>
      <c r="AV55" s="281"/>
      <c r="AW55" s="281" t="str">
        <f>VLOOKUP(B55,Sheet2!A22:I139,9,FALSE)</f>
        <v>Noerma Pudji Istyanto, S.Kom., M.Kom.</v>
      </c>
      <c r="AX55" s="281" t="s">
        <v>861</v>
      </c>
      <c r="AY55" s="281" t="str">
        <f>VLOOKUP(B55,Sheet2!A22:C139,2,FALSE)</f>
        <v>Sampang</v>
      </c>
      <c r="AZ55" s="288">
        <f>VLOOKUP(B55,Sheet2!A22:C139,3,FALSE)</f>
        <v>33018</v>
      </c>
      <c r="BA55" s="281">
        <f ca="1">DATEDIF(AZ55, TODAY(),"y")</f>
        <v>35</v>
      </c>
      <c r="BB55" s="281"/>
      <c r="BC55" s="281"/>
      <c r="BD55" s="281"/>
      <c r="BE55" s="281"/>
      <c r="BF55" s="289"/>
      <c r="BG55" s="289"/>
      <c r="BH55" s="289"/>
      <c r="BI55" s="289"/>
      <c r="BJ55" s="289"/>
      <c r="BK55" s="289"/>
      <c r="BL55" s="288" t="str">
        <f>VLOOKUP(B55,Sheet2!A22:D139,4,FALSE)</f>
        <v>Dosen</v>
      </c>
      <c r="BM55" s="281"/>
      <c r="BN55" s="281"/>
      <c r="BO55" s="281"/>
      <c r="BP55" s="281"/>
      <c r="BQ55" s="281"/>
      <c r="BR55" s="288" t="str">
        <f>VLOOKUP(B55,Sheet2!A22:E139,5,FALSE)</f>
        <v>Enterprise and Industrial System (EINS)</v>
      </c>
      <c r="BS55" s="288" t="str">
        <f>VLOOKUP(B55,Sheet2!A22:F139,6,FALSE)</f>
        <v>NOE</v>
      </c>
      <c r="BT55" s="288" t="str">
        <f>VLOOKUP(B55,Sheet2!A22:G139,7,FALSE)</f>
        <v>Fakultas Rekayasa Industri</v>
      </c>
      <c r="BU55" s="288" t="str">
        <f>VLOOKUP(B55,Sheet2!A22:H139,8,FALSE)</f>
        <v>totonsiplho@telkomuniversity.ac.id</v>
      </c>
      <c r="BV55" s="280">
        <f>COUNTIFS('Join TPA Dosen'!B:B,Dosen!B38)</f>
        <v>1</v>
      </c>
      <c r="BW55" s="273" t="str">
        <f>DATEDIF(AM55,DATE(2026,1,1),"y")&amp;" tahun "&amp;DATEDIF(AM55,DATE(2026,1,1),"ym")&amp;" bulan "</f>
        <v xml:space="preserve">8 tahun 0 bulan </v>
      </c>
      <c r="BX55" s="280" t="str">
        <f>VLOOKUP($B55,Sheet1!$A:$G,2,FALSE)</f>
        <v>ITS</v>
      </c>
      <c r="BY55" s="280" t="str">
        <f>VLOOKUP($B55,Sheet1!$A:$G,3,FALSE)</f>
        <v>Sistem Informasi</v>
      </c>
      <c r="BZ55" s="280" t="str">
        <f>VLOOKUP($B55,Sheet1!$A:$G,4,FALSE)</f>
        <v>ITS</v>
      </c>
      <c r="CA55" s="280" t="str">
        <f>VLOOKUP($B55,Sheet1!$A:$G,5,FALSE)</f>
        <v>Teknik Informatika - Sistem Informasi</v>
      </c>
      <c r="CB55" s="280" t="str">
        <f>VLOOKUP($B55,Sheet1!$A:$G,6,FALSE)</f>
        <v>ITS</v>
      </c>
      <c r="CC55" s="280" t="str">
        <f>VLOOKUP($B55,Sheet1!$A:$G,7,FALSE)</f>
        <v>Sistem Informasi</v>
      </c>
      <c r="CD55" s="280" t="s">
        <v>882</v>
      </c>
      <c r="CE55" s="280" t="s">
        <v>863</v>
      </c>
    </row>
    <row r="56" spans="1:84" ht="18.95">
      <c r="A56" s="281">
        <v>23</v>
      </c>
      <c r="B56" s="281" t="s">
        <v>321</v>
      </c>
      <c r="C56" s="281" t="s">
        <v>20</v>
      </c>
      <c r="D56" s="281" t="s">
        <v>235</v>
      </c>
      <c r="E56" s="281">
        <v>19900008</v>
      </c>
      <c r="F56" s="281" t="s">
        <v>1105</v>
      </c>
      <c r="G56" s="282" t="s">
        <v>322</v>
      </c>
      <c r="H56" s="281" t="s">
        <v>845</v>
      </c>
      <c r="I56" s="281" t="s">
        <v>30</v>
      </c>
      <c r="J56" s="281" t="s">
        <v>57</v>
      </c>
      <c r="K56" s="281" t="s">
        <v>846</v>
      </c>
      <c r="L56" s="281" t="s">
        <v>847</v>
      </c>
      <c r="M56" s="283" t="str">
        <f>IF(L56="NJAD","AA",IF(L56="AA","L",IF(L56="L","LK","GB")))</f>
        <v>L</v>
      </c>
      <c r="N56" s="282" t="s">
        <v>511</v>
      </c>
      <c r="O56" s="281">
        <v>150</v>
      </c>
      <c r="P56" s="281" t="s">
        <v>1106</v>
      </c>
      <c r="Q56" s="284">
        <v>44061</v>
      </c>
      <c r="R56" s="281" t="str">
        <f ca="1">DATEDIF(Q56,TODAY(), "Y") &amp; " Tahun " &amp; DATEDIF(Q56, TODAY(), "YM") &amp; " Bulan"</f>
        <v>5 Tahun 5 Bulan</v>
      </c>
      <c r="S56" s="281" t="s">
        <v>849</v>
      </c>
      <c r="T56" s="285">
        <v>44166</v>
      </c>
      <c r="U56" s="281" t="str">
        <f ca="1">DATEDIF(T56,TODAY(), "Y") &amp; " Tahun " &amp; DATEDIF(T56, TODAY(), "YM") &amp; " Bulan"</f>
        <v>5 Tahun 1 Bulan</v>
      </c>
      <c r="V56" s="281" t="s">
        <v>1107</v>
      </c>
      <c r="W56" s="281" t="s">
        <v>851</v>
      </c>
      <c r="X56" s="283" t="str">
        <f ca="1">IF(AND(OR(L56="AA",L56="L"),OR(S56="Penata Muda Tk. I Golongan III/b",S56="Penata Golongan III/c"),DATEDIF(Q56,TODAY(),"m")&gt;=23,ISBLANK(Z56),C56="Aktif"),"Nominasi Serdos","-")</f>
        <v>-</v>
      </c>
      <c r="Y56" s="281"/>
      <c r="Z56" s="281" t="s">
        <v>852</v>
      </c>
      <c r="AA56" s="281">
        <v>23107201902352</v>
      </c>
      <c r="AB56" s="281" t="s">
        <v>1108</v>
      </c>
      <c r="AC56" s="285">
        <v>45085</v>
      </c>
      <c r="AD56" s="281" t="s">
        <v>30</v>
      </c>
      <c r="AE56" s="281" t="s">
        <v>30</v>
      </c>
      <c r="AF56" s="281" t="s">
        <v>30</v>
      </c>
      <c r="AG56" s="281" t="s">
        <v>30</v>
      </c>
      <c r="AH56" s="281" t="s">
        <v>854</v>
      </c>
      <c r="AI56" s="281" t="s">
        <v>855</v>
      </c>
      <c r="AJ56" s="281" t="s">
        <v>856</v>
      </c>
      <c r="AK56" s="281" t="s">
        <v>855</v>
      </c>
      <c r="AL56" s="281" t="s">
        <v>857</v>
      </c>
      <c r="AM56" s="286">
        <v>43101</v>
      </c>
      <c r="AN56" s="287" t="str">
        <f ca="1">DATEDIF(AM56,TODAY(),"y")&amp;" tahun "&amp;DATEDIF(AM56,TODAY(),"ym")&amp;" bulan "</f>
        <v xml:space="preserve">8 tahun 0 bulan </v>
      </c>
      <c r="AO56" s="281" t="s">
        <v>858</v>
      </c>
      <c r="AP56" s="281" t="s">
        <v>934</v>
      </c>
      <c r="AQ56" s="281" t="s">
        <v>1109</v>
      </c>
      <c r="AR56" s="281" t="s">
        <v>323</v>
      </c>
      <c r="AS56" s="281">
        <v>82229243603</v>
      </c>
      <c r="AT56" s="281" t="s">
        <v>324</v>
      </c>
      <c r="AU56" s="281" t="s">
        <v>30</v>
      </c>
      <c r="AV56" s="281"/>
      <c r="AW56" s="281" t="str">
        <f>VLOOKUP(B56,Sheet2!A24:I141,9,FALSE)</f>
        <v>Ully Asfari, S.Kom., M.Kom.</v>
      </c>
      <c r="AX56" s="281" t="s">
        <v>902</v>
      </c>
      <c r="AY56" s="281" t="str">
        <f>VLOOKUP(B56,Sheet2!A24:C141,2,FALSE)</f>
        <v>Sanggau</v>
      </c>
      <c r="AZ56" s="288">
        <f>VLOOKUP(B56,Sheet2!A24:C141,3,FALSE)</f>
        <v>33210</v>
      </c>
      <c r="BA56" s="281">
        <f ca="1">DATEDIF(AZ56, TODAY(),"y")</f>
        <v>35</v>
      </c>
      <c r="BB56" s="281"/>
      <c r="BC56" s="281"/>
      <c r="BD56" s="281"/>
      <c r="BE56" s="281"/>
      <c r="BF56" s="289"/>
      <c r="BG56" s="289"/>
      <c r="BH56" s="289"/>
      <c r="BI56" s="289"/>
      <c r="BJ56" s="289"/>
      <c r="BK56" s="289"/>
      <c r="BL56" s="288" t="s">
        <v>21</v>
      </c>
      <c r="BM56" s="281"/>
      <c r="BN56" s="281"/>
      <c r="BO56" s="281"/>
      <c r="BP56" s="281"/>
      <c r="BQ56" s="281"/>
      <c r="BR56" s="288" t="str">
        <f>VLOOKUP(B56,Sheet2!A24:E141,5,FALSE)</f>
        <v>Cybernetics</v>
      </c>
      <c r="BS56" s="288" t="str">
        <f>VLOOKUP(B56,Sheet2!A24:F141,6,FALSE)</f>
        <v>ULF</v>
      </c>
      <c r="BT56" s="288" t="str">
        <f>VLOOKUP(B56,Sheet2!A24:G141,7,FALSE)</f>
        <v>Fakultas Rekayasa Industri</v>
      </c>
      <c r="BU56" s="288" t="str">
        <f>VLOOKUP(B56,Sheet2!A24:H141,8,FALSE)</f>
        <v>ullyas@telkomuniversity.ac.id</v>
      </c>
      <c r="BV56" s="280">
        <f>COUNTIFS('Join TPA Dosen'!B:B,Dosen!B98)</f>
        <v>1</v>
      </c>
      <c r="BW56" s="273" t="str">
        <f>DATEDIF(AM56,DATE(2026,1,1),"y")&amp;" tahun "&amp;DATEDIF(AM56,DATE(2026,1,1),"ym")&amp;" bulan "</f>
        <v xml:space="preserve">8 tahun 0 bulan </v>
      </c>
      <c r="BX56" s="280" t="str">
        <f>VLOOKUP($B56,Sheet1!$A:$G,2,FALSE)</f>
        <v>ITS</v>
      </c>
      <c r="BY56" s="280" t="str">
        <f>VLOOKUP($B56,Sheet1!$A:$G,3,FALSE)</f>
        <v>Sistem Informasi</v>
      </c>
      <c r="BZ56" s="280" t="str">
        <f>VLOOKUP($B56,Sheet1!$A:$G,4,FALSE)</f>
        <v>ITS</v>
      </c>
      <c r="CA56" s="280" t="str">
        <f>VLOOKUP($B56,Sheet1!$A:$G,5,FALSE)</f>
        <v>Teknik Informatika - Sistem Informasi</v>
      </c>
      <c r="CB56" s="280" t="str">
        <f>VLOOKUP($B56,Sheet1!$A:$G,6,FALSE)</f>
        <v>-</v>
      </c>
      <c r="CC56" s="280">
        <f>VLOOKUP($B56,Sheet1!$A:$G,7,FALSE)</f>
        <v>0</v>
      </c>
      <c r="CD56" s="280" t="s">
        <v>882</v>
      </c>
      <c r="CE56" s="280" t="s">
        <v>903</v>
      </c>
    </row>
    <row r="57" spans="1:84" ht="18.95">
      <c r="A57" s="281">
        <v>28</v>
      </c>
      <c r="B57" s="281" t="s">
        <v>243</v>
      </c>
      <c r="C57" s="281" t="s">
        <v>20</v>
      </c>
      <c r="D57" s="281" t="s">
        <v>235</v>
      </c>
      <c r="E57" s="281">
        <v>20860017</v>
      </c>
      <c r="F57" s="281" t="s">
        <v>1110</v>
      </c>
      <c r="G57" s="282" t="s">
        <v>244</v>
      </c>
      <c r="H57" s="281" t="s">
        <v>845</v>
      </c>
      <c r="I57" s="281" t="s">
        <v>30</v>
      </c>
      <c r="J57" s="281" t="s">
        <v>57</v>
      </c>
      <c r="K57" s="281" t="s">
        <v>846</v>
      </c>
      <c r="L57" s="281" t="s">
        <v>847</v>
      </c>
      <c r="M57" s="283" t="str">
        <f>IF(L57="NJAD","AA",IF(L57="AA","L",IF(L57="L","LK","GB")))</f>
        <v>L</v>
      </c>
      <c r="N57" s="282" t="s">
        <v>511</v>
      </c>
      <c r="O57" s="281">
        <v>150</v>
      </c>
      <c r="P57" s="281" t="s">
        <v>1111</v>
      </c>
      <c r="Q57" s="284">
        <v>44365</v>
      </c>
      <c r="R57" s="281" t="str">
        <f ca="1">DATEDIF(Q57,TODAY(), "Y") &amp; " Tahun " &amp; DATEDIF(Q57, TODAY(), "YM") &amp; " Bulan"</f>
        <v>4 Tahun 7 Bulan</v>
      </c>
      <c r="S57" s="281" t="s">
        <v>849</v>
      </c>
      <c r="T57" s="285">
        <v>44531</v>
      </c>
      <c r="U57" s="281" t="str">
        <f ca="1">DATEDIF(T57,TODAY(), "Y") &amp; " Tahun " &amp; DATEDIF(T57, TODAY(), "YM") &amp; " Bulan"</f>
        <v>4 Tahun 1 Bulan</v>
      </c>
      <c r="V57" s="281" t="s">
        <v>933</v>
      </c>
      <c r="W57" s="281" t="s">
        <v>851</v>
      </c>
      <c r="X57" s="283" t="str">
        <f ca="1">IF(AND(OR(L57="AA",L57="L"),OR(S57="Penata Muda Tk. I Golongan III/b",S57="Penata Golongan III/c"),DATEDIF(Q57,TODAY(),"m")&gt;=23,ISBLANK(Z57),C57="Aktif"),"Nominasi Serdos","-")</f>
        <v>-</v>
      </c>
      <c r="Y57" s="281"/>
      <c r="Z57" s="282" t="s">
        <v>852</v>
      </c>
      <c r="AA57" s="281">
        <v>25104105709170</v>
      </c>
      <c r="AB57" s="281" t="s">
        <v>1112</v>
      </c>
      <c r="AC57" s="285">
        <v>45917</v>
      </c>
      <c r="AD57" s="281" t="s">
        <v>30</v>
      </c>
      <c r="AE57" s="281" t="s">
        <v>30</v>
      </c>
      <c r="AF57" s="281" t="s">
        <v>30</v>
      </c>
      <c r="AG57" s="281" t="s">
        <v>30</v>
      </c>
      <c r="AH57" s="281" t="s">
        <v>854</v>
      </c>
      <c r="AI57" s="281" t="s">
        <v>855</v>
      </c>
      <c r="AJ57" s="281" t="s">
        <v>856</v>
      </c>
      <c r="AK57" s="281" t="s">
        <v>855</v>
      </c>
      <c r="AL57" s="281" t="s">
        <v>857</v>
      </c>
      <c r="AM57" s="286">
        <v>43282</v>
      </c>
      <c r="AN57" s="287" t="str">
        <f ca="1">DATEDIF(AM57,TODAY(),"y")&amp;" tahun "&amp;DATEDIF(AM57,TODAY(),"ym")&amp;" bulan "</f>
        <v xml:space="preserve">7 tahun 6 bulan </v>
      </c>
      <c r="AO57" s="281" t="s">
        <v>858</v>
      </c>
      <c r="AP57" s="281" t="s">
        <v>934</v>
      </c>
      <c r="AQ57" s="281" t="s">
        <v>1113</v>
      </c>
      <c r="AR57" s="281" t="s">
        <v>245</v>
      </c>
      <c r="AS57" s="281">
        <v>81359558005</v>
      </c>
      <c r="AT57" s="281" t="s">
        <v>246</v>
      </c>
      <c r="AU57" s="281" t="s">
        <v>30</v>
      </c>
      <c r="AV57" s="281"/>
      <c r="AW57" s="281" t="str">
        <f>VLOOKUP(B57,Sheet2!A29:I146,9,FALSE)</f>
        <v>Yupit Sudianto, S.Kom., M.Kom.</v>
      </c>
      <c r="AX57" s="281" t="s">
        <v>861</v>
      </c>
      <c r="AY57" s="281" t="str">
        <f>VLOOKUP(B57,Sheet2!A29:C146,2,FALSE)</f>
        <v>Surabaya</v>
      </c>
      <c r="AZ57" s="288">
        <f>VLOOKUP(B57,Sheet2!A29:C146,3,FALSE)</f>
        <v>31645</v>
      </c>
      <c r="BA57" s="281">
        <f ca="1">DATEDIF(AZ57, TODAY(),"y")</f>
        <v>39</v>
      </c>
      <c r="BB57" s="281"/>
      <c r="BC57" s="281"/>
      <c r="BD57" s="281"/>
      <c r="BE57" s="281"/>
      <c r="BF57" s="289"/>
      <c r="BG57" s="289"/>
      <c r="BH57" s="289"/>
      <c r="BI57" s="289"/>
      <c r="BJ57" s="289"/>
      <c r="BK57" s="289"/>
      <c r="BL57" s="288" t="str">
        <f>VLOOKUP(B57,Sheet2!A29:D146,4,FALSE)</f>
        <v>Dosen</v>
      </c>
      <c r="BM57" s="281"/>
      <c r="BN57" s="281"/>
      <c r="BO57" s="281"/>
      <c r="BP57" s="281"/>
      <c r="BQ57" s="281"/>
      <c r="BR57" s="288" t="str">
        <f>VLOOKUP(B57,Sheet2!A29:E146,5,FALSE)</f>
        <v>Enterprise and Industrial System (EINS)</v>
      </c>
      <c r="BS57" s="288" t="str">
        <f>VLOOKUP(B57,Sheet2!A29:F146,6,FALSE)</f>
        <v>YPT</v>
      </c>
      <c r="BT57" s="288" t="str">
        <f>VLOOKUP(B57,Sheet2!A29:G146,7,FALSE)</f>
        <v>Fakultas Rekayasa Industri</v>
      </c>
      <c r="BU57" s="288" t="str">
        <f>VLOOKUP(B57,Sheet2!A29:H146,8,FALSE)</f>
        <v>yufidu@telkomuniversity.ac.id</v>
      </c>
      <c r="BV57" s="280">
        <f>COUNTIFS('Join TPA Dosen'!B:B,Dosen!B29)</f>
        <v>1</v>
      </c>
      <c r="BW57" s="273" t="str">
        <f>DATEDIF(AM57,DATE(2026,1,1),"y")&amp;" tahun "&amp;DATEDIF(AM57,DATE(2026,1,1),"ym")&amp;" bulan "</f>
        <v xml:space="preserve">7 tahun 6 bulan </v>
      </c>
      <c r="BX57" s="280" t="str">
        <f>VLOOKUP($B57,Sheet1!$A:$G,2,FALSE)</f>
        <v>ITS</v>
      </c>
      <c r="BY57" s="280" t="str">
        <f>VLOOKUP($B57,Sheet1!$A:$G,3,FALSE)</f>
        <v>Sistem Informasi</v>
      </c>
      <c r="BZ57" s="280" t="str">
        <f>VLOOKUP($B57,Sheet1!$A:$G,4,FALSE)</f>
        <v>ITS</v>
      </c>
      <c r="CA57" s="280" t="str">
        <f>VLOOKUP($B57,Sheet1!$A:$G,5,FALSE)</f>
        <v>Teknik Informatika - Sistem Informasi</v>
      </c>
      <c r="CB57" s="280" t="str">
        <f>VLOOKUP($B57,Sheet1!$A:$G,6,FALSE)</f>
        <v>-</v>
      </c>
      <c r="CC57" s="280">
        <f>VLOOKUP($B57,Sheet1!$A:$G,7,FALSE)</f>
        <v>0</v>
      </c>
      <c r="CD57" s="280" t="s">
        <v>882</v>
      </c>
      <c r="CE57" s="280" t="s">
        <v>903</v>
      </c>
    </row>
    <row r="58" spans="1:84" ht="18.95">
      <c r="A58" s="281">
        <v>37</v>
      </c>
      <c r="B58" s="281" t="s">
        <v>239</v>
      </c>
      <c r="C58" s="281" t="s">
        <v>20</v>
      </c>
      <c r="D58" s="281" t="s">
        <v>235</v>
      </c>
      <c r="E58" s="281">
        <v>20920039</v>
      </c>
      <c r="F58" s="281" t="s">
        <v>1114</v>
      </c>
      <c r="G58" s="282" t="s">
        <v>240</v>
      </c>
      <c r="H58" s="281" t="s">
        <v>845</v>
      </c>
      <c r="I58" s="281" t="s">
        <v>30</v>
      </c>
      <c r="J58" s="281" t="s">
        <v>57</v>
      </c>
      <c r="K58" s="281" t="s">
        <v>846</v>
      </c>
      <c r="L58" s="281" t="s">
        <v>847</v>
      </c>
      <c r="M58" s="283" t="str">
        <f>IF(L58="NJAD","AA",IF(L58="AA","L",IF(L58="L","LK","GB")))</f>
        <v>L</v>
      </c>
      <c r="N58" s="282" t="s">
        <v>511</v>
      </c>
      <c r="O58" s="281">
        <v>150</v>
      </c>
      <c r="P58" s="281" t="s">
        <v>1115</v>
      </c>
      <c r="Q58" s="284">
        <v>44162</v>
      </c>
      <c r="R58" s="281" t="str">
        <f ca="1">DATEDIF(Q58,TODAY(), "Y") &amp; " Tahun " &amp; DATEDIF(Q58, TODAY(), "YM") &amp; " Bulan"</f>
        <v>5 Tahun 1 Bulan</v>
      </c>
      <c r="S58" s="281" t="s">
        <v>849</v>
      </c>
      <c r="T58" s="285">
        <v>44348</v>
      </c>
      <c r="U58" s="281" t="str">
        <f ca="1">DATEDIF(T58,TODAY(), "Y") &amp; " Tahun " &amp; DATEDIF(T58, TODAY(), "YM") &amp; " Bulan"</f>
        <v>4 Tahun 7 Bulan</v>
      </c>
      <c r="V58" s="281" t="s">
        <v>1116</v>
      </c>
      <c r="W58" s="281" t="s">
        <v>851</v>
      </c>
      <c r="X58" s="283" t="str">
        <f ca="1">IF(AND(OR(L58="AA",L58="L"),OR(S58="Penata Muda Tk. I Golongan III/b",S58="Penata Golongan III/c"),DATEDIF(Q58,TODAY(),"m")&gt;=23,ISBLANK(Z58),C58="Aktif"),"Nominasi Serdos","-")</f>
        <v>-</v>
      </c>
      <c r="Y58" s="281"/>
      <c r="Z58" s="281" t="s">
        <v>852</v>
      </c>
      <c r="AA58" s="290">
        <v>2.41072E+18</v>
      </c>
      <c r="AB58" s="281" t="s">
        <v>1117</v>
      </c>
      <c r="AC58" s="285">
        <v>45351</v>
      </c>
      <c r="AD58" s="281" t="s">
        <v>30</v>
      </c>
      <c r="AE58" s="281" t="s">
        <v>30</v>
      </c>
      <c r="AF58" s="281" t="s">
        <v>30</v>
      </c>
      <c r="AG58" s="281" t="s">
        <v>30</v>
      </c>
      <c r="AH58" s="281" t="s">
        <v>854</v>
      </c>
      <c r="AI58" s="281" t="s">
        <v>855</v>
      </c>
      <c r="AJ58" s="281" t="s">
        <v>856</v>
      </c>
      <c r="AK58" s="281" t="s">
        <v>855</v>
      </c>
      <c r="AL58" s="281" t="s">
        <v>857</v>
      </c>
      <c r="AM58" s="286">
        <v>43282</v>
      </c>
      <c r="AN58" s="287" t="str">
        <f ca="1">DATEDIF(AM58,TODAY(),"y")&amp;" tahun "&amp;DATEDIF(AM58,TODAY(),"ym")&amp;" bulan "</f>
        <v xml:space="preserve">7 tahun 6 bulan </v>
      </c>
      <c r="AO58" s="281" t="s">
        <v>858</v>
      </c>
      <c r="AP58" s="281" t="s">
        <v>934</v>
      </c>
      <c r="AQ58" s="281" t="s">
        <v>1118</v>
      </c>
      <c r="AR58" s="281" t="s">
        <v>241</v>
      </c>
      <c r="AS58" s="281">
        <v>81259106836</v>
      </c>
      <c r="AT58" s="281" t="s">
        <v>242</v>
      </c>
      <c r="AU58" s="281" t="s">
        <v>30</v>
      </c>
      <c r="AV58" s="281"/>
      <c r="AW58" s="281" t="str">
        <f>VLOOKUP(B58,Sheet2!A38:I155,9,FALSE)</f>
        <v>Hawwin Mardhiana, S.Kom., M.Kom.</v>
      </c>
      <c r="AX58" s="281" t="s">
        <v>902</v>
      </c>
      <c r="AY58" s="281" t="str">
        <f>VLOOKUP(B58,Sheet2!A38:C155,2,FALSE)</f>
        <v>Magetan</v>
      </c>
      <c r="AZ58" s="288">
        <f>VLOOKUP(B58,Sheet2!A38:C155,3,FALSE)</f>
        <v>33840</v>
      </c>
      <c r="BA58" s="281">
        <f ca="1">DATEDIF(AZ58, TODAY(),"y")</f>
        <v>33</v>
      </c>
      <c r="BB58" s="281"/>
      <c r="BC58" s="281"/>
      <c r="BD58" s="281"/>
      <c r="BE58" s="281"/>
      <c r="BF58" s="289"/>
      <c r="BG58" s="289"/>
      <c r="BH58" s="289"/>
      <c r="BI58" s="289"/>
      <c r="BJ58" s="289"/>
      <c r="BK58" s="289"/>
      <c r="BL58" s="288" t="str">
        <f>VLOOKUP(B58,Sheet2!A38:D155,4,FALSE)</f>
        <v>Dosen</v>
      </c>
      <c r="BM58" s="281"/>
      <c r="BN58" s="281"/>
      <c r="BO58" s="281"/>
      <c r="BP58" s="281"/>
      <c r="BQ58" s="281"/>
      <c r="BR58" s="288" t="str">
        <f>VLOOKUP(B58,Sheet2!A38:E155,5,FALSE)</f>
        <v>Enterprise and Industrial System (EINS)</v>
      </c>
      <c r="BS58" s="288" t="str">
        <f>VLOOKUP(B58,Sheet2!A38:F155,6,FALSE)</f>
        <v>MAE</v>
      </c>
      <c r="BT58" s="288" t="str">
        <f>VLOOKUP(B58,Sheet2!A38:G155,7,FALSE)</f>
        <v>Fakultas Rekayasa Industri</v>
      </c>
      <c r="BU58" s="288" t="str">
        <f>VLOOKUP(B58,Sheet2!A38:H155,8,FALSE)</f>
        <v>hawwinmardhiana@telkomuniversity.ac.id</v>
      </c>
      <c r="BV58" s="280">
        <f>COUNTIFS('Join TPA Dosen'!B:B,Dosen!B28)</f>
        <v>1</v>
      </c>
      <c r="BW58" s="273" t="str">
        <f>DATEDIF(AM58,DATE(2026,1,1),"y")&amp;" tahun "&amp;DATEDIF(AM58,DATE(2026,1,1),"ym")&amp;" bulan "</f>
        <v xml:space="preserve">7 tahun 6 bulan </v>
      </c>
      <c r="BX58" s="280" t="str">
        <f>VLOOKUP($B58,Sheet1!$A:$G,2,FALSE)</f>
        <v>UNEJ</v>
      </c>
      <c r="BY58" s="280" t="str">
        <f>VLOOKUP($B58,Sheet1!$A:$G,3,FALSE)</f>
        <v>Sistem Informasi</v>
      </c>
      <c r="BZ58" s="280" t="str">
        <f>VLOOKUP($B58,Sheet1!$A:$G,4,FALSE)</f>
        <v>ITS</v>
      </c>
      <c r="CA58" s="280" t="str">
        <f>VLOOKUP($B58,Sheet1!$A:$G,5,FALSE)</f>
        <v>Sistem Informasi</v>
      </c>
      <c r="CB58" s="280" t="str">
        <f>VLOOKUP($B58,Sheet1!$A:$G,6,FALSE)</f>
        <v>UGM</v>
      </c>
      <c r="CC58" s="280" t="str">
        <f>VLOOKUP($B58,Sheet1!$A:$G,7,FALSE)</f>
        <v>Ilmu Komputer</v>
      </c>
      <c r="CD58" s="280" t="s">
        <v>862</v>
      </c>
      <c r="CE58" s="280" t="s">
        <v>863</v>
      </c>
    </row>
    <row r="59" spans="1:84" ht="18.95">
      <c r="A59" s="281">
        <v>40</v>
      </c>
      <c r="B59" s="281" t="s">
        <v>251</v>
      </c>
      <c r="C59" s="281" t="s">
        <v>20</v>
      </c>
      <c r="D59" s="281" t="s">
        <v>235</v>
      </c>
      <c r="E59" s="281">
        <v>23890011</v>
      </c>
      <c r="F59" s="281" t="s">
        <v>1119</v>
      </c>
      <c r="G59" s="282" t="s">
        <v>252</v>
      </c>
      <c r="H59" s="281" t="s">
        <v>845</v>
      </c>
      <c r="I59" s="281" t="s">
        <v>30</v>
      </c>
      <c r="J59" s="281" t="s">
        <v>176</v>
      </c>
      <c r="K59" s="281" t="s">
        <v>846</v>
      </c>
      <c r="L59" s="281" t="s">
        <v>847</v>
      </c>
      <c r="M59" s="283" t="str">
        <f>IF(L59="NJAD","AA",IF(L59="AA","L",IF(L59="L","LK","GB")))</f>
        <v>L</v>
      </c>
      <c r="N59" s="282" t="s">
        <v>511</v>
      </c>
      <c r="O59" s="281">
        <v>150</v>
      </c>
      <c r="P59" s="281" t="s">
        <v>1120</v>
      </c>
      <c r="Q59" s="284">
        <v>44743</v>
      </c>
      <c r="R59" s="281" t="str">
        <f ca="1">DATEDIF(Q59,TODAY(), "Y") &amp; " Tahun " &amp; DATEDIF(Q59, TODAY(), "YM") &amp; " Bulan"</f>
        <v>3 Tahun 6 Bulan</v>
      </c>
      <c r="S59" s="281" t="s">
        <v>849</v>
      </c>
      <c r="T59" s="285">
        <v>44896</v>
      </c>
      <c r="U59" s="281" t="str">
        <f ca="1">DATEDIF(T59,TODAY(), "Y") &amp; " Tahun " &amp; DATEDIF(T59, TODAY(), "YM") &amp; " Bulan"</f>
        <v>3 Tahun 1 Bulan</v>
      </c>
      <c r="V59" s="281" t="s">
        <v>1121</v>
      </c>
      <c r="W59" s="281" t="s">
        <v>851</v>
      </c>
      <c r="X59" s="283" t="str">
        <f ca="1">IF(AND(OR(L59="AA",L59="L"),OR(S59="Penata Muda Tk. I Golongan III/b",S59="Penata Golongan III/c"),DATEDIF(Q59,TODAY(),"m")&gt;=23,ISBLANK(Z59),C59="Aktif"),"Nominasi Serdos","-")</f>
        <v>-</v>
      </c>
      <c r="Y59" s="281"/>
      <c r="Z59" s="282" t="s">
        <v>852</v>
      </c>
      <c r="AA59" s="290">
        <v>25104105712562</v>
      </c>
      <c r="AB59" s="281" t="s">
        <v>1122</v>
      </c>
      <c r="AC59" s="285">
        <v>45917</v>
      </c>
      <c r="AD59" s="281" t="s">
        <v>30</v>
      </c>
      <c r="AE59" s="281" t="s">
        <v>30</v>
      </c>
      <c r="AF59" s="281" t="s">
        <v>30</v>
      </c>
      <c r="AG59" s="281" t="s">
        <v>30</v>
      </c>
      <c r="AH59" s="281" t="s">
        <v>854</v>
      </c>
      <c r="AI59" s="281" t="s">
        <v>855</v>
      </c>
      <c r="AJ59" s="281" t="s">
        <v>856</v>
      </c>
      <c r="AK59" s="281" t="s">
        <v>855</v>
      </c>
      <c r="AL59" s="281" t="s">
        <v>857</v>
      </c>
      <c r="AM59" s="286">
        <v>43831</v>
      </c>
      <c r="AN59" s="287" t="str">
        <f ca="1">DATEDIF(AM59,TODAY(),"y")&amp;" tahun "&amp;DATEDIF(AM59,TODAY(),"ym")&amp;" bulan "</f>
        <v xml:space="preserve">6 tahun 0 bulan </v>
      </c>
      <c r="AO59" s="281" t="s">
        <v>858</v>
      </c>
      <c r="AP59" s="281" t="s">
        <v>934</v>
      </c>
      <c r="AQ59" s="281" t="s">
        <v>1123</v>
      </c>
      <c r="AR59" s="281" t="s">
        <v>253</v>
      </c>
      <c r="AS59" s="281">
        <v>85232959894</v>
      </c>
      <c r="AT59" s="281" t="s">
        <v>254</v>
      </c>
      <c r="AU59" s="281" t="s">
        <v>30</v>
      </c>
      <c r="AV59" s="281"/>
      <c r="AW59" s="281" t="str">
        <f>VLOOKUP(B59,Sheet2!A41:I158,9,FALSE)</f>
        <v>Rokhmatul Insani, S.T., M.T.</v>
      </c>
      <c r="AX59" s="281" t="s">
        <v>902</v>
      </c>
      <c r="AY59" s="281" t="str">
        <f>VLOOKUP(B59,Sheet2!A41:C158,2,FALSE)</f>
        <v>Mojokerto</v>
      </c>
      <c r="AZ59" s="288">
        <f>VLOOKUP(B59,Sheet2!A41:C158,3,FALSE)</f>
        <v>32663</v>
      </c>
      <c r="BA59" s="281">
        <f ca="1">DATEDIF(AZ59, TODAY(),"y")</f>
        <v>36</v>
      </c>
      <c r="BB59" s="281"/>
      <c r="BC59" s="281"/>
      <c r="BD59" s="281"/>
      <c r="BE59" s="281"/>
      <c r="BF59" s="289"/>
      <c r="BG59" s="289"/>
      <c r="BH59" s="289"/>
      <c r="BI59" s="289"/>
      <c r="BJ59" s="289"/>
      <c r="BK59" s="289"/>
      <c r="BL59" s="288" t="str">
        <f>VLOOKUP(B59,Sheet2!A41:D158,4,FALSE)</f>
        <v>Dosen</v>
      </c>
      <c r="BM59" s="281"/>
      <c r="BN59" s="281"/>
      <c r="BO59" s="281"/>
      <c r="BP59" s="281"/>
      <c r="BQ59" s="281"/>
      <c r="BR59" s="288" t="str">
        <f>VLOOKUP(B59,Sheet2!A41:E158,5,FALSE)</f>
        <v>Cybernetics</v>
      </c>
      <c r="BS59" s="288" t="str">
        <f>VLOOKUP(B59,Sheet2!A41:F158,6,FALSE)</f>
        <v>RTL</v>
      </c>
      <c r="BT59" s="288" t="str">
        <f>VLOOKUP(B59,Sheet2!A41:G158,7,FALSE)</f>
        <v>Fakultas Rekayasa Industri</v>
      </c>
      <c r="BU59" s="288" t="str">
        <f>VLOOKUP(B59,Sheet2!A41:H158,8,FALSE)</f>
        <v>rokhmatul@telkomuniversity.ac.id</v>
      </c>
      <c r="BV59" s="280">
        <f>COUNTIFS('Join TPA Dosen'!B:B,Dosen!B41)</f>
        <v>1</v>
      </c>
      <c r="BW59" s="273" t="str">
        <f>DATEDIF(AM59,DATE(2026,1,1),"y")&amp;" tahun "&amp;DATEDIF(AM59,DATE(2026,1,1),"ym")&amp;" bulan "</f>
        <v xml:space="preserve">6 tahun 0 bulan </v>
      </c>
      <c r="BX59" s="280" t="str">
        <f>VLOOKUP($B59,Sheet1!$A:$G,2,FALSE)</f>
        <v>Tel-U</v>
      </c>
      <c r="BY59" s="280" t="str">
        <f>VLOOKUP($B59,Sheet1!$A:$G,3,FALSE)</f>
        <v>Teknik Informatika</v>
      </c>
      <c r="BZ59" s="280" t="str">
        <f>VLOOKUP($B59,Sheet1!$A:$G,4,FALSE)</f>
        <v>ITB</v>
      </c>
      <c r="CA59" s="280" t="str">
        <f>VLOOKUP($B59,Sheet1!$A:$G,5,FALSE)</f>
        <v>Informatika</v>
      </c>
      <c r="CB59" s="280" t="str">
        <f>VLOOKUP($B59,Sheet1!$A:$G,6,FALSE)</f>
        <v>UGM</v>
      </c>
      <c r="CC59" s="280" t="str">
        <f>VLOOKUP($B59,Sheet1!$A:$G,7,FALSE)</f>
        <v>Ilmu Komputer</v>
      </c>
      <c r="CD59" s="280" t="s">
        <v>871</v>
      </c>
      <c r="CE59" s="280" t="s">
        <v>863</v>
      </c>
    </row>
    <row r="60" spans="1:84" ht="19.5">
      <c r="A60" s="281">
        <v>73</v>
      </c>
      <c r="B60" s="281" t="s">
        <v>192</v>
      </c>
      <c r="C60" s="281" t="s">
        <v>20</v>
      </c>
      <c r="D60" s="281" t="s">
        <v>170</v>
      </c>
      <c r="E60" s="281">
        <v>23850011</v>
      </c>
      <c r="F60" s="281" t="s">
        <v>1124</v>
      </c>
      <c r="G60" s="282" t="s">
        <v>193</v>
      </c>
      <c r="H60" s="281" t="s">
        <v>845</v>
      </c>
      <c r="I60" s="281" t="s">
        <v>30</v>
      </c>
      <c r="J60" s="281" t="s">
        <v>57</v>
      </c>
      <c r="K60" s="281" t="s">
        <v>893</v>
      </c>
      <c r="L60" s="281" t="s">
        <v>775</v>
      </c>
      <c r="M60" s="283" t="str">
        <f>IF(L60="NJAD","AA",IF(L60="AA","L",IF(L60="L","LK","GB")))</f>
        <v>LK</v>
      </c>
      <c r="N60" s="282" t="s">
        <v>511</v>
      </c>
      <c r="O60" s="281">
        <v>200</v>
      </c>
      <c r="P60" s="281" t="s">
        <v>911</v>
      </c>
      <c r="Q60" s="284">
        <v>45901</v>
      </c>
      <c r="R60" s="281" t="str">
        <f ca="1">DATEDIF(Q60,TODAY(), "Y") &amp; " Tahun " &amp; DATEDIF(Q60, TODAY(), "YM") &amp; " Bulan"</f>
        <v>0 Tahun 4 Bulan</v>
      </c>
      <c r="S60" s="281" t="s">
        <v>876</v>
      </c>
      <c r="T60" s="285">
        <v>46023</v>
      </c>
      <c r="U60" s="281" t="str">
        <f ca="1">DATEDIF(T60,TODAY(), "Y") &amp; " Tahun " &amp; DATEDIF(T60, TODAY(), "YM") &amp; " Bulan"</f>
        <v>0 Tahun 0 Bulan</v>
      </c>
      <c r="V60" s="281" t="s">
        <v>955</v>
      </c>
      <c r="W60" s="281" t="s">
        <v>851</v>
      </c>
      <c r="X60" s="283" t="str">
        <f ca="1">IF(AND(OR(L60="AA",L60="L"),OR(S60="Penata Muda Tk. I Golongan III/b",S60="Penata Golongan III/c"),DATEDIF(Q60,TODAY(),"m")&gt;=23,ISBLANK(Z60),C60="Aktif"),"Nominasi Serdos","-")</f>
        <v>-</v>
      </c>
      <c r="Y60" s="281"/>
      <c r="Z60" s="282" t="s">
        <v>852</v>
      </c>
      <c r="AA60" s="281">
        <v>25104105709756</v>
      </c>
      <c r="AB60" s="281" t="s">
        <v>1125</v>
      </c>
      <c r="AC60" s="285">
        <v>45917</v>
      </c>
      <c r="AD60" s="281" t="s">
        <v>30</v>
      </c>
      <c r="AE60" s="281" t="s">
        <v>30</v>
      </c>
      <c r="AF60" s="281" t="s">
        <v>30</v>
      </c>
      <c r="AG60" s="281" t="s">
        <v>30</v>
      </c>
      <c r="AH60" s="281" t="s">
        <v>854</v>
      </c>
      <c r="AI60" s="281" t="s">
        <v>30</v>
      </c>
      <c r="AJ60" s="281" t="s">
        <v>30</v>
      </c>
      <c r="AK60" s="281" t="s">
        <v>30</v>
      </c>
      <c r="AM60" s="286">
        <v>44627</v>
      </c>
      <c r="AN60" s="287" t="str">
        <f ca="1">DATEDIF(AM60,TODAY(),"y")&amp;" tahun "&amp;DATEDIF(AM60,TODAY(),"ym")&amp;" bulan "</f>
        <v xml:space="preserve">3 tahun 10 bulan </v>
      </c>
      <c r="AO60" s="281" t="s">
        <v>858</v>
      </c>
      <c r="AP60" s="281" t="s">
        <v>914</v>
      </c>
      <c r="AQ60" s="281" t="s">
        <v>1126</v>
      </c>
      <c r="AR60" s="305" t="s">
        <v>194</v>
      </c>
      <c r="AS60" s="281">
        <v>81216473232</v>
      </c>
      <c r="AT60" s="281" t="s">
        <v>195</v>
      </c>
      <c r="AU60" s="281" t="s">
        <v>30</v>
      </c>
      <c r="AV60" s="281"/>
      <c r="AW60" s="281" t="str">
        <f>VLOOKUP(B60,Sheet2!A74:I191,9,FALSE)</f>
        <v>Achmad Muzakki, S.Kom., M.Kom.</v>
      </c>
      <c r="AX60" s="281" t="s">
        <v>861</v>
      </c>
      <c r="AY60" s="281" t="str">
        <f>VLOOKUP(B60,Sheet2!A74:C191,2,FALSE)</f>
        <v>Surabaya</v>
      </c>
      <c r="AZ60" s="288">
        <f>VLOOKUP(B60,Sheet2!A74:C191,3,FALSE)</f>
        <v>31195</v>
      </c>
      <c r="BA60" s="281">
        <f ca="1">DATEDIF(AZ60, TODAY(),"y")</f>
        <v>40</v>
      </c>
      <c r="BB60" s="281"/>
      <c r="BC60" s="281"/>
      <c r="BD60" s="281"/>
      <c r="BE60" s="281"/>
      <c r="BF60" s="289"/>
      <c r="BG60" s="289"/>
      <c r="BH60" s="289"/>
      <c r="BI60" s="289"/>
      <c r="BJ60" s="289"/>
      <c r="BK60" s="289"/>
      <c r="BL60" s="288" t="str">
        <f>VLOOKUP(B60,Sheet2!A74:D191,4,FALSE)</f>
        <v>Dosen</v>
      </c>
      <c r="BM60" s="281"/>
      <c r="BN60" s="286"/>
      <c r="BO60" s="281"/>
      <c r="BP60" s="281"/>
      <c r="BQ60" s="281"/>
      <c r="BR60" s="288" t="str">
        <f>VLOOKUP(B60,Sheet2!A74:E191,5,FALSE)</f>
        <v>Software Engineering and Algorithm (SEAL)</v>
      </c>
      <c r="BS60" s="288" t="str">
        <f>VLOOKUP(B60,Sheet2!A74:F191,6,FALSE)</f>
        <v>ZAC</v>
      </c>
      <c r="BT60" s="288" t="str">
        <f>VLOOKUP(B60,Sheet2!A74:G191,7,FALSE)</f>
        <v>Fakultas Informatika</v>
      </c>
      <c r="BU60" s="288" t="str">
        <f>VLOOKUP(B60,Sheet2!A74:H191,8,FALSE)</f>
        <v>achmadmuzakki@telkomuniversity.ac.id</v>
      </c>
      <c r="BV60" s="280">
        <f>COUNTIFS('Join TPA Dosen'!B:B,Dosen!B74)</f>
        <v>1</v>
      </c>
      <c r="BW60" s="273" t="str">
        <f>DATEDIF(AM60,DATE(2026,1,1),"y")&amp;" tahun "&amp;DATEDIF(AM60,DATE(2026,1,1),"ym")&amp;" bulan "</f>
        <v xml:space="preserve">3 tahun 9 bulan </v>
      </c>
      <c r="BX60" s="280" t="str">
        <f>VLOOKUP($B60,Sheet1!$A:$G,2,FALSE)</f>
        <v>ITS</v>
      </c>
      <c r="BY60" s="280" t="str">
        <f>VLOOKUP($B60,Sheet1!$A:$G,3,FALSE)</f>
        <v>Sistem Informasi</v>
      </c>
      <c r="BZ60" s="280" t="str">
        <f>VLOOKUP($B60,Sheet1!$A:$G,4,FALSE)</f>
        <v>ITS</v>
      </c>
      <c r="CA60" s="280" t="str">
        <f>VLOOKUP($B60,Sheet1!$A:$G,5,FALSE)</f>
        <v>Teknik Informatika</v>
      </c>
      <c r="CB60" s="280" t="str">
        <f>VLOOKUP($B60,Sheet1!$A:$G,6,FALSE)</f>
        <v>-</v>
      </c>
      <c r="CC60" s="280">
        <f>VLOOKUP($B60,Sheet1!$A:$G,7,FALSE)</f>
        <v>0</v>
      </c>
      <c r="CD60" s="280" t="s">
        <v>862</v>
      </c>
      <c r="CE60" s="280" t="s">
        <v>863</v>
      </c>
      <c r="CF60" s="336">
        <v>45839</v>
      </c>
    </row>
    <row r="61" spans="1:84" ht="19.5">
      <c r="A61" s="281">
        <v>74</v>
      </c>
      <c r="B61" s="281" t="s">
        <v>386</v>
      </c>
      <c r="C61" s="281" t="s">
        <v>20</v>
      </c>
      <c r="D61" s="281" t="s">
        <v>370</v>
      </c>
      <c r="E61" s="281">
        <v>22960010</v>
      </c>
      <c r="F61" s="281" t="s">
        <v>1127</v>
      </c>
      <c r="G61" s="282" t="s">
        <v>387</v>
      </c>
      <c r="H61" s="291" t="s">
        <v>884</v>
      </c>
      <c r="I61" s="281" t="s">
        <v>30</v>
      </c>
      <c r="J61" s="281" t="s">
        <v>176</v>
      </c>
      <c r="K61" s="281" t="s">
        <v>846</v>
      </c>
      <c r="L61" s="281" t="s">
        <v>847</v>
      </c>
      <c r="M61" s="283" t="str">
        <f>IF(L61="NJAD","AA",IF(L61="AA","L",IF(L61="L","LK","GB")))</f>
        <v>L</v>
      </c>
      <c r="N61" s="282" t="s">
        <v>511</v>
      </c>
      <c r="O61" s="281">
        <v>150</v>
      </c>
      <c r="P61" s="281" t="s">
        <v>1128</v>
      </c>
      <c r="Q61" s="284">
        <v>45444</v>
      </c>
      <c r="R61" s="281" t="str">
        <f ca="1">DATEDIF(Q61,TODAY(), "Y") &amp; " Tahun " &amp; DATEDIF(Q61, TODAY(), "YM") &amp; " Bulan"</f>
        <v>1 Tahun 7 Bulan</v>
      </c>
      <c r="S61" s="281" t="s">
        <v>849</v>
      </c>
      <c r="T61" s="285">
        <v>45717</v>
      </c>
      <c r="U61" s="281" t="str">
        <f ca="1">DATEDIF(T61,TODAY(), "Y") &amp; " Tahun " &amp; DATEDIF(T61, TODAY(), "YM") &amp; " Bulan"</f>
        <v>0 Tahun 10 Bulan</v>
      </c>
      <c r="V61" s="281" t="s">
        <v>966</v>
      </c>
      <c r="W61" s="281" t="s">
        <v>851</v>
      </c>
      <c r="X61" s="283" t="str">
        <f ca="1">IF(AND(OR(L61="AA",L61="L"),OR(S61="Penata Muda Tk. I Golongan III/b",S61="Penata Golongan III/c"),DATEDIF(Q61,TODAY(),"m")&gt;=23,ISBLANK(Z61),C61="Aktif"),"Nominasi Serdos","-")</f>
        <v>-</v>
      </c>
      <c r="Y61" s="281"/>
      <c r="Z61" s="282"/>
      <c r="AA61" s="281"/>
      <c r="AB61" s="281" t="s">
        <v>30</v>
      </c>
      <c r="AC61" s="282" t="s">
        <v>511</v>
      </c>
      <c r="AD61" s="281" t="s">
        <v>30</v>
      </c>
      <c r="AE61" s="281" t="s">
        <v>30</v>
      </c>
      <c r="AF61" s="281" t="s">
        <v>30</v>
      </c>
      <c r="AG61" s="281" t="s">
        <v>30</v>
      </c>
      <c r="AH61" s="281" t="s">
        <v>854</v>
      </c>
      <c r="AI61" s="281" t="s">
        <v>30</v>
      </c>
      <c r="AJ61" s="281" t="s">
        <v>30</v>
      </c>
      <c r="AK61" s="281" t="s">
        <v>30</v>
      </c>
      <c r="AM61" s="286">
        <v>44627</v>
      </c>
      <c r="AN61" s="287" t="str">
        <f ca="1">DATEDIF(AM61,TODAY(),"y")&amp;" tahun "&amp;DATEDIF(AM61,TODAY(),"ym")&amp;" bulan "</f>
        <v xml:space="preserve">3 tahun 10 bulan </v>
      </c>
      <c r="AO61" s="281" t="s">
        <v>868</v>
      </c>
      <c r="AP61" s="281" t="s">
        <v>968</v>
      </c>
      <c r="AQ61" s="281" t="s">
        <v>1129</v>
      </c>
      <c r="AR61" s="305" t="s">
        <v>388</v>
      </c>
      <c r="AS61" s="281">
        <v>82213601320</v>
      </c>
      <c r="AT61" s="281" t="s">
        <v>389</v>
      </c>
      <c r="AU61" s="281" t="s">
        <v>30</v>
      </c>
      <c r="AV61" s="281"/>
      <c r="AW61" s="281" t="str">
        <f>VLOOKUP(B61,Sheet2!A75:I192,9,FALSE)</f>
        <v>Silvi Istiqomah, S.T., M.T.</v>
      </c>
      <c r="AX61" s="281" t="s">
        <v>902</v>
      </c>
      <c r="AY61" s="281" t="str">
        <f>VLOOKUP(B61,Sheet2!A75:C192,2,FALSE)</f>
        <v>Sidoarjo</v>
      </c>
      <c r="AZ61" s="288">
        <f>VLOOKUP(B61,Sheet2!A75:C192,3,FALSE)</f>
        <v>35392</v>
      </c>
      <c r="BA61" s="281">
        <f ca="1">DATEDIF(AZ61, TODAY(),"y")</f>
        <v>29</v>
      </c>
      <c r="BB61" s="281"/>
      <c r="BC61" s="281"/>
      <c r="BD61" s="281"/>
      <c r="BE61" s="281"/>
      <c r="BF61" s="289"/>
      <c r="BG61" s="289"/>
      <c r="BH61" s="289"/>
      <c r="BI61" s="289"/>
      <c r="BJ61" s="289"/>
      <c r="BK61" s="289"/>
      <c r="BL61" s="288" t="str">
        <f>VLOOKUP(B61,Sheet2!A75:D192,4,FALSE)</f>
        <v>Dosen</v>
      </c>
      <c r="BM61" s="281"/>
      <c r="BN61" s="286"/>
      <c r="BO61" s="281"/>
      <c r="BP61" s="281"/>
      <c r="BQ61" s="281"/>
      <c r="BR61" s="288" t="str">
        <f>VLOOKUP(B61,Sheet2!A75:E192,5,FALSE)</f>
        <v>Enterprise and Industrial System (EINS)</v>
      </c>
      <c r="BS61" s="288" t="str">
        <f>VLOOKUP(B61,Sheet2!A75:F192,6,FALSE)</f>
        <v>CEO</v>
      </c>
      <c r="BT61" s="288" t="str">
        <f>VLOOKUP(B61,Sheet2!A75:G192,7,FALSE)</f>
        <v>Fakultas Rekayasa Industri</v>
      </c>
      <c r="BU61" s="288" t="str">
        <f>VLOOKUP(B61,Sheet2!A75:H192,8,FALSE)</f>
        <v>silviistiqomah@telkomuniversity.ac.id</v>
      </c>
      <c r="BV61" s="280">
        <f>COUNTIFS('Join TPA Dosen'!B:B,Dosen!B75)</f>
        <v>1</v>
      </c>
      <c r="BW61" s="273" t="str">
        <f>DATEDIF(AM61,DATE(2026,1,1),"y")&amp;" tahun "&amp;DATEDIF(AM61,DATE(2026,1,1),"ym")&amp;" bulan "</f>
        <v xml:space="preserve">3 tahun 9 bulan </v>
      </c>
      <c r="BX61" s="280" t="str">
        <f>VLOOKUP($B61,Sheet1!$A:$G,2,FALSE)</f>
        <v>UNS</v>
      </c>
      <c r="BY61" s="280" t="str">
        <f>VLOOKUP($B61,Sheet1!$A:$G,3,FALSE)</f>
        <v>Teknik Industri</v>
      </c>
      <c r="BZ61" s="280" t="str">
        <f>VLOOKUP($B61,Sheet1!$A:$G,4,FALSE)</f>
        <v>UNS</v>
      </c>
      <c r="CA61" s="280" t="str">
        <f>VLOOKUP($B61,Sheet1!$A:$G,5,FALSE)</f>
        <v>Teknik Industri</v>
      </c>
      <c r="CB61" s="280" t="str">
        <f>VLOOKUP($B61,Sheet1!$A:$G,6,FALSE)</f>
        <v>-</v>
      </c>
      <c r="CC61" s="280">
        <f>VLOOKUP($B61,Sheet1!$A:$G,7,FALSE)</f>
        <v>0</v>
      </c>
      <c r="CD61" s="280" t="s">
        <v>871</v>
      </c>
      <c r="CE61" s="280" t="s">
        <v>863</v>
      </c>
    </row>
    <row r="62" spans="1:84" ht="19.5">
      <c r="A62" s="281">
        <v>75</v>
      </c>
      <c r="B62" s="281" t="s">
        <v>28</v>
      </c>
      <c r="C62" s="281" t="s">
        <v>20</v>
      </c>
      <c r="D62" s="281" t="s">
        <v>22</v>
      </c>
      <c r="E62" s="281">
        <v>22920004</v>
      </c>
      <c r="F62" s="281" t="s">
        <v>1130</v>
      </c>
      <c r="G62" s="282" t="s">
        <v>29</v>
      </c>
      <c r="H62" s="291" t="s">
        <v>884</v>
      </c>
      <c r="I62" s="281" t="s">
        <v>30</v>
      </c>
      <c r="J62" s="281" t="s">
        <v>31</v>
      </c>
      <c r="K62" s="281" t="s">
        <v>846</v>
      </c>
      <c r="L62" s="281" t="s">
        <v>847</v>
      </c>
      <c r="M62" s="283" t="str">
        <f>IF(L62="NJAD","AA",IF(L62="AA","L",IF(L62="L","LK","GB")))</f>
        <v>L</v>
      </c>
      <c r="N62" s="292" t="s">
        <v>1131</v>
      </c>
      <c r="O62" s="281">
        <v>150</v>
      </c>
      <c r="P62" s="281" t="s">
        <v>1132</v>
      </c>
      <c r="Q62" s="284">
        <v>44105</v>
      </c>
      <c r="R62" s="281" t="str">
        <f ca="1">DATEDIF(Q62,TODAY(), "Y") &amp; " Tahun " &amp; DATEDIF(Q62, TODAY(), "YM") &amp; " Bulan"</f>
        <v>5 Tahun 3 Bulan</v>
      </c>
      <c r="S62" s="281" t="s">
        <v>849</v>
      </c>
      <c r="T62" s="285">
        <v>44197</v>
      </c>
      <c r="U62" s="281" t="str">
        <f ca="1">DATEDIF(T62,TODAY(), "Y") &amp; " Tahun " &amp; DATEDIF(T62, TODAY(), "YM") &amp; " Bulan"</f>
        <v>5 Tahun 0 Bulan</v>
      </c>
      <c r="V62" s="281" t="s">
        <v>850</v>
      </c>
      <c r="W62" s="281" t="s">
        <v>851</v>
      </c>
      <c r="X62" s="283" t="str">
        <f ca="1">IF(AND(OR(L62="AA",L62="L"),OR(S62="Penata Muda Tk. I Golongan III/b",S62="Penata Golongan III/c"),DATEDIF(Q62,TODAY(),"m")&gt;=23,ISBLANK(Z62),C62="Aktif"),"Nominasi Serdos","-")</f>
        <v>-</v>
      </c>
      <c r="Y62" s="281"/>
      <c r="Z62" s="281" t="s">
        <v>852</v>
      </c>
      <c r="AA62" s="290">
        <v>24107201902254</v>
      </c>
      <c r="AB62" s="281" t="s">
        <v>1133</v>
      </c>
      <c r="AC62" s="285">
        <v>45351</v>
      </c>
      <c r="AD62" s="281" t="s">
        <v>30</v>
      </c>
      <c r="AE62" s="281" t="s">
        <v>30</v>
      </c>
      <c r="AF62" s="281" t="s">
        <v>30</v>
      </c>
      <c r="AG62" s="281" t="s">
        <v>30</v>
      </c>
      <c r="AH62" s="281" t="s">
        <v>854</v>
      </c>
      <c r="AI62" s="293" t="s">
        <v>855</v>
      </c>
      <c r="AJ62" s="293" t="s">
        <v>897</v>
      </c>
      <c r="AK62" s="281" t="s">
        <v>898</v>
      </c>
      <c r="AL62" s="293" t="s">
        <v>899</v>
      </c>
      <c r="AM62" s="286">
        <v>44627</v>
      </c>
      <c r="AN62" s="287" t="str">
        <f ca="1">DATEDIF(AM62,TODAY(),"y")&amp;" tahun "&amp;DATEDIF(AM62,TODAY(),"ym")&amp;" bulan "</f>
        <v xml:space="preserve">3 tahun 10 bulan </v>
      </c>
      <c r="AO62" s="281" t="s">
        <v>858</v>
      </c>
      <c r="AP62" s="281" t="s">
        <v>859</v>
      </c>
      <c r="AQ62" s="281" t="s">
        <v>1134</v>
      </c>
      <c r="AR62" s="281" t="s">
        <v>32</v>
      </c>
      <c r="AS62" s="281">
        <v>82122074533</v>
      </c>
      <c r="AT62" s="281" t="s">
        <v>33</v>
      </c>
      <c r="AU62" s="281" t="s">
        <v>30</v>
      </c>
      <c r="AV62" s="281"/>
      <c r="AW62" s="281" t="str">
        <f>VLOOKUP(B62,Sheet2!A76:I193,9,FALSE)</f>
        <v>Darlin Aulia, S. E., M.S.Ak.</v>
      </c>
      <c r="AX62" s="281" t="s">
        <v>861</v>
      </c>
      <c r="AY62" s="281" t="str">
        <f>VLOOKUP(B62,Sheet2!A76:C193,2,FALSE)</f>
        <v>Jember</v>
      </c>
      <c r="AZ62" s="288">
        <f>VLOOKUP(B62,Sheet2!A76:C193,3,FALSE)</f>
        <v>33764</v>
      </c>
      <c r="BA62" s="281">
        <f ca="1">DATEDIF(AZ62, TODAY(),"y")</f>
        <v>33</v>
      </c>
      <c r="BB62" s="281"/>
      <c r="BC62" s="281"/>
      <c r="BD62" s="281"/>
      <c r="BE62" s="281"/>
      <c r="BF62" s="289"/>
      <c r="BG62" s="289"/>
      <c r="BH62" s="289"/>
      <c r="BI62" s="289"/>
      <c r="BJ62" s="289"/>
      <c r="BK62" s="289"/>
      <c r="BL62" s="288" t="str">
        <f>VLOOKUP(B62,Sheet2!A76:D193,4,FALSE)</f>
        <v>Dosen</v>
      </c>
      <c r="BM62" s="281"/>
      <c r="BN62" s="281"/>
      <c r="BO62" s="281"/>
      <c r="BP62" s="281"/>
      <c r="BQ62" s="281"/>
      <c r="BR62" s="288" t="str">
        <f>VLOOKUP(B62,Sheet2!A76:E193,5,FALSE)</f>
        <v>Finance and Accounting Studies (FAS)</v>
      </c>
      <c r="BS62" s="288" t="str">
        <f>VLOOKUP(B62,Sheet2!A76:F193,6,FALSE)</f>
        <v>DAQ</v>
      </c>
      <c r="BT62" s="288" t="str">
        <f>VLOOKUP(B62,Sheet2!A76:G193,7,FALSE)</f>
        <v>Fakultas Ekonomi dan Bisnis</v>
      </c>
      <c r="BU62" s="288" t="str">
        <f>VLOOKUP(B62,Sheet2!A76:H193,8,FALSE)</f>
        <v>darlinaulia@telkomuniversity.ac.id</v>
      </c>
      <c r="BV62" s="280">
        <f>COUNTIFS('Join TPA Dosen'!B:B,Dosen!B17)</f>
        <v>1</v>
      </c>
      <c r="BW62" s="273" t="str">
        <f>DATEDIF(AM62,DATE(2026,1,1),"y")&amp;" tahun "&amp;DATEDIF(AM62,DATE(2026,1,1),"ym")&amp;" bulan "</f>
        <v xml:space="preserve">3 tahun 9 bulan </v>
      </c>
      <c r="BX62" s="280" t="str">
        <f>VLOOKUP($B62,Sheet1!$A:$G,2,FALSE)</f>
        <v>UNEJ</v>
      </c>
      <c r="BY62" s="280" t="str">
        <f>VLOOKUP($B62,Sheet1!$A:$G,3,FALSE)</f>
        <v>Ekonomi/Akuntansi</v>
      </c>
      <c r="BZ62" s="280" t="str">
        <f>VLOOKUP($B62,Sheet1!$A:$G,4,FALSE)</f>
        <v>UI</v>
      </c>
      <c r="CA62" s="280" t="str">
        <f>VLOOKUP($B62,Sheet1!$A:$G,5,FALSE)</f>
        <v>Ekonomi dan Bisnis/Ilmu Akuntansi</v>
      </c>
      <c r="CB62" s="280" t="str">
        <f>VLOOKUP($B62,Sheet1!$A:$G,6,FALSE)</f>
        <v>UNAIR</v>
      </c>
      <c r="CC62" s="280" t="str">
        <f>VLOOKUP($B62,Sheet1!$A:$G,7,FALSE)</f>
        <v>Ilmu Akuntansi</v>
      </c>
      <c r="CD62" s="280" t="s">
        <v>871</v>
      </c>
      <c r="CE62" s="280" t="s">
        <v>863</v>
      </c>
    </row>
    <row r="63" spans="1:84" ht="19.5">
      <c r="A63" s="281">
        <v>78</v>
      </c>
      <c r="B63" s="281" t="s">
        <v>60</v>
      </c>
      <c r="C63" s="281" t="s">
        <v>20</v>
      </c>
      <c r="D63" s="281" t="s">
        <v>22</v>
      </c>
      <c r="E63" s="281">
        <v>15720039</v>
      </c>
      <c r="F63" s="294" t="s">
        <v>61</v>
      </c>
      <c r="G63" s="294" t="s">
        <v>62</v>
      </c>
      <c r="H63" s="281" t="s">
        <v>989</v>
      </c>
      <c r="I63" s="281" t="s">
        <v>30</v>
      </c>
      <c r="J63" s="281" t="s">
        <v>63</v>
      </c>
      <c r="K63" s="281" t="s">
        <v>846</v>
      </c>
      <c r="L63" s="281" t="s">
        <v>847</v>
      </c>
      <c r="M63" s="283" t="str">
        <f>IF(L63="NJAD","AA",IF(L63="AA","L",IF(L63="L","LK","GB")))</f>
        <v>L</v>
      </c>
      <c r="N63" s="282" t="s">
        <v>511</v>
      </c>
      <c r="O63" s="281">
        <v>150</v>
      </c>
      <c r="P63" s="281" t="s">
        <v>1135</v>
      </c>
      <c r="Q63" s="284">
        <v>45962</v>
      </c>
      <c r="R63" s="281" t="str">
        <f ca="1">DATEDIF(Q63,TODAY(), "Y") &amp; " Tahun " &amp; DATEDIF(Q63, TODAY(), "YM") &amp; " Bulan"</f>
        <v>0 Tahun 2 Bulan</v>
      </c>
      <c r="S63" s="281" t="s">
        <v>849</v>
      </c>
      <c r="T63" s="285">
        <v>46023</v>
      </c>
      <c r="U63" s="281" t="str">
        <f ca="1">DATEDIF(T63,TODAY(), "Y") &amp; " Tahun " &amp; DATEDIF(T63, TODAY(), "YM") &amp; " Bulan"</f>
        <v>0 Tahun 0 Bulan</v>
      </c>
      <c r="V63" s="281" t="s">
        <v>1136</v>
      </c>
      <c r="W63" s="281" t="s">
        <v>851</v>
      </c>
      <c r="X63" s="283" t="str">
        <f ca="1">IF(AND(OR(L63="AA",L63="L"),OR(S63="Penata Muda Tk. I Golongan III/b",S63="Penata Golongan III/c"),DATEDIF(Q63,TODAY(),"m")&gt;=23,ISBLANK(Z63),C63="Aktif"),"Nominasi Serdos","-")</f>
        <v>-</v>
      </c>
      <c r="Y63" s="281"/>
      <c r="Z63" s="282"/>
      <c r="AA63" s="281"/>
      <c r="AB63" s="281" t="s">
        <v>30</v>
      </c>
      <c r="AC63" s="281" t="s">
        <v>30</v>
      </c>
      <c r="AD63" s="281" t="s">
        <v>30</v>
      </c>
      <c r="AE63" s="281" t="s">
        <v>30</v>
      </c>
      <c r="AF63" s="281" t="s">
        <v>30</v>
      </c>
      <c r="AG63" s="281" t="s">
        <v>30</v>
      </c>
      <c r="AH63" s="281" t="s">
        <v>854</v>
      </c>
      <c r="AI63" s="281" t="s">
        <v>30</v>
      </c>
      <c r="AJ63" s="281" t="s">
        <v>30</v>
      </c>
      <c r="AK63" s="281" t="s">
        <v>30</v>
      </c>
      <c r="AM63" s="286">
        <v>44562</v>
      </c>
      <c r="AN63" s="287" t="str">
        <f ca="1">DATEDIF(AM63,TODAY(),"y")&amp;" tahun "&amp;DATEDIF(AM63,TODAY(),"ym")&amp;" bulan "</f>
        <v xml:space="preserve">4 tahun 0 bulan </v>
      </c>
      <c r="AO63" s="281" t="s">
        <v>858</v>
      </c>
      <c r="AP63" s="281" t="s">
        <v>859</v>
      </c>
      <c r="AQ63" s="281" t="s">
        <v>1137</v>
      </c>
      <c r="AR63" s="281" t="s">
        <v>64</v>
      </c>
      <c r="AS63" s="281">
        <v>81334395366</v>
      </c>
      <c r="AT63" s="281" t="s">
        <v>65</v>
      </c>
      <c r="AU63" s="281"/>
      <c r="AV63" s="281"/>
      <c r="AW63" s="281" t="str">
        <f>VLOOKUP(B63,Sheet2!A79:I196,9,FALSE)</f>
        <v>Agoes Windarto, S.T., M.M.</v>
      </c>
      <c r="AX63" s="281" t="s">
        <v>861</v>
      </c>
      <c r="AY63" s="281" t="str">
        <f>VLOOKUP(B63,Sheet2!A79:C196,2,FALSE)</f>
        <v>Cilacap</v>
      </c>
      <c r="AZ63" s="288">
        <f>VLOOKUP(B63,Sheet2!A79:C196,3,FALSE)</f>
        <v>26517</v>
      </c>
      <c r="BA63" s="281">
        <f ca="1">DATEDIF(AZ63, TODAY(),"y")</f>
        <v>53</v>
      </c>
      <c r="BB63" s="281"/>
      <c r="BC63" s="281"/>
      <c r="BD63" s="281"/>
      <c r="BE63" s="281"/>
      <c r="BF63" s="289"/>
      <c r="BG63" s="289"/>
      <c r="BH63" s="289"/>
      <c r="BI63" s="289"/>
      <c r="BJ63" s="289"/>
      <c r="BK63" s="289"/>
      <c r="BL63" s="288" t="s">
        <v>1138</v>
      </c>
      <c r="BM63" s="281"/>
      <c r="BN63" s="286"/>
      <c r="BO63" s="281"/>
      <c r="BP63" s="281"/>
      <c r="BQ63" s="281"/>
      <c r="BR63" s="288" t="str">
        <f>VLOOKUP(B63,Sheet2!A79:E196,5,FALSE)</f>
        <v>Strategy, Human, Entrepreneurship &amp; Economy (SHEE)</v>
      </c>
      <c r="BS63" s="288" t="str">
        <f>VLOOKUP(B63,Sheet2!A79:F196,6,FALSE)</f>
        <v>AWX</v>
      </c>
      <c r="BT63" s="288" t="str">
        <f>VLOOKUP(B63,Sheet2!A79:G196,7,FALSE)</f>
        <v>Fakultas Ekonomi dan Bisnis</v>
      </c>
      <c r="BU63" s="288" t="str">
        <f>VLOOKUP(B63,Sheet2!A79:H196,8,FALSE)</f>
        <v>agoeswindarto@telkomuniversity.ac.id</v>
      </c>
      <c r="BV63" s="280">
        <f>COUNTIFS('Join TPA Dosen'!B:B,Dosen!B79)</f>
        <v>1</v>
      </c>
      <c r="BW63" s="273" t="str">
        <f>DATEDIF(AM63,DATE(2026,1,1),"y")&amp;" tahun "&amp;DATEDIF(AM63,DATE(2026,1,1),"ym")&amp;" bulan "</f>
        <v xml:space="preserve">4 tahun 0 bulan </v>
      </c>
      <c r="BX63" s="280" t="str">
        <f>VLOOKUP($B63,Sheet1!$A:$G,2,FALSE)</f>
        <v>STT Telkom</v>
      </c>
      <c r="BY63" s="280" t="str">
        <f>VLOOKUP($B63,Sheet1!$A:$G,3,FALSE)</f>
        <v>Teknik Elektro/Teknik Telekomunikasi</v>
      </c>
      <c r="BZ63" s="280" t="str">
        <f>VLOOKUP($B63,Sheet1!$A:$G,4,FALSE)</f>
        <v>UMM</v>
      </c>
      <c r="CA63" s="280" t="str">
        <f>VLOOKUP($B63,Sheet1!$A:$G,5,FALSE)</f>
        <v>Manajemen</v>
      </c>
      <c r="CB63" s="280" t="str">
        <f>VLOOKUP($B63,Sheet1!$A:$G,6,FALSE)</f>
        <v>-</v>
      </c>
      <c r="CC63" s="280">
        <f>VLOOKUP($B63,Sheet1!$A:$G,7,FALSE)</f>
        <v>0</v>
      </c>
      <c r="CD63" s="280" t="s">
        <v>871</v>
      </c>
      <c r="CE63" s="280" t="s">
        <v>863</v>
      </c>
    </row>
    <row r="64" spans="1:84" ht="19.5">
      <c r="A64" s="281">
        <v>79</v>
      </c>
      <c r="B64" s="281" t="s">
        <v>282</v>
      </c>
      <c r="C64" s="281" t="s">
        <v>20</v>
      </c>
      <c r="D64" s="281" t="s">
        <v>235</v>
      </c>
      <c r="E64" s="281">
        <v>22940040</v>
      </c>
      <c r="F64" s="281" t="s">
        <v>1139</v>
      </c>
      <c r="G64" s="282" t="s">
        <v>283</v>
      </c>
      <c r="H64" s="291" t="s">
        <v>884</v>
      </c>
      <c r="I64" s="281" t="s">
        <v>30</v>
      </c>
      <c r="J64" s="281" t="s">
        <v>57</v>
      </c>
      <c r="K64" s="281" t="s">
        <v>846</v>
      </c>
      <c r="L64" s="281" t="s">
        <v>847</v>
      </c>
      <c r="M64" s="283" t="str">
        <f>IF(L64="NJAD","AA",IF(L64="AA","L",IF(L64="L","LK","GB")))</f>
        <v>L</v>
      </c>
      <c r="N64" s="281" t="s">
        <v>511</v>
      </c>
      <c r="O64" s="281">
        <v>150</v>
      </c>
      <c r="P64" s="281" t="s">
        <v>30</v>
      </c>
      <c r="Q64" s="284">
        <v>45597</v>
      </c>
      <c r="R64" s="281" t="str">
        <f ca="1">DATEDIF(Q64,TODAY(), "Y") &amp; " Tahun " &amp; DATEDIF(Q64, TODAY(), "YM") &amp; " Bulan"</f>
        <v>1 Tahun 2 Bulan</v>
      </c>
      <c r="S64" s="281" t="s">
        <v>849</v>
      </c>
      <c r="T64" s="285">
        <v>45717</v>
      </c>
      <c r="U64" s="281" t="str">
        <f ca="1">DATEDIF(T64,TODAY(), "Y") &amp; " Tahun " &amp; DATEDIF(T64, TODAY(), "YM") &amp; " Bulan"</f>
        <v>0 Tahun 10 Bulan</v>
      </c>
      <c r="V64" s="281" t="s">
        <v>933</v>
      </c>
      <c r="W64" s="281" t="s">
        <v>851</v>
      </c>
      <c r="X64" s="283" t="str">
        <f ca="1">IF(AND(OR(L64="AA",L64="L"),OR(S64="Penata Muda Tk. I Golongan III/b",S64="Penata Golongan III/c"),DATEDIF(Q64,TODAY(),"m")&gt;=23,ISBLANK(Z64),C64="Aktif"),"Nominasi Serdos","-")</f>
        <v>-</v>
      </c>
      <c r="Y64" s="281"/>
      <c r="Z64" s="282"/>
      <c r="AA64" s="295"/>
      <c r="AB64" s="281" t="s">
        <v>30</v>
      </c>
      <c r="AC64" s="282" t="s">
        <v>511</v>
      </c>
      <c r="AD64" s="281" t="s">
        <v>30</v>
      </c>
      <c r="AE64" s="281" t="s">
        <v>30</v>
      </c>
      <c r="AF64" s="281" t="s">
        <v>30</v>
      </c>
      <c r="AG64" s="281" t="s">
        <v>30</v>
      </c>
      <c r="AH64" s="281" t="s">
        <v>854</v>
      </c>
      <c r="AI64" s="281" t="s">
        <v>30</v>
      </c>
      <c r="AJ64" s="281" t="s">
        <v>30</v>
      </c>
      <c r="AK64" s="281" t="s">
        <v>30</v>
      </c>
      <c r="AM64" s="286">
        <v>44832</v>
      </c>
      <c r="AN64" s="287" t="str">
        <f ca="1">DATEDIF(AM64,TODAY(),"y")&amp;" tahun "&amp;DATEDIF(AM64,TODAY(),"ym")&amp;" bulan "</f>
        <v xml:space="preserve">3 tahun 3 bulan </v>
      </c>
      <c r="AO64" s="281" t="s">
        <v>858</v>
      </c>
      <c r="AP64" s="281" t="s">
        <v>934</v>
      </c>
      <c r="AQ64" s="281" t="s">
        <v>1140</v>
      </c>
      <c r="AR64" s="281" t="s">
        <v>284</v>
      </c>
      <c r="AS64" s="281">
        <v>82229846221</v>
      </c>
      <c r="AT64" s="281" t="s">
        <v>285</v>
      </c>
      <c r="AU64" s="281" t="s">
        <v>30</v>
      </c>
      <c r="AV64" s="281"/>
      <c r="AW64" s="281" t="str">
        <f>VLOOKUP(B64,Sheet2!A80:I197,9,FALSE)</f>
        <v>Adzanil Rachmadhi Putra, S.Kom., M.Kom.</v>
      </c>
      <c r="AX64" s="281" t="s">
        <v>861</v>
      </c>
      <c r="AY64" s="281" t="str">
        <f>VLOOKUP(B64,Sheet2!A80:C197,2,FALSE)</f>
        <v>Malang</v>
      </c>
      <c r="AZ64" s="288">
        <f>VLOOKUP(B64,Sheet2!A80:C197,3,FALSE)</f>
        <v>34556</v>
      </c>
      <c r="BA64" s="281">
        <f ca="1">DATEDIF(AZ64, TODAY(),"y")</f>
        <v>31</v>
      </c>
      <c r="BB64" s="281"/>
      <c r="BC64" s="281"/>
      <c r="BD64" s="281"/>
      <c r="BE64" s="281"/>
      <c r="BF64" s="289"/>
      <c r="BG64" s="289"/>
      <c r="BH64" s="289"/>
      <c r="BI64" s="289"/>
      <c r="BJ64" s="289"/>
      <c r="BK64" s="289"/>
      <c r="BL64" s="288" t="str">
        <f>VLOOKUP(B64,Sheet2!A80:D197,4,FALSE)</f>
        <v>Dosen</v>
      </c>
      <c r="BM64" s="281"/>
      <c r="BN64" s="281"/>
      <c r="BO64" s="281"/>
      <c r="BP64" s="281"/>
      <c r="BQ64" s="281"/>
      <c r="BR64" s="288" t="str">
        <f>VLOOKUP(B64,Sheet2!A80:E197,5,FALSE)</f>
        <v>Cybernetics</v>
      </c>
      <c r="BS64" s="288" t="str">
        <f>VLOOKUP(B64,Sheet2!A80:F197,6,FALSE)</f>
        <v>ARX</v>
      </c>
      <c r="BT64" s="288" t="str">
        <f>VLOOKUP(B64,Sheet2!A80:G197,7,FALSE)</f>
        <v>Fakultas Rekayasa Industri</v>
      </c>
      <c r="BU64" s="288" t="str">
        <f>VLOOKUP(B64,Sheet2!A80:H197,8,FALSE)</f>
        <v>adzrachmadhip@telkomuniversity.ac.id</v>
      </c>
      <c r="BV64" s="280">
        <f>COUNTIFS('Join TPA Dosen'!B:B,Dosen!B80)</f>
        <v>1</v>
      </c>
      <c r="BW64" s="273" t="str">
        <f>DATEDIF(AM64,DATE(2026,1,1),"y")&amp;" tahun "&amp;DATEDIF(AM64,DATE(2026,1,1),"ym")&amp;" bulan "</f>
        <v xml:space="preserve">3 tahun 3 bulan </v>
      </c>
      <c r="BX64" s="280" t="str">
        <f>VLOOKUP($B64,Sheet1!$A:$G,2,FALSE)</f>
        <v>UB</v>
      </c>
      <c r="BY64" s="280" t="str">
        <f>VLOOKUP($B64,Sheet1!$A:$G,3,FALSE)</f>
        <v>Sistem Informasi</v>
      </c>
      <c r="BZ64" s="280" t="str">
        <f>VLOOKUP($B64,Sheet1!$A:$G,4,FALSE)</f>
        <v>UB</v>
      </c>
      <c r="CA64" s="280" t="str">
        <f>VLOOKUP($B64,Sheet1!$A:$G,5,FALSE)</f>
        <v>Ilmu Komputer</v>
      </c>
      <c r="CB64" s="280" t="str">
        <f>VLOOKUP($B64,Sheet1!$A:$G,6,FALSE)</f>
        <v>-</v>
      </c>
      <c r="CC64" s="280">
        <f>VLOOKUP($B64,Sheet1!$A:$G,7,FALSE)</f>
        <v>0</v>
      </c>
      <c r="CD64" s="280" t="s">
        <v>862</v>
      </c>
      <c r="CE64" s="280" t="s">
        <v>903</v>
      </c>
    </row>
    <row r="65" spans="1:83" ht="19.5">
      <c r="A65" s="281">
        <v>81</v>
      </c>
      <c r="B65" s="281" t="s">
        <v>290</v>
      </c>
      <c r="C65" s="281" t="s">
        <v>20</v>
      </c>
      <c r="D65" s="281" t="s">
        <v>235</v>
      </c>
      <c r="E65" s="281">
        <v>22960061</v>
      </c>
      <c r="F65" s="281" t="s">
        <v>1141</v>
      </c>
      <c r="G65" s="282" t="s">
        <v>291</v>
      </c>
      <c r="H65" s="291" t="s">
        <v>884</v>
      </c>
      <c r="I65" s="281" t="s">
        <v>30</v>
      </c>
      <c r="J65" s="281" t="s">
        <v>57</v>
      </c>
      <c r="K65" s="281" t="s">
        <v>846</v>
      </c>
      <c r="L65" s="281" t="s">
        <v>847</v>
      </c>
      <c r="M65" s="283" t="str">
        <f>IF(L65="NJAD","AA",IF(L65="AA","L",IF(L65="L","LK","GB")))</f>
        <v>L</v>
      </c>
      <c r="N65" s="292"/>
      <c r="O65" s="281">
        <v>150</v>
      </c>
      <c r="P65" s="281" t="s">
        <v>1142</v>
      </c>
      <c r="Q65" s="284">
        <v>45870</v>
      </c>
      <c r="R65" s="281" t="str">
        <f ca="1">DATEDIF(Q65,TODAY(), "Y") &amp; " Tahun " &amp; DATEDIF(Q65, TODAY(), "YM") &amp; " Bulan"</f>
        <v>0 Tahun 5 Bulan</v>
      </c>
      <c r="S65" s="281" t="s">
        <v>849</v>
      </c>
      <c r="T65" s="285">
        <v>45931</v>
      </c>
      <c r="U65" s="281" t="str">
        <f ca="1">DATEDIF(T65,TODAY(), "Y") &amp; " Tahun " &amp; DATEDIF(T65, TODAY(), "YM") &amp; " Bulan"</f>
        <v>0 Tahun 3 Bulan</v>
      </c>
      <c r="V65" s="281" t="s">
        <v>933</v>
      </c>
      <c r="W65" s="281" t="s">
        <v>851</v>
      </c>
      <c r="X65" s="283" t="str">
        <f ca="1">IF(AND(OR(L65="AA",L65="L"),OR(S65="Penata Muda Tk. I Golongan III/b",S65="Penata Golongan III/c"),DATEDIF(Q65,TODAY(),"m")&gt;=23,ISBLANK(Z65),C65="Aktif"),"Nominasi Serdos","-")</f>
        <v>-</v>
      </c>
      <c r="Y65" s="281"/>
      <c r="Z65" s="282"/>
      <c r="AA65" s="295"/>
      <c r="AB65" s="281" t="s">
        <v>30</v>
      </c>
      <c r="AC65" s="282" t="s">
        <v>511</v>
      </c>
      <c r="AD65" s="281" t="s">
        <v>30</v>
      </c>
      <c r="AE65" s="281" t="s">
        <v>30</v>
      </c>
      <c r="AF65" s="281" t="s">
        <v>30</v>
      </c>
      <c r="AG65" s="281" t="s">
        <v>30</v>
      </c>
      <c r="AH65" s="281" t="s">
        <v>854</v>
      </c>
      <c r="AI65" s="281" t="s">
        <v>30</v>
      </c>
      <c r="AJ65" s="281" t="s">
        <v>30</v>
      </c>
      <c r="AK65" s="281" t="s">
        <v>30</v>
      </c>
      <c r="AM65" s="286">
        <v>44832</v>
      </c>
      <c r="AN65" s="287" t="str">
        <f ca="1">DATEDIF(AM65,TODAY(),"y")&amp;" tahun "&amp;DATEDIF(AM65,TODAY(),"ym")&amp;" bulan "</f>
        <v xml:space="preserve">3 tahun 3 bulan </v>
      </c>
      <c r="AO65" s="281" t="s">
        <v>858</v>
      </c>
      <c r="AP65" s="281" t="s">
        <v>934</v>
      </c>
      <c r="AQ65" s="281" t="s">
        <v>1143</v>
      </c>
      <c r="AR65" s="281" t="s">
        <v>292</v>
      </c>
      <c r="AS65" s="281">
        <v>82140046812</v>
      </c>
      <c r="AT65" s="281" t="s">
        <v>293</v>
      </c>
      <c r="AU65" s="281" t="s">
        <v>30</v>
      </c>
      <c r="AV65" s="281"/>
      <c r="AW65" s="281" t="str">
        <f>VLOOKUP(B65,Sheet2!A82:I199,9,FALSE)</f>
        <v>Alifiansyah Arrizqy Hidayat, S.Kom., M.Kom.</v>
      </c>
      <c r="AX65" s="281" t="s">
        <v>861</v>
      </c>
      <c r="AY65" s="281" t="str">
        <f>VLOOKUP(B65,Sheet2!A82:C199,2,FALSE)</f>
        <v>Jakarta</v>
      </c>
      <c r="AZ65" s="288">
        <f>VLOOKUP(B65,Sheet2!A82:C199,3,FALSE)</f>
        <v>35214</v>
      </c>
      <c r="BA65" s="281">
        <f ca="1">DATEDIF(AZ65, TODAY(),"y")</f>
        <v>29</v>
      </c>
      <c r="BB65" s="281"/>
      <c r="BC65" s="281"/>
      <c r="BD65" s="281"/>
      <c r="BE65" s="281"/>
      <c r="BF65" s="289"/>
      <c r="BG65" s="289"/>
      <c r="BH65" s="289"/>
      <c r="BI65" s="289"/>
      <c r="BJ65" s="289"/>
      <c r="BK65" s="289"/>
      <c r="BL65" s="288" t="str">
        <f>VLOOKUP(B65,Sheet2!A82:D199,4,FALSE)</f>
        <v>Dosen</v>
      </c>
      <c r="BM65" s="281"/>
      <c r="BN65" s="281"/>
      <c r="BO65" s="281"/>
      <c r="BP65" s="281"/>
      <c r="BQ65" s="281"/>
      <c r="BR65" s="288" t="str">
        <f>VLOOKUP(B65,Sheet2!A82:E199,5,FALSE)</f>
        <v>Enterprise and Industrial System (EINS)</v>
      </c>
      <c r="BS65" s="288" t="str">
        <f>VLOOKUP(B65,Sheet2!A82:F199,6,FALSE)</f>
        <v>AQH</v>
      </c>
      <c r="BT65" s="288" t="str">
        <f>VLOOKUP(B65,Sheet2!A82:G199,7,FALSE)</f>
        <v>Fakultas Rekayasa Industri</v>
      </c>
      <c r="BU65" s="288" t="str">
        <f>VLOOKUP(B65,Sheet2!A82:H199,8,FALSE)</f>
        <v>deandrys@telkomuniversity.ac.id</v>
      </c>
      <c r="BV65" s="280">
        <f>COUNTIFS('Join TPA Dosen'!B:B,Dosen!B82)</f>
        <v>1</v>
      </c>
      <c r="BW65" s="273" t="str">
        <f>DATEDIF(AM65,DATE(2026,1,1),"y")&amp;" tahun "&amp;DATEDIF(AM65,DATE(2026,1,1),"ym")&amp;" bulan "</f>
        <v xml:space="preserve">3 tahun 3 bulan </v>
      </c>
      <c r="BX65" s="280" t="str">
        <f>VLOOKUP($B65,Sheet1!$A:$G,2,FALSE)</f>
        <v>ITS</v>
      </c>
      <c r="BY65" s="280" t="str">
        <f>VLOOKUP($B65,Sheet1!$A:$G,3,FALSE)</f>
        <v>Sistem Informasi</v>
      </c>
      <c r="BZ65" s="280" t="str">
        <f>VLOOKUP($B65,Sheet1!$A:$G,4,FALSE)</f>
        <v>ITS</v>
      </c>
      <c r="CA65" s="280" t="str">
        <f>VLOOKUP($B65,Sheet1!$A:$G,5,FALSE)</f>
        <v>Sistem Informasi</v>
      </c>
      <c r="CB65" s="280" t="str">
        <f>VLOOKUP($B65,Sheet1!$A:$G,6,FALSE)</f>
        <v>-</v>
      </c>
      <c r="CC65" s="280">
        <f>VLOOKUP($B65,Sheet1!$A:$G,7,FALSE)</f>
        <v>0</v>
      </c>
      <c r="CD65" s="280" t="s">
        <v>862</v>
      </c>
      <c r="CE65" s="280" t="s">
        <v>863</v>
      </c>
    </row>
    <row r="66" spans="1:83" ht="19.5">
      <c r="A66" s="281">
        <v>82</v>
      </c>
      <c r="B66" s="281" t="s">
        <v>294</v>
      </c>
      <c r="C66" s="281" t="s">
        <v>20</v>
      </c>
      <c r="D66" s="281" t="s">
        <v>235</v>
      </c>
      <c r="E66" s="281">
        <v>22950050</v>
      </c>
      <c r="F66" s="281" t="s">
        <v>1144</v>
      </c>
      <c r="G66" s="282" t="s">
        <v>295</v>
      </c>
      <c r="H66" s="291" t="s">
        <v>884</v>
      </c>
      <c r="I66" s="281" t="s">
        <v>30</v>
      </c>
      <c r="J66" s="281" t="s">
        <v>57</v>
      </c>
      <c r="K66" s="281" t="s">
        <v>846</v>
      </c>
      <c r="L66" s="281" t="s">
        <v>847</v>
      </c>
      <c r="M66" s="283" t="str">
        <f>IF(L66="NJAD","AA",IF(L66="AA","L",IF(L66="L","LK","GB")))</f>
        <v>L</v>
      </c>
      <c r="N66" s="281" t="s">
        <v>511</v>
      </c>
      <c r="O66" s="281">
        <v>150</v>
      </c>
      <c r="P66" s="281" t="s">
        <v>30</v>
      </c>
      <c r="Q66" s="284">
        <v>45597</v>
      </c>
      <c r="R66" s="281" t="str">
        <f ca="1">DATEDIF(Q66,TODAY(), "Y") &amp; " Tahun " &amp; DATEDIF(Q66, TODAY(), "YM") &amp; " Bulan"</f>
        <v>1 Tahun 2 Bulan</v>
      </c>
      <c r="S66" s="281" t="s">
        <v>849</v>
      </c>
      <c r="T66" s="285">
        <v>45717</v>
      </c>
      <c r="U66" s="281" t="str">
        <f ca="1">DATEDIF(T66,TODAY(), "Y") &amp; " Tahun " &amp; DATEDIF(T66, TODAY(), "YM") &amp; " Bulan"</f>
        <v>0 Tahun 10 Bulan</v>
      </c>
      <c r="V66" s="281" t="s">
        <v>933</v>
      </c>
      <c r="W66" s="281" t="s">
        <v>851</v>
      </c>
      <c r="X66" s="283" t="str">
        <f ca="1">IF(AND(OR(L66="AA",L66="L"),OR(S66="Penata Muda Tk. I Golongan III/b",S66="Penata Golongan III/c"),DATEDIF(Q66,TODAY(),"m")&gt;=23,ISBLANK(Z66),C66="Aktif"),"Nominasi Serdos","-")</f>
        <v>-</v>
      </c>
      <c r="Y66" s="281"/>
      <c r="Z66" s="282"/>
      <c r="AA66" s="295"/>
      <c r="AB66" s="281" t="s">
        <v>30</v>
      </c>
      <c r="AC66" s="282" t="s">
        <v>511</v>
      </c>
      <c r="AD66" s="281" t="s">
        <v>30</v>
      </c>
      <c r="AE66" s="281" t="s">
        <v>30</v>
      </c>
      <c r="AF66" s="281" t="s">
        <v>30</v>
      </c>
      <c r="AG66" s="281" t="s">
        <v>30</v>
      </c>
      <c r="AH66" s="281" t="s">
        <v>854</v>
      </c>
      <c r="AI66" s="281" t="s">
        <v>30</v>
      </c>
      <c r="AJ66" s="281" t="s">
        <v>30</v>
      </c>
      <c r="AK66" s="281" t="s">
        <v>30</v>
      </c>
      <c r="AM66" s="286">
        <v>44832</v>
      </c>
      <c r="AN66" s="287" t="str">
        <f ca="1">DATEDIF(AM66,TODAY(),"y")&amp;" tahun "&amp;DATEDIF(AM66,TODAY(),"ym")&amp;" bulan "</f>
        <v xml:space="preserve">3 tahun 3 bulan </v>
      </c>
      <c r="AO66" s="281" t="s">
        <v>858</v>
      </c>
      <c r="AP66" s="281" t="s">
        <v>934</v>
      </c>
      <c r="AQ66" s="281" t="s">
        <v>1145</v>
      </c>
      <c r="AR66" s="281" t="s">
        <v>296</v>
      </c>
      <c r="AS66" s="281">
        <v>81359720852</v>
      </c>
      <c r="AT66" s="281" t="s">
        <v>297</v>
      </c>
      <c r="AU66" s="281" t="s">
        <v>30</v>
      </c>
      <c r="AV66" s="281"/>
      <c r="AW66" s="281" t="str">
        <f>VLOOKUP(B66,Sheet2!A83:I200,9,FALSE)</f>
        <v>Anisa Dzulkarnain, S.Kom., M.Kom.</v>
      </c>
      <c r="AX66" s="281" t="s">
        <v>902</v>
      </c>
      <c r="AY66" s="281" t="str">
        <f>VLOOKUP(B66,Sheet2!A83:C200,2,FALSE)</f>
        <v>Pamekasan</v>
      </c>
      <c r="AZ66" s="288">
        <f>VLOOKUP(B66,Sheet2!A83:C200,3,FALSE)</f>
        <v>34966</v>
      </c>
      <c r="BA66" s="281">
        <f ca="1">DATEDIF(AZ66, TODAY(),"y")</f>
        <v>30</v>
      </c>
      <c r="BB66" s="281"/>
      <c r="BC66" s="281"/>
      <c r="BD66" s="281"/>
      <c r="BE66" s="281"/>
      <c r="BF66" s="289"/>
      <c r="BG66" s="289"/>
      <c r="BH66" s="289"/>
      <c r="BI66" s="289"/>
      <c r="BJ66" s="289"/>
      <c r="BK66" s="289"/>
      <c r="BL66" s="288" t="str">
        <f>VLOOKUP(B66,Sheet2!A83:D200,4,FALSE)</f>
        <v>Dosen</v>
      </c>
      <c r="BM66" s="281"/>
      <c r="BN66" s="281"/>
      <c r="BO66" s="281"/>
      <c r="BP66" s="281"/>
      <c r="BQ66" s="281"/>
      <c r="BR66" s="288" t="str">
        <f>VLOOKUP(B66,Sheet2!A83:E200,5,FALSE)</f>
        <v>Cybernetics</v>
      </c>
      <c r="BS66" s="288" t="str">
        <f>VLOOKUP(B66,Sheet2!A83:F200,6,FALSE)</f>
        <v>AZQ</v>
      </c>
      <c r="BT66" s="288" t="str">
        <f>VLOOKUP(B66,Sheet2!A83:G200,7,FALSE)</f>
        <v>Fakultas Rekayasa Industri</v>
      </c>
      <c r="BU66" s="288" t="str">
        <f>VLOOKUP(B66,Sheet2!A83:H200,8,FALSE)</f>
        <v>anisadzulkarnain@telkomuniversity.ac.id</v>
      </c>
      <c r="BV66" s="280">
        <f>COUNTIFS('Join TPA Dosen'!B:B,Dosen!B83)</f>
        <v>1</v>
      </c>
      <c r="BW66" s="273" t="str">
        <f>DATEDIF(AM66,DATE(2026,1,1),"y")&amp;" tahun "&amp;DATEDIF(AM66,DATE(2026,1,1),"ym")&amp;" bulan "</f>
        <v xml:space="preserve">3 tahun 3 bulan </v>
      </c>
      <c r="BX66" s="280" t="str">
        <f>VLOOKUP($B66,Sheet1!$A:$G,2,FALSE)</f>
        <v>UNEJ</v>
      </c>
      <c r="BY66" s="280" t="str">
        <f>VLOOKUP($B66,Sheet1!$A:$G,3,FALSE)</f>
        <v>Sistem Informasi</v>
      </c>
      <c r="BZ66" s="280" t="str">
        <f>VLOOKUP($B66,Sheet1!$A:$G,4,FALSE)</f>
        <v>ITS</v>
      </c>
      <c r="CA66" s="280" t="str">
        <f>VLOOKUP($B66,Sheet1!$A:$G,5,FALSE)</f>
        <v>Sistem Informasi</v>
      </c>
      <c r="CB66" s="280" t="str">
        <f>VLOOKUP($B66,Sheet1!$A:$G,6,FALSE)</f>
        <v>-</v>
      </c>
      <c r="CC66" s="280">
        <f>VLOOKUP($B66,Sheet1!$A:$G,7,FALSE)</f>
        <v>0</v>
      </c>
      <c r="CD66" s="280" t="s">
        <v>862</v>
      </c>
      <c r="CE66" s="280" t="s">
        <v>903</v>
      </c>
    </row>
    <row r="67" spans="1:83" ht="18.95">
      <c r="A67" s="281">
        <v>80</v>
      </c>
      <c r="B67" s="281" t="s">
        <v>286</v>
      </c>
      <c r="C67" s="281" t="s">
        <v>46</v>
      </c>
      <c r="D67" s="281" t="s">
        <v>235</v>
      </c>
      <c r="E67" s="281">
        <v>22930047</v>
      </c>
      <c r="F67" s="281" t="s">
        <v>1146</v>
      </c>
      <c r="G67" s="282" t="s">
        <v>287</v>
      </c>
      <c r="H67" s="291" t="s">
        <v>884</v>
      </c>
      <c r="I67" s="281" t="s">
        <v>30</v>
      </c>
      <c r="J67" s="281" t="s">
        <v>57</v>
      </c>
      <c r="K67" s="281" t="s">
        <v>917</v>
      </c>
      <c r="L67" s="281" t="s">
        <v>918</v>
      </c>
      <c r="M67" s="283" t="str">
        <f>IF(L67="NJAD","AA",IF(L67="AA","L",IF(L67="L","LK","GB")))</f>
        <v>AA</v>
      </c>
      <c r="N67" s="282" t="s">
        <v>511</v>
      </c>
      <c r="O67" s="281">
        <v>0</v>
      </c>
      <c r="P67" s="281" t="s">
        <v>30</v>
      </c>
      <c r="Q67" s="284">
        <v>44835</v>
      </c>
      <c r="R67" s="281" t="str">
        <f ca="1">DATEDIF(Q67,TODAY(), "Y") &amp; " Tahun " &amp; DATEDIF(Q67, TODAY(), "YM") &amp; " Bulan"</f>
        <v>3 Tahun 3 Bulan</v>
      </c>
      <c r="S67" s="282" t="s">
        <v>511</v>
      </c>
      <c r="T67" s="282" t="s">
        <v>511</v>
      </c>
      <c r="U67" s="281" t="e">
        <f ca="1">DATEDIF(T67,TODAY(), "Y") &amp; " Tahun " &amp; DATEDIF(T67, TODAY(), "YM") &amp; " Bulan"</f>
        <v>#VALUE!</v>
      </c>
      <c r="V67" s="281" t="s">
        <v>933</v>
      </c>
      <c r="W67" s="281" t="s">
        <v>851</v>
      </c>
      <c r="X67" s="283" t="str">
        <f ca="1">IF(AND(OR(L67="AA",L67="L"),OR(S67="Penata Muda Tk. I Golongan III/b",S67="Penata Golongan III/c"),DATEDIF(Q67,TODAY(),"m")&gt;=23,ISBLANK(Z67),C67="Aktif"),"Nominasi Serdos","-")</f>
        <v>-</v>
      </c>
      <c r="Y67" s="281"/>
      <c r="Z67" s="282"/>
      <c r="AA67" s="295"/>
      <c r="AB67" s="281" t="s">
        <v>30</v>
      </c>
      <c r="AC67" s="282" t="s">
        <v>511</v>
      </c>
      <c r="AD67" s="281" t="s">
        <v>30</v>
      </c>
      <c r="AE67" s="281" t="s">
        <v>30</v>
      </c>
      <c r="AF67" s="281" t="s">
        <v>30</v>
      </c>
      <c r="AG67" s="281" t="s">
        <v>30</v>
      </c>
      <c r="AH67" s="281" t="s">
        <v>854</v>
      </c>
      <c r="AI67" s="289" t="s">
        <v>30</v>
      </c>
      <c r="AJ67" s="281" t="s">
        <v>30</v>
      </c>
      <c r="AK67" s="281" t="s">
        <v>30</v>
      </c>
      <c r="AM67" s="286">
        <v>44832</v>
      </c>
      <c r="AN67" s="287" t="str">
        <f ca="1">DATEDIF(AM67,TODAY(),"y")&amp;" tahun "&amp;DATEDIF(AM67,TODAY(),"ym")&amp;" bulan "</f>
        <v xml:space="preserve">3 tahun 3 bulan </v>
      </c>
      <c r="AO67" s="281" t="s">
        <v>858</v>
      </c>
      <c r="AP67" s="281" t="s">
        <v>934</v>
      </c>
      <c r="AQ67" s="281" t="s">
        <v>1147</v>
      </c>
      <c r="AR67" s="281" t="s">
        <v>288</v>
      </c>
      <c r="AS67" s="281">
        <v>81321003564</v>
      </c>
      <c r="AT67" s="281" t="s">
        <v>289</v>
      </c>
      <c r="AU67" s="281" t="s">
        <v>30</v>
      </c>
      <c r="AV67" s="281"/>
      <c r="AW67" s="281" t="str">
        <f>VLOOKUP(B67,Sheet2!A81:I198,9,FALSE)</f>
        <v>Affifiana Prisyanti, S.Kom., M.Kom.</v>
      </c>
      <c r="AX67" s="281" t="s">
        <v>902</v>
      </c>
      <c r="AY67" s="281" t="str">
        <f>VLOOKUP(B67,Sheet2!A81:C198,2,FALSE)</f>
        <v>Jember</v>
      </c>
      <c r="AZ67" s="288">
        <f>VLOOKUP(B67,Sheet2!A81:C198,3,FALSE)</f>
        <v>34188</v>
      </c>
      <c r="BA67" s="281">
        <f ca="1">DATEDIF(AZ67, TODAY(),"y")</f>
        <v>32</v>
      </c>
      <c r="BB67" s="281"/>
      <c r="BC67" s="281"/>
      <c r="BD67" s="281"/>
      <c r="BE67" s="281"/>
      <c r="BF67" s="289"/>
      <c r="BG67" s="289"/>
      <c r="BH67" s="289"/>
      <c r="BI67" s="289"/>
      <c r="BJ67" s="289"/>
      <c r="BK67" s="289"/>
      <c r="BL67" s="288" t="str">
        <f>VLOOKUP(B67,Sheet2!A81:D198,4,FALSE)</f>
        <v>Dosen</v>
      </c>
      <c r="BM67" s="281"/>
      <c r="BN67" s="281"/>
      <c r="BO67" s="281"/>
      <c r="BP67" s="281"/>
      <c r="BQ67" s="281"/>
      <c r="BR67" s="288" t="str">
        <f>VLOOKUP(B67,Sheet2!A81:E198,5,FALSE)</f>
        <v>Enterprise and Industrial System (EINS)</v>
      </c>
      <c r="BS67" s="288" t="str">
        <f>VLOOKUP(B67,Sheet2!A81:F198,6,FALSE)</f>
        <v>APX</v>
      </c>
      <c r="BT67" s="288" t="str">
        <f>VLOOKUP(B67,Sheet2!A81:G198,7,FALSE)</f>
        <v>Fakultas Rekayasa Industri</v>
      </c>
      <c r="BU67" s="288" t="str">
        <f>VLOOKUP(B67,Sheet2!A81:H198,8,FALSE)</f>
        <v>affifiana@telkomuniversity.ac.id</v>
      </c>
      <c r="BV67" s="280">
        <f>COUNTIFS('Join TPA Dosen'!B:B,Dosen!B81)</f>
        <v>1</v>
      </c>
      <c r="BW67" s="273" t="str">
        <f>DATEDIF(AM67,DATE(2026,1,1),"y")&amp;" tahun "&amp;DATEDIF(AM67,DATE(2026,1,1),"ym")&amp;" bulan "</f>
        <v xml:space="preserve">3 tahun 3 bulan </v>
      </c>
      <c r="BX67" s="280" t="str">
        <f>VLOOKUP($B67,Sheet1!$A:$G,2,FALSE)</f>
        <v>Tel-U</v>
      </c>
      <c r="BY67" s="280" t="str">
        <f>VLOOKUP($B67,Sheet1!$A:$G,3,FALSE)</f>
        <v>Sistem Informasi</v>
      </c>
      <c r="BZ67" s="280" t="str">
        <f>VLOOKUP($B67,Sheet1!$A:$G,4,FALSE)</f>
        <v>UNDIP</v>
      </c>
      <c r="CA67" s="280" t="str">
        <f>VLOOKUP($B67,Sheet1!$A:$G,5,FALSE)</f>
        <v>Sistem Informasi</v>
      </c>
      <c r="CB67" s="280" t="str">
        <f>VLOOKUP($B67,Sheet1!$A:$G,6,FALSE)</f>
        <v>-</v>
      </c>
      <c r="CC67" s="280">
        <f>VLOOKUP($B67,Sheet1!$A:$G,7,FALSE)</f>
        <v>0</v>
      </c>
      <c r="CD67" s="280" t="e">
        <v>#N/A</v>
      </c>
      <c r="CE67" s="280" t="e">
        <v>#N/A</v>
      </c>
    </row>
    <row r="68" spans="1:83" ht="19.5">
      <c r="A68" s="281">
        <v>83</v>
      </c>
      <c r="B68" s="281" t="s">
        <v>298</v>
      </c>
      <c r="C68" s="281" t="s">
        <v>20</v>
      </c>
      <c r="D68" s="281" t="s">
        <v>235</v>
      </c>
      <c r="E68" s="281">
        <v>22900033</v>
      </c>
      <c r="F68" s="281" t="s">
        <v>1148</v>
      </c>
      <c r="G68" s="282" t="s">
        <v>299</v>
      </c>
      <c r="H68" s="291" t="s">
        <v>884</v>
      </c>
      <c r="I68" s="281" t="s">
        <v>30</v>
      </c>
      <c r="J68" s="281" t="s">
        <v>176</v>
      </c>
      <c r="K68" s="281" t="s">
        <v>846</v>
      </c>
      <c r="L68" s="281" t="s">
        <v>847</v>
      </c>
      <c r="M68" s="283" t="str">
        <f>IF(L68="NJAD","AA",IF(L68="AA","L",IF(L68="L","LK","GB")))</f>
        <v>L</v>
      </c>
      <c r="N68" s="282" t="s">
        <v>511</v>
      </c>
      <c r="O68" s="281">
        <v>150</v>
      </c>
      <c r="P68" s="281" t="s">
        <v>1149</v>
      </c>
      <c r="Q68" s="284">
        <v>45962</v>
      </c>
      <c r="R68" s="281" t="str">
        <f ca="1">DATEDIF(Q68,TODAY(), "Y") &amp; " Tahun " &amp; DATEDIF(Q68, TODAY(), "YM") &amp; " Bulan"</f>
        <v>0 Tahun 2 Bulan</v>
      </c>
      <c r="S68" s="281" t="s">
        <v>849</v>
      </c>
      <c r="T68" s="285">
        <v>46023</v>
      </c>
      <c r="U68" s="281" t="str">
        <f ca="1">DATEDIF(T68,TODAY(), "Y") &amp; " Tahun " &amp; DATEDIF(T68, TODAY(), "YM") &amp; " Bulan"</f>
        <v>0 Tahun 0 Bulan</v>
      </c>
      <c r="V68" s="281" t="s">
        <v>933</v>
      </c>
      <c r="W68" s="281" t="s">
        <v>851</v>
      </c>
      <c r="X68" s="283" t="str">
        <f ca="1">IF(AND(OR(L68="AA",L68="L"),OR(S68="Penata Muda Tk. I Golongan III/b",S68="Penata Golongan III/c"),DATEDIF(Q68,TODAY(),"m")&gt;=23,ISBLANK(Z68),C68="Aktif"),"Nominasi Serdos","-")</f>
        <v>-</v>
      </c>
      <c r="Y68" s="281"/>
      <c r="Z68" s="282"/>
      <c r="AA68" s="295"/>
      <c r="AB68" s="281" t="s">
        <v>30</v>
      </c>
      <c r="AC68" s="282" t="s">
        <v>511</v>
      </c>
      <c r="AD68" s="281" t="s">
        <v>30</v>
      </c>
      <c r="AE68" s="281" t="s">
        <v>30</v>
      </c>
      <c r="AF68" s="281" t="s">
        <v>30</v>
      </c>
      <c r="AG68" s="281" t="s">
        <v>30</v>
      </c>
      <c r="AH68" s="281" t="s">
        <v>854</v>
      </c>
      <c r="AI68" s="281" t="s">
        <v>30</v>
      </c>
      <c r="AJ68" s="281" t="s">
        <v>30</v>
      </c>
      <c r="AK68" s="281" t="s">
        <v>30</v>
      </c>
      <c r="AM68" s="286">
        <v>44832</v>
      </c>
      <c r="AN68" s="287" t="str">
        <f ca="1">DATEDIF(AM68,TODAY(),"y")&amp;" tahun "&amp;DATEDIF(AM68,TODAY(),"ym")&amp;" bulan "</f>
        <v xml:space="preserve">3 tahun 3 bulan </v>
      </c>
      <c r="AO68" s="281" t="s">
        <v>858</v>
      </c>
      <c r="AP68" s="281" t="s">
        <v>934</v>
      </c>
      <c r="AQ68" s="281" t="s">
        <v>1150</v>
      </c>
      <c r="AR68" s="281" t="s">
        <v>300</v>
      </c>
      <c r="AS68" s="281">
        <v>81231358055</v>
      </c>
      <c r="AT68" s="281" t="s">
        <v>301</v>
      </c>
      <c r="AU68" s="281" t="s">
        <v>30</v>
      </c>
      <c r="AV68" s="281"/>
      <c r="AW68" s="281" t="str">
        <f>VLOOKUP(B68,Sheet2!A84:I201,9,FALSE)</f>
        <v>Anita Hakim Nasution, S.T., M.T.</v>
      </c>
      <c r="AX68" s="281" t="s">
        <v>902</v>
      </c>
      <c r="AY68" s="281" t="str">
        <f>VLOOKUP(B68,Sheet2!A84:C201,2,FALSE)</f>
        <v>Jember</v>
      </c>
      <c r="AZ68" s="288">
        <f>VLOOKUP(B68,Sheet2!A84:C201,3,FALSE)</f>
        <v>32887</v>
      </c>
      <c r="BA68" s="281">
        <f ca="1">DATEDIF(AZ68, TODAY(),"y")</f>
        <v>36</v>
      </c>
      <c r="BB68" s="281"/>
      <c r="BC68" s="281"/>
      <c r="BD68" s="281"/>
      <c r="BE68" s="281"/>
      <c r="BF68" s="289"/>
      <c r="BG68" s="289"/>
      <c r="BH68" s="289"/>
      <c r="BI68" s="289"/>
      <c r="BJ68" s="289"/>
      <c r="BK68" s="289"/>
      <c r="BL68" s="288" t="str">
        <f>VLOOKUP(B68,Sheet2!A84:D201,4,FALSE)</f>
        <v>Dosen</v>
      </c>
      <c r="BM68" s="281"/>
      <c r="BN68" s="281"/>
      <c r="BO68" s="281"/>
      <c r="BP68" s="281"/>
      <c r="BQ68" s="281"/>
      <c r="BR68" s="288" t="str">
        <f>VLOOKUP(B68,Sheet2!A84:E201,5,FALSE)</f>
        <v>Enterprise and Industrial System (EINS)</v>
      </c>
      <c r="BS68" s="288" t="str">
        <f>VLOOKUP(B68,Sheet2!A84:F201,6,FALSE)</f>
        <v>AXA</v>
      </c>
      <c r="BT68" s="288" t="str">
        <f>VLOOKUP(B68,Sheet2!A84:G201,7,FALSE)</f>
        <v>Fakultas Rekayasa Industri</v>
      </c>
      <c r="BU68" s="288" t="str">
        <f>VLOOKUP(B68,Sheet2!A84:H201,8,FALSE)</f>
        <v>anitahakimnst@telkomuniversity.ac.id</v>
      </c>
      <c r="BV68" s="280">
        <f>COUNTIFS('Join TPA Dosen'!B:B,Dosen!B84)</f>
        <v>1</v>
      </c>
      <c r="BW68" s="273" t="str">
        <f>DATEDIF(AM68,DATE(2026,1,1),"y")&amp;" tahun "&amp;DATEDIF(AM68,DATE(2026,1,1),"ym")&amp;" bulan "</f>
        <v xml:space="preserve">3 tahun 3 bulan </v>
      </c>
      <c r="BX68" s="280" t="str">
        <f>VLOOKUP($B68,Sheet1!$A:$G,2,FALSE)</f>
        <v>ITS</v>
      </c>
      <c r="BY68" s="280" t="str">
        <f>VLOOKUP($B68,Sheet1!$A:$G,3,FALSE)</f>
        <v>Teknik Industri</v>
      </c>
      <c r="BZ68" s="280" t="str">
        <f>VLOOKUP($B68,Sheet1!$A:$G,4,FALSE)</f>
        <v>ITATS</v>
      </c>
      <c r="CA68" s="280" t="str">
        <f>VLOOKUP($B68,Sheet1!$A:$G,5,FALSE)</f>
        <v>Teknik Industri</v>
      </c>
      <c r="CB68" s="280" t="str">
        <f>VLOOKUP($B68,Sheet1!$A:$G,6,FALSE)</f>
        <v>-</v>
      </c>
      <c r="CC68" s="280">
        <f>VLOOKUP($B68,Sheet1!$A:$G,7,FALSE)</f>
        <v>0</v>
      </c>
      <c r="CD68" s="280" t="s">
        <v>862</v>
      </c>
      <c r="CE68" s="280" t="s">
        <v>863</v>
      </c>
    </row>
    <row r="69" spans="1:83" ht="19.5">
      <c r="A69" s="281">
        <v>84</v>
      </c>
      <c r="B69" s="281" t="s">
        <v>302</v>
      </c>
      <c r="C69" s="281" t="s">
        <v>20</v>
      </c>
      <c r="D69" s="281" t="s">
        <v>235</v>
      </c>
      <c r="E69" s="281">
        <v>22930045</v>
      </c>
      <c r="F69" s="281" t="s">
        <v>1151</v>
      </c>
      <c r="G69" s="282" t="s">
        <v>303</v>
      </c>
      <c r="H69" s="291" t="s">
        <v>884</v>
      </c>
      <c r="I69" s="281" t="s">
        <v>143</v>
      </c>
      <c r="J69" s="281" t="s">
        <v>304</v>
      </c>
      <c r="K69" s="281" t="s">
        <v>917</v>
      </c>
      <c r="L69" s="281" t="s">
        <v>847</v>
      </c>
      <c r="M69" s="283" t="str">
        <f>IF(L69="NJAD","AA",IF(L69="AA","L",IF(L69="L","LK","GB")))</f>
        <v>L</v>
      </c>
      <c r="N69" s="282" t="s">
        <v>511</v>
      </c>
      <c r="O69" s="281">
        <v>0</v>
      </c>
      <c r="P69" s="281" t="s">
        <v>30</v>
      </c>
      <c r="Q69" s="284">
        <v>45809</v>
      </c>
      <c r="R69" s="281" t="str">
        <f ca="1">DATEDIF(Q69,TODAY(), "Y") &amp; " Tahun " &amp; DATEDIF(Q69, TODAY(), "YM") &amp; " Bulan"</f>
        <v>0 Tahun 7 Bulan</v>
      </c>
      <c r="S69" s="281" t="s">
        <v>849</v>
      </c>
      <c r="T69" s="285">
        <v>45901</v>
      </c>
      <c r="U69" s="281" t="str">
        <f ca="1">DATEDIF(T69,TODAY(), "Y") &amp; " Tahun " &amp; DATEDIF(T69, TODAY(), "YM") &amp; " Bulan"</f>
        <v>0 Tahun 4 Bulan</v>
      </c>
      <c r="V69" s="281" t="s">
        <v>933</v>
      </c>
      <c r="W69" s="281" t="s">
        <v>851</v>
      </c>
      <c r="X69" s="283" t="str">
        <f ca="1">IF(AND(OR(L69="AA",L69="L"),OR(S69="Penata Muda Tk. I Golongan III/b",S69="Penata Golongan III/c"),DATEDIF(Q69,TODAY(),"m")&gt;=23,ISBLANK(Z69),C69="Aktif"),"Nominasi Serdos","-")</f>
        <v>-</v>
      </c>
      <c r="Y69" s="281"/>
      <c r="Z69" s="282"/>
      <c r="AA69" s="295"/>
      <c r="AB69" s="281" t="s">
        <v>30</v>
      </c>
      <c r="AC69" s="282" t="s">
        <v>511</v>
      </c>
      <c r="AD69" s="281" t="s">
        <v>30</v>
      </c>
      <c r="AE69" s="281" t="s">
        <v>30</v>
      </c>
      <c r="AF69" s="281" t="s">
        <v>30</v>
      </c>
      <c r="AG69" s="281" t="s">
        <v>30</v>
      </c>
      <c r="AH69" s="281" t="s">
        <v>879</v>
      </c>
      <c r="AI69" s="281"/>
      <c r="AJ69" s="281"/>
      <c r="AK69" s="281"/>
      <c r="AL69" s="281"/>
      <c r="AM69" s="286">
        <v>44832</v>
      </c>
      <c r="AN69" s="287" t="str">
        <f ca="1">DATEDIF(AM69,TODAY(),"y")&amp;" tahun "&amp;DATEDIF(AM69,TODAY(),"ym")&amp;" bulan "</f>
        <v xml:space="preserve">3 tahun 3 bulan </v>
      </c>
      <c r="AO69" s="281" t="s">
        <v>858</v>
      </c>
      <c r="AP69" s="281" t="s">
        <v>934</v>
      </c>
      <c r="AQ69" s="281" t="s">
        <v>1152</v>
      </c>
      <c r="AR69" s="281" t="s">
        <v>305</v>
      </c>
      <c r="AS69" s="281">
        <v>85288421363</v>
      </c>
      <c r="AT69" s="281" t="s">
        <v>306</v>
      </c>
      <c r="AU69" s="281" t="s">
        <v>30</v>
      </c>
      <c r="AV69" s="281"/>
      <c r="AW69" s="281" t="str">
        <f>VLOOKUP(B69,Sheet2!A85:I202,9,FALSE)</f>
        <v>Arip Ramadan, S.Si., M.Stat.</v>
      </c>
      <c r="AX69" s="281" t="s">
        <v>861</v>
      </c>
      <c r="AY69" s="281" t="str">
        <f>VLOOKUP(B69,Sheet2!A85:C202,2,FALSE)</f>
        <v>Ciamis</v>
      </c>
      <c r="AZ69" s="288">
        <f>VLOOKUP(B69,Sheet2!A85:C202,3,FALSE)</f>
        <v>34040</v>
      </c>
      <c r="BA69" s="281">
        <f ca="1">DATEDIF(AZ69, TODAY(),"y")</f>
        <v>32</v>
      </c>
      <c r="BB69" s="281"/>
      <c r="BC69" s="281"/>
      <c r="BD69" s="281"/>
      <c r="BE69" s="281"/>
      <c r="BF69" s="289"/>
      <c r="BG69" s="289"/>
      <c r="BH69" s="289"/>
      <c r="BI69" s="289"/>
      <c r="BJ69" s="289"/>
      <c r="BK69" s="289"/>
      <c r="BL69" s="288" t="s">
        <v>1153</v>
      </c>
      <c r="BM69" s="281"/>
      <c r="BN69" s="281"/>
      <c r="BO69" s="281"/>
      <c r="BP69" s="281"/>
      <c r="BQ69" s="281"/>
      <c r="BR69" s="288" t="str">
        <f>VLOOKUP(B69,Sheet2!A85:E202,5,FALSE)</f>
        <v>Cybernetics</v>
      </c>
      <c r="BS69" s="288" t="str">
        <f>VLOOKUP(B69,Sheet2!A85:F202,6,FALSE)</f>
        <v>RMV</v>
      </c>
      <c r="BT69" s="288" t="str">
        <f>VLOOKUP(B69,Sheet2!A85:G202,7,FALSE)</f>
        <v>Fakultas Rekayasa Industri</v>
      </c>
      <c r="BU69" s="288" t="str">
        <f>VLOOKUP(B69,Sheet2!A85:H202,8,FALSE)</f>
        <v>aripramadan@telkomuniversity.ac.id</v>
      </c>
      <c r="BV69" s="280">
        <f>COUNTIFS('Join TPA Dosen'!B:B,Dosen!B85)</f>
        <v>1</v>
      </c>
      <c r="BW69" s="273" t="str">
        <f>DATEDIF(AM69,DATE(2026,1,1),"y")&amp;" tahun "&amp;DATEDIF(AM69,DATE(2026,1,1),"ym")&amp;" bulan "</f>
        <v xml:space="preserve">3 tahun 3 bulan </v>
      </c>
      <c r="BX69" s="280" t="str">
        <f>VLOOKUP($B69,Sheet1!$A:$G,2,FALSE)</f>
        <v>IST AKPRIND JOGJA</v>
      </c>
      <c r="BY69" s="280" t="str">
        <f>VLOOKUP($B69,Sheet1!$A:$G,3,FALSE)</f>
        <v>Statistika</v>
      </c>
      <c r="BZ69" s="280" t="str">
        <f>VLOOKUP($B69,Sheet1!$A:$G,4,FALSE)</f>
        <v>ITS</v>
      </c>
      <c r="CA69" s="280" t="str">
        <f>VLOOKUP($B69,Sheet1!$A:$G,5,FALSE)</f>
        <v>Statistika</v>
      </c>
      <c r="CB69" s="280" t="str">
        <f>VLOOKUP($B69,Sheet1!$A:$G,6,FALSE)</f>
        <v>Unair</v>
      </c>
      <c r="CC69" s="280" t="str">
        <f>VLOOKUP($B69,Sheet1!$A:$G,7,FALSE)</f>
        <v>Matematika dan Ilmu Pengetahuan Alam</v>
      </c>
      <c r="CD69" s="280" t="s">
        <v>862</v>
      </c>
      <c r="CE69" s="280" t="s">
        <v>903</v>
      </c>
    </row>
    <row r="70" spans="1:83" ht="19.5">
      <c r="A70" s="281">
        <v>85</v>
      </c>
      <c r="B70" s="281" t="s">
        <v>66</v>
      </c>
      <c r="C70" s="281" t="s">
        <v>20</v>
      </c>
      <c r="D70" s="281" t="s">
        <v>22</v>
      </c>
      <c r="E70" s="281">
        <v>22970043</v>
      </c>
      <c r="F70" s="281" t="s">
        <v>1154</v>
      </c>
      <c r="G70" s="282" t="s">
        <v>67</v>
      </c>
      <c r="H70" s="291" t="s">
        <v>884</v>
      </c>
      <c r="I70" s="281" t="s">
        <v>30</v>
      </c>
      <c r="J70" s="281" t="s">
        <v>68</v>
      </c>
      <c r="K70" s="281" t="s">
        <v>846</v>
      </c>
      <c r="L70" s="281" t="s">
        <v>847</v>
      </c>
      <c r="M70" s="283" t="str">
        <f>IF(L70="NJAD","AA",IF(L70="AA","L",IF(L70="L","LK","GB")))</f>
        <v>L</v>
      </c>
      <c r="N70" s="282" t="s">
        <v>511</v>
      </c>
      <c r="O70" s="281">
        <v>150</v>
      </c>
      <c r="P70" s="281" t="s">
        <v>1155</v>
      </c>
      <c r="Q70" s="284">
        <v>45444</v>
      </c>
      <c r="R70" s="281" t="str">
        <f ca="1">DATEDIF(Q70,TODAY(), "Y") &amp; " Tahun " &amp; DATEDIF(Q70, TODAY(), "YM") &amp; " Bulan"</f>
        <v>1 Tahun 7 Bulan</v>
      </c>
      <c r="S70" s="281" t="s">
        <v>849</v>
      </c>
      <c r="T70" s="285">
        <v>45717</v>
      </c>
      <c r="U70" s="281" t="str">
        <f ca="1">DATEDIF(T70,TODAY(), "Y") &amp; " Tahun " &amp; DATEDIF(T70, TODAY(), "YM") &amp; " Bulan"</f>
        <v>0 Tahun 10 Bulan</v>
      </c>
      <c r="V70" s="281" t="s">
        <v>1156</v>
      </c>
      <c r="W70" s="281" t="s">
        <v>851</v>
      </c>
      <c r="X70" s="283" t="str">
        <f ca="1">IF(AND(OR(L70="AA",L70="L"),OR(S70="Penata Muda Tk. I Golongan III/b",S70="Penata Golongan III/c"),DATEDIF(Q70,TODAY(),"m")&gt;=23,ISBLANK(Z70),C70="Aktif"),"Nominasi Serdos","-")</f>
        <v>-</v>
      </c>
      <c r="Y70" s="281"/>
      <c r="Z70" s="282"/>
      <c r="AA70" s="295"/>
      <c r="AB70" s="281" t="s">
        <v>30</v>
      </c>
      <c r="AC70" s="282" t="s">
        <v>511</v>
      </c>
      <c r="AD70" s="281" t="s">
        <v>30</v>
      </c>
      <c r="AE70" s="281" t="s">
        <v>30</v>
      </c>
      <c r="AF70" s="281" t="s">
        <v>30</v>
      </c>
      <c r="AG70" s="281" t="s">
        <v>30</v>
      </c>
      <c r="AH70" s="281" t="s">
        <v>854</v>
      </c>
      <c r="AI70" s="281" t="s">
        <v>30</v>
      </c>
      <c r="AJ70" s="281" t="s">
        <v>30</v>
      </c>
      <c r="AK70" s="281" t="s">
        <v>30</v>
      </c>
      <c r="AM70" s="286">
        <v>44832</v>
      </c>
      <c r="AN70" s="287" t="str">
        <f ca="1">DATEDIF(AM70,TODAY(),"y")&amp;" tahun "&amp;DATEDIF(AM70,TODAY(),"ym")&amp;" bulan "</f>
        <v xml:space="preserve">3 tahun 3 bulan </v>
      </c>
      <c r="AO70" s="281" t="s">
        <v>858</v>
      </c>
      <c r="AP70" s="281" t="s">
        <v>859</v>
      </c>
      <c r="AQ70" s="281" t="s">
        <v>1157</v>
      </c>
      <c r="AR70" s="281" t="s">
        <v>69</v>
      </c>
      <c r="AS70" s="281">
        <v>82234320272</v>
      </c>
      <c r="AT70" s="281" t="s">
        <v>70</v>
      </c>
      <c r="AU70" s="281" t="s">
        <v>30</v>
      </c>
      <c r="AV70" s="281"/>
      <c r="AW70" s="281" t="str">
        <f>VLOOKUP(B70,Sheet2!A86:I203,9,FALSE)</f>
        <v>Wachda Yuniar Rochmah, S.M., M.M.</v>
      </c>
      <c r="AX70" s="281" t="s">
        <v>902</v>
      </c>
      <c r="AY70" s="281" t="str">
        <f>VLOOKUP(B70,Sheet2!A86:C203,2,FALSE)</f>
        <v>Bojonegoro</v>
      </c>
      <c r="AZ70" s="288">
        <f>VLOOKUP(B70,Sheet2!A86:C203,3,FALSE)</f>
        <v>35582</v>
      </c>
      <c r="BA70" s="281">
        <f ca="1">DATEDIF(AZ70, TODAY(),"y")</f>
        <v>28</v>
      </c>
      <c r="BB70" s="281"/>
      <c r="BC70" s="281"/>
      <c r="BD70" s="281"/>
      <c r="BE70" s="281"/>
      <c r="BF70" s="289"/>
      <c r="BG70" s="289"/>
      <c r="BH70" s="289"/>
      <c r="BI70" s="289"/>
      <c r="BJ70" s="289"/>
      <c r="BK70" s="289"/>
      <c r="BL70" s="288" t="str">
        <f>VLOOKUP(B70,Sheet2!A86:D203,4,FALSE)</f>
        <v>Dosen</v>
      </c>
      <c r="BM70" s="281"/>
      <c r="BN70" s="281"/>
      <c r="BO70" s="281"/>
      <c r="BP70" s="281"/>
      <c r="BQ70" s="281"/>
      <c r="BR70" s="288" t="str">
        <f>VLOOKUP(B70,Sheet2!A86:E203,5,FALSE)</f>
        <v>ICT Business Management (IBM)</v>
      </c>
      <c r="BS70" s="288" t="str">
        <f>VLOOKUP(B70,Sheet2!A86:F203,6,FALSE)</f>
        <v>WYR</v>
      </c>
      <c r="BT70" s="288" t="str">
        <f>VLOOKUP(B70,Sheet2!A86:G203,7,FALSE)</f>
        <v>Fakultas Ekonomi dan Bisnis</v>
      </c>
      <c r="BU70" s="288" t="str">
        <f>VLOOKUP(B70,Sheet2!A86:H203,8,FALSE)</f>
        <v>wachdayuniarr@telkomuniversity.ac.id</v>
      </c>
      <c r="BV70" s="280">
        <f>COUNTIFS('Join TPA Dosen'!B:B,Dosen!B86)</f>
        <v>1</v>
      </c>
      <c r="BW70" s="273" t="str">
        <f>DATEDIF(AM70,DATE(2026,1,1),"y")&amp;" tahun "&amp;DATEDIF(AM70,DATE(2026,1,1),"ym")&amp;" bulan "</f>
        <v xml:space="preserve">3 tahun 3 bulan </v>
      </c>
      <c r="BX70" s="280" t="str">
        <f>VLOOKUP($B70,Sheet1!$A:$G,2,FALSE)</f>
        <v>Tel-U</v>
      </c>
      <c r="BY70" s="280" t="str">
        <f>VLOOKUP($B70,Sheet1!$A:$G,3,FALSE)</f>
        <v>Ekonomi dan Bisnis/Manajemen</v>
      </c>
      <c r="BZ70" s="280" t="str">
        <f>VLOOKUP($B70,Sheet1!$A:$G,4,FALSE)</f>
        <v>Tel-U</v>
      </c>
      <c r="CA70" s="280" t="str">
        <f>VLOOKUP($B70,Sheet1!$A:$G,5,FALSE)</f>
        <v>Ekonomi dan Bisnis/Manajemen</v>
      </c>
      <c r="CB70" s="280" t="str">
        <f>VLOOKUP($B70,Sheet1!$A:$G,6,FALSE)</f>
        <v>-</v>
      </c>
      <c r="CC70" s="280">
        <f>VLOOKUP($B70,Sheet1!$A:$G,7,FALSE)</f>
        <v>0</v>
      </c>
      <c r="CD70" s="280" t="s">
        <v>862</v>
      </c>
      <c r="CE70" s="280" t="s">
        <v>863</v>
      </c>
    </row>
    <row r="71" spans="1:83" ht="19.5">
      <c r="A71" s="281">
        <v>86</v>
      </c>
      <c r="B71" s="281" t="s">
        <v>560</v>
      </c>
      <c r="C71" s="281" t="s">
        <v>20</v>
      </c>
      <c r="D71" s="281" t="s">
        <v>524</v>
      </c>
      <c r="E71" s="281">
        <v>22820015</v>
      </c>
      <c r="F71" s="281" t="s">
        <v>1158</v>
      </c>
      <c r="G71" s="282" t="s">
        <v>561</v>
      </c>
      <c r="H71" s="291" t="s">
        <v>884</v>
      </c>
      <c r="I71" s="281" t="s">
        <v>30</v>
      </c>
      <c r="J71" s="281" t="s">
        <v>57</v>
      </c>
      <c r="K71" s="281" t="s">
        <v>846</v>
      </c>
      <c r="L71" s="281" t="s">
        <v>847</v>
      </c>
      <c r="M71" s="283" t="str">
        <f>IF(L71="NJAD","AA",IF(L71="AA","L",IF(L71="L","LK","GB")))</f>
        <v>L</v>
      </c>
      <c r="N71" s="282" t="s">
        <v>511</v>
      </c>
      <c r="O71" s="281">
        <v>150</v>
      </c>
      <c r="P71" s="281" t="s">
        <v>1159</v>
      </c>
      <c r="Q71" s="284">
        <v>45444</v>
      </c>
      <c r="R71" s="281" t="str">
        <f ca="1">DATEDIF(Q71,TODAY(), "Y") &amp; " Tahun " &amp; DATEDIF(Q71, TODAY(), "YM") &amp; " Bulan"</f>
        <v>1 Tahun 7 Bulan</v>
      </c>
      <c r="S71" s="281" t="s">
        <v>849</v>
      </c>
      <c r="T71" s="285">
        <v>45717</v>
      </c>
      <c r="U71" s="281" t="str">
        <f ca="1">DATEDIF(T71,TODAY(), "Y") &amp; " Tahun " &amp; DATEDIF(T71, TODAY(), "YM") &amp; " Bulan"</f>
        <v>0 Tahun 10 Bulan</v>
      </c>
      <c r="V71" s="281" t="s">
        <v>895</v>
      </c>
      <c r="W71" s="281" t="s">
        <v>851</v>
      </c>
      <c r="X71" s="283" t="str">
        <f ca="1">IF(AND(OR(L71="AA",L71="L"),OR(S71="Penata Muda Tk. I Golongan III/b",S71="Penata Golongan III/c"),DATEDIF(Q71,TODAY(),"m")&gt;=23,ISBLANK(Z71),C71="Aktif"),"Nominasi Serdos","-")</f>
        <v>-</v>
      </c>
      <c r="Y71" s="281"/>
      <c r="Z71" s="282"/>
      <c r="AA71" s="295"/>
      <c r="AB71" s="281" t="s">
        <v>30</v>
      </c>
      <c r="AC71" s="282" t="s">
        <v>511</v>
      </c>
      <c r="AD71" s="281" t="s">
        <v>30</v>
      </c>
      <c r="AE71" s="281" t="s">
        <v>30</v>
      </c>
      <c r="AF71" s="281" t="s">
        <v>30</v>
      </c>
      <c r="AG71" s="281" t="s">
        <v>30</v>
      </c>
      <c r="AH71" s="281" t="s">
        <v>854</v>
      </c>
      <c r="AI71" s="293" t="s">
        <v>855</v>
      </c>
      <c r="AJ71" s="293" t="s">
        <v>897</v>
      </c>
      <c r="AK71" s="281" t="s">
        <v>898</v>
      </c>
      <c r="AL71" s="293" t="s">
        <v>899</v>
      </c>
      <c r="AM71" s="286">
        <v>44832</v>
      </c>
      <c r="AN71" s="287" t="str">
        <f ca="1">DATEDIF(AM71,TODAY(),"y")&amp;" tahun "&amp;DATEDIF(AM71,TODAY(),"ym")&amp;" bulan "</f>
        <v xml:space="preserve">3 tahun 3 bulan </v>
      </c>
      <c r="AO71" s="281" t="s">
        <v>858</v>
      </c>
      <c r="AP71" s="281" t="s">
        <v>900</v>
      </c>
      <c r="AQ71" s="281" t="s">
        <v>1160</v>
      </c>
      <c r="AR71" s="281" t="s">
        <v>562</v>
      </c>
      <c r="AS71" s="281">
        <v>81553010001</v>
      </c>
      <c r="AT71" s="281" t="s">
        <v>563</v>
      </c>
      <c r="AU71" s="281" t="s">
        <v>30</v>
      </c>
      <c r="AV71" s="281"/>
      <c r="AW71" s="281" t="str">
        <f>VLOOKUP(B71,Sheet2!A87:I204,9,FALSE)</f>
        <v>Mustafa Kamal, S.Kom., M.Kom.</v>
      </c>
      <c r="AX71" s="281" t="s">
        <v>861</v>
      </c>
      <c r="AY71" s="281" t="str">
        <f>VLOOKUP(B71,Sheet2!A87:C204,2,FALSE)</f>
        <v>Banyuwangi</v>
      </c>
      <c r="AZ71" s="288">
        <f>VLOOKUP(B71,Sheet2!A87:C204,3,FALSE)</f>
        <v>30246</v>
      </c>
      <c r="BA71" s="281">
        <f ca="1">DATEDIF(AZ71, TODAY(),"y")</f>
        <v>43</v>
      </c>
      <c r="BB71" s="281"/>
      <c r="BC71" s="281"/>
      <c r="BD71" s="281"/>
      <c r="BE71" s="281"/>
      <c r="BF71" s="289"/>
      <c r="BG71" s="289"/>
      <c r="BH71" s="289"/>
      <c r="BI71" s="289"/>
      <c r="BJ71" s="289"/>
      <c r="BK71" s="289"/>
      <c r="BL71" s="288" t="str">
        <f>VLOOKUP(B71,Sheet2!A87:D204,4,FALSE)</f>
        <v>Dosen</v>
      </c>
      <c r="BM71" s="281"/>
      <c r="BN71" s="281"/>
      <c r="BO71" s="281"/>
      <c r="BP71" s="281"/>
      <c r="BQ71" s="281"/>
      <c r="BR71" s="288" t="str">
        <f>VLOOKUP(B71,Sheet2!A87:E204,5,FALSE)</f>
        <v>Data Science and Intelligent Systems (DSIS)</v>
      </c>
      <c r="BS71" s="288" t="str">
        <f>VLOOKUP(B71,Sheet2!A87:F204,6,FALSE)</f>
        <v>MFL</v>
      </c>
      <c r="BT71" s="288" t="str">
        <f>VLOOKUP(B71,Sheet2!A87:G204,7,FALSE)</f>
        <v>Fakultas Informatika</v>
      </c>
      <c r="BU71" s="288" t="str">
        <f>VLOOKUP(B71,Sheet2!A87:H204,8,FALSE)</f>
        <v>mustafakamal@telkomuniversity.ac.id</v>
      </c>
      <c r="BV71" s="280">
        <f>COUNTIFS('Join TPA Dosen'!B:B,Dosen!B87)</f>
        <v>1</v>
      </c>
      <c r="BW71" s="273" t="str">
        <f>DATEDIF(AM71,DATE(2026,1,1),"y")&amp;" tahun "&amp;DATEDIF(AM71,DATE(2026,1,1),"ym")&amp;" bulan "</f>
        <v xml:space="preserve">3 tahun 3 bulan </v>
      </c>
      <c r="BX71" s="280" t="str">
        <f>VLOOKUP($B71,Sheet1!$A:$G,2,FALSE)</f>
        <v>ITS</v>
      </c>
      <c r="BY71" s="280" t="str">
        <f>VLOOKUP($B71,Sheet1!$A:$G,3,FALSE)</f>
        <v>Teknik Informatika</v>
      </c>
      <c r="BZ71" s="280" t="str">
        <f>VLOOKUP($B71,Sheet1!$A:$G,4,FALSE)</f>
        <v>ITS</v>
      </c>
      <c r="CA71" s="280" t="str">
        <f>VLOOKUP($B71,Sheet1!$A:$G,5,FALSE)</f>
        <v>Sistem Informasi</v>
      </c>
      <c r="CB71" s="280" t="str">
        <f>VLOOKUP($B71,Sheet1!$A:$G,6,FALSE)</f>
        <v>ITS</v>
      </c>
      <c r="CC71" s="280" t="str">
        <f>VLOOKUP($B71,Sheet1!$A:$G,7,FALSE)</f>
        <v>Ilmu Komputer</v>
      </c>
      <c r="CD71" s="280" t="s">
        <v>871</v>
      </c>
      <c r="CE71" s="280" t="s">
        <v>863</v>
      </c>
    </row>
    <row r="72" spans="1:83" ht="19.5">
      <c r="A72" s="281">
        <v>87</v>
      </c>
      <c r="B72" s="281" t="s">
        <v>564</v>
      </c>
      <c r="C72" s="281" t="s">
        <v>20</v>
      </c>
      <c r="D72" s="281" t="s">
        <v>524</v>
      </c>
      <c r="E72" s="281">
        <v>22950049</v>
      </c>
      <c r="F72" s="281" t="s">
        <v>1161</v>
      </c>
      <c r="G72" s="282" t="s">
        <v>565</v>
      </c>
      <c r="H72" s="291" t="s">
        <v>884</v>
      </c>
      <c r="I72" s="281" t="s">
        <v>30</v>
      </c>
      <c r="J72" s="281" t="s">
        <v>309</v>
      </c>
      <c r="K72" s="281" t="s">
        <v>846</v>
      </c>
      <c r="L72" s="281" t="s">
        <v>847</v>
      </c>
      <c r="M72" s="283" t="str">
        <f>IF(L72="NJAD","AA",IF(L72="AA","L",IF(L72="L","LK","GB")))</f>
        <v>L</v>
      </c>
      <c r="N72" s="282" t="s">
        <v>511</v>
      </c>
      <c r="O72" s="281">
        <v>150</v>
      </c>
      <c r="P72" s="281" t="s">
        <v>1162</v>
      </c>
      <c r="Q72" s="284">
        <v>45444</v>
      </c>
      <c r="R72" s="281" t="str">
        <f ca="1">DATEDIF(Q72,TODAY(), "Y") &amp; " Tahun " &amp; DATEDIF(Q72, TODAY(), "YM") &amp; " Bulan"</f>
        <v>1 Tahun 7 Bulan</v>
      </c>
      <c r="S72" s="281" t="s">
        <v>849</v>
      </c>
      <c r="T72" s="285">
        <v>45717</v>
      </c>
      <c r="U72" s="281" t="str">
        <f ca="1">DATEDIF(T72,TODAY(), "Y") &amp; " Tahun " &amp; DATEDIF(T72, TODAY(), "YM") &amp; " Bulan"</f>
        <v>0 Tahun 10 Bulan</v>
      </c>
      <c r="V72" s="281" t="s">
        <v>895</v>
      </c>
      <c r="W72" s="281" t="s">
        <v>851</v>
      </c>
      <c r="X72" s="283" t="str">
        <f ca="1">IF(AND(OR(L72="AA",L72="L"),OR(S72="Penata Muda Tk. I Golongan III/b",S72="Penata Golongan III/c"),DATEDIF(Q72,TODAY(),"m")&gt;=23,ISBLANK(Z72),C72="Aktif"),"Nominasi Serdos","-")</f>
        <v>-</v>
      </c>
      <c r="Y72" s="281"/>
      <c r="Z72" s="282"/>
      <c r="AA72" s="295"/>
      <c r="AB72" s="281" t="s">
        <v>30</v>
      </c>
      <c r="AC72" s="282" t="s">
        <v>511</v>
      </c>
      <c r="AD72" s="281" t="s">
        <v>30</v>
      </c>
      <c r="AE72" s="281" t="s">
        <v>30</v>
      </c>
      <c r="AF72" s="281" t="s">
        <v>30</v>
      </c>
      <c r="AG72" s="281" t="s">
        <v>30</v>
      </c>
      <c r="AH72" s="281" t="s">
        <v>854</v>
      </c>
      <c r="AI72" s="281" t="s">
        <v>30</v>
      </c>
      <c r="AJ72" s="281" t="s">
        <v>30</v>
      </c>
      <c r="AK72" s="281" t="s">
        <v>30</v>
      </c>
      <c r="AM72" s="286">
        <v>44832</v>
      </c>
      <c r="AN72" s="287" t="str">
        <f ca="1">DATEDIF(AM72,TODAY(),"y")&amp;" tahun "&amp;DATEDIF(AM72,TODAY(),"ym")&amp;" bulan "</f>
        <v xml:space="preserve">3 tahun 3 bulan </v>
      </c>
      <c r="AO72" s="281" t="s">
        <v>858</v>
      </c>
      <c r="AP72" s="281" t="s">
        <v>900</v>
      </c>
      <c r="AQ72" s="281" t="s">
        <v>1163</v>
      </c>
      <c r="AR72" s="281" t="s">
        <v>566</v>
      </c>
      <c r="AS72" s="281">
        <v>82140045134</v>
      </c>
      <c r="AT72" s="281" t="s">
        <v>567</v>
      </c>
      <c r="AU72" s="281" t="s">
        <v>30</v>
      </c>
      <c r="AV72" s="281"/>
      <c r="AW72" s="281" t="str">
        <f>VLOOKUP(B72,Sheet2!A88:I205,9,FALSE)</f>
        <v>Yohanes Setiawan, S.Si., M.Kom.</v>
      </c>
      <c r="AX72" s="281" t="s">
        <v>861</v>
      </c>
      <c r="AY72" s="281" t="str">
        <f>VLOOKUP(B72,Sheet2!A88:C205,2,FALSE)</f>
        <v>Surabaya</v>
      </c>
      <c r="AZ72" s="288">
        <f>VLOOKUP(B72,Sheet2!A88:C205,3,FALSE)</f>
        <v>34855</v>
      </c>
      <c r="BA72" s="281">
        <f ca="1">DATEDIF(AZ72, TODAY(),"y")</f>
        <v>30</v>
      </c>
      <c r="BB72" s="281"/>
      <c r="BC72" s="281"/>
      <c r="BD72" s="281"/>
      <c r="BE72" s="281"/>
      <c r="BF72" s="289"/>
      <c r="BG72" s="289"/>
      <c r="BH72" s="289"/>
      <c r="BI72" s="289"/>
      <c r="BJ72" s="289"/>
      <c r="BK72" s="289"/>
      <c r="BL72" s="288" t="str">
        <f>VLOOKUP(B72,Sheet2!A88:D205,4,FALSE)</f>
        <v>Dosen</v>
      </c>
      <c r="BM72" s="281"/>
      <c r="BN72" s="281"/>
      <c r="BO72" s="281"/>
      <c r="BP72" s="281"/>
      <c r="BQ72" s="281"/>
      <c r="BR72" s="288" t="str">
        <f>VLOOKUP(B72,Sheet2!A88:E205,5,FALSE)</f>
        <v>Data Science and Intelligent Systems (DSIS)</v>
      </c>
      <c r="BS72" s="288" t="str">
        <f>VLOOKUP(B72,Sheet2!A88:F205,6,FALSE)</f>
        <v>YOH</v>
      </c>
      <c r="BT72" s="288" t="str">
        <f>VLOOKUP(B72,Sheet2!A88:G205,7,FALSE)</f>
        <v>Fakultas Informatika</v>
      </c>
      <c r="BU72" s="288" t="str">
        <f>VLOOKUP(B72,Sheet2!A88:H205,8,FALSE)</f>
        <v>yohanessetiawan@telkomuniversity.ac.id</v>
      </c>
      <c r="BV72" s="280">
        <f>COUNTIFS('Join TPA Dosen'!B:B,Dosen!B88)</f>
        <v>1</v>
      </c>
      <c r="BW72" s="273" t="str">
        <f>DATEDIF(AM72,DATE(2026,1,1),"y")&amp;" tahun "&amp;DATEDIF(AM72,DATE(2026,1,1),"ym")&amp;" bulan "</f>
        <v xml:space="preserve">3 tahun 3 bulan </v>
      </c>
      <c r="BX72" s="280" t="str">
        <f>VLOOKUP($B72,Sheet1!$A:$G,2,FALSE)</f>
        <v>UNAIR</v>
      </c>
      <c r="BY72" s="280" t="str">
        <f>VLOOKUP($B72,Sheet1!$A:$G,3,FALSE)</f>
        <v>Matematika</v>
      </c>
      <c r="BZ72" s="280" t="str">
        <f>VLOOKUP($B72,Sheet1!$A:$G,4,FALSE)</f>
        <v>ITS</v>
      </c>
      <c r="CA72" s="280" t="str">
        <f>VLOOKUP($B72,Sheet1!$A:$G,5,FALSE)</f>
        <v>Teknik Informatika</v>
      </c>
      <c r="CB72" s="280" t="str">
        <f>VLOOKUP($B72,Sheet1!$A:$G,6,FALSE)</f>
        <v>-</v>
      </c>
      <c r="CC72" s="280">
        <f>VLOOKUP($B72,Sheet1!$A:$G,7,FALSE)</f>
        <v>0</v>
      </c>
      <c r="CD72" s="280" t="s">
        <v>862</v>
      </c>
      <c r="CE72" s="280" t="s">
        <v>903</v>
      </c>
    </row>
    <row r="73" spans="1:83" ht="19.5">
      <c r="A73" s="281">
        <v>88</v>
      </c>
      <c r="B73" s="281" t="s">
        <v>307</v>
      </c>
      <c r="C73" s="281" t="s">
        <v>20</v>
      </c>
      <c r="D73" s="281" t="s">
        <v>235</v>
      </c>
      <c r="E73" s="281">
        <v>22920034</v>
      </c>
      <c r="F73" s="281" t="s">
        <v>1164</v>
      </c>
      <c r="G73" s="282" t="s">
        <v>308</v>
      </c>
      <c r="H73" s="291" t="s">
        <v>884</v>
      </c>
      <c r="I73" s="281" t="s">
        <v>30</v>
      </c>
      <c r="J73" s="281" t="s">
        <v>309</v>
      </c>
      <c r="K73" s="281" t="s">
        <v>846</v>
      </c>
      <c r="L73" s="281" t="s">
        <v>847</v>
      </c>
      <c r="M73" s="283" t="str">
        <f>IF(L73="NJAD","AA",IF(L73="AA","L",IF(L73="L","LK","GB")))</f>
        <v>L</v>
      </c>
      <c r="N73" s="282" t="s">
        <v>511</v>
      </c>
      <c r="O73" s="281">
        <v>150</v>
      </c>
      <c r="P73" s="281" t="s">
        <v>1165</v>
      </c>
      <c r="Q73" s="284">
        <v>45870</v>
      </c>
      <c r="R73" s="281" t="str">
        <f ca="1">DATEDIF(Q73,TODAY(), "Y") &amp; " Tahun " &amp; DATEDIF(Q73, TODAY(), "YM") &amp; " Bulan"</f>
        <v>0 Tahun 5 Bulan</v>
      </c>
      <c r="S73" s="281" t="s">
        <v>849</v>
      </c>
      <c r="T73" s="285">
        <v>45992</v>
      </c>
      <c r="U73" s="281" t="str">
        <f ca="1">DATEDIF(T73,TODAY(), "Y") &amp; " Tahun " &amp; DATEDIF(T73, TODAY(), "YM") &amp; " Bulan"</f>
        <v>0 Tahun 1 Bulan</v>
      </c>
      <c r="V73" s="281" t="s">
        <v>933</v>
      </c>
      <c r="W73" s="281" t="s">
        <v>851</v>
      </c>
      <c r="X73" s="283" t="str">
        <f ca="1">IF(AND(OR(L73="AA",L73="L"),OR(S73="Penata Muda Tk. I Golongan III/b",S73="Penata Golongan III/c"),DATEDIF(Q73,TODAY(),"m")&gt;=23,ISBLANK(Z73),C73="Aktif"),"Nominasi Serdos","-")</f>
        <v>-</v>
      </c>
      <c r="Y73" s="281"/>
      <c r="Z73" s="282"/>
      <c r="AA73" s="295"/>
      <c r="AB73" s="281" t="s">
        <v>30</v>
      </c>
      <c r="AC73" s="282" t="s">
        <v>511</v>
      </c>
      <c r="AD73" s="281" t="s">
        <v>30</v>
      </c>
      <c r="AE73" s="281" t="s">
        <v>30</v>
      </c>
      <c r="AF73" s="281" t="s">
        <v>30</v>
      </c>
      <c r="AG73" s="281" t="s">
        <v>30</v>
      </c>
      <c r="AH73" s="281" t="s">
        <v>854</v>
      </c>
      <c r="AI73" s="281" t="s">
        <v>30</v>
      </c>
      <c r="AJ73" s="281" t="s">
        <v>30</v>
      </c>
      <c r="AK73" s="281" t="s">
        <v>30</v>
      </c>
      <c r="AM73" s="286">
        <v>44832</v>
      </c>
      <c r="AN73" s="287" t="str">
        <f ca="1">DATEDIF(AM73,TODAY(),"y")&amp;" tahun "&amp;DATEDIF(AM73,TODAY(),"ym")&amp;" bulan "</f>
        <v xml:space="preserve">3 tahun 3 bulan </v>
      </c>
      <c r="AO73" s="281" t="s">
        <v>858</v>
      </c>
      <c r="AP73" s="281" t="s">
        <v>934</v>
      </c>
      <c r="AQ73" s="281" t="s">
        <v>1166</v>
      </c>
      <c r="AR73" s="281" t="s">
        <v>310</v>
      </c>
      <c r="AS73" s="281">
        <v>82244983606</v>
      </c>
      <c r="AT73" s="281" t="s">
        <v>311</v>
      </c>
      <c r="AU73" s="281" t="s">
        <v>30</v>
      </c>
      <c r="AV73" s="281"/>
      <c r="AW73" s="281" t="str">
        <f>VLOOKUP(B73,Sheet2!A89:I206,9,FALSE)</f>
        <v>Rosyid Abdillah, S.Si., M.Kom.</v>
      </c>
      <c r="AX73" s="281" t="s">
        <v>861</v>
      </c>
      <c r="AY73" s="281" t="str">
        <f>VLOOKUP(B73,Sheet2!A89:C206,2,FALSE)</f>
        <v>Lumajang</v>
      </c>
      <c r="AZ73" s="288">
        <f>VLOOKUP(B73,Sheet2!A89:C206,3,FALSE)</f>
        <v>33618</v>
      </c>
      <c r="BA73" s="281">
        <f ca="1">DATEDIF(AZ73, TODAY(),"y")</f>
        <v>34</v>
      </c>
      <c r="BB73" s="281"/>
      <c r="BC73" s="281"/>
      <c r="BD73" s="281"/>
      <c r="BE73" s="281"/>
      <c r="BF73" s="289"/>
      <c r="BG73" s="289"/>
      <c r="BH73" s="289"/>
      <c r="BI73" s="289"/>
      <c r="BJ73" s="289"/>
      <c r="BK73" s="289"/>
      <c r="BL73" s="288" t="str">
        <f>VLOOKUP(B73,Sheet2!A89:D206,4,FALSE)</f>
        <v>Dosen</v>
      </c>
      <c r="BM73" s="281"/>
      <c r="BN73" s="281"/>
      <c r="BO73" s="281"/>
      <c r="BP73" s="281"/>
      <c r="BQ73" s="281"/>
      <c r="BR73" s="288" t="str">
        <f>VLOOKUP(B73,Sheet2!A89:E206,5,FALSE)</f>
        <v>Cybernetics</v>
      </c>
      <c r="BS73" s="288" t="str">
        <f>VLOOKUP(B73,Sheet2!A89:F206,6,FALSE)</f>
        <v>ROX</v>
      </c>
      <c r="BT73" s="288" t="str">
        <f>VLOOKUP(B73,Sheet2!A89:G206,7,FALSE)</f>
        <v>Fakultas Rekayasa Industri</v>
      </c>
      <c r="BU73" s="288" t="str">
        <f>VLOOKUP(B73,Sheet2!A89:H206,8,FALSE)</f>
        <v>rosyidabdillah@telkomuniversity.ac.id</v>
      </c>
      <c r="BV73" s="280">
        <f>COUNTIFS('Join TPA Dosen'!B:B,Dosen!B89)</f>
        <v>1</v>
      </c>
      <c r="BW73" s="273" t="str">
        <f>DATEDIF(AM73,DATE(2026,1,1),"y")&amp;" tahun "&amp;DATEDIF(AM73,DATE(2026,1,1),"ym")&amp;" bulan "</f>
        <v xml:space="preserve">3 tahun 3 bulan </v>
      </c>
      <c r="BX73" s="280" t="str">
        <f>VLOOKUP($B73,Sheet1!$A:$G,2,FALSE)</f>
        <v>ITS</v>
      </c>
      <c r="BY73" s="280" t="str">
        <f>VLOOKUP($B73,Sheet1!$A:$G,3,FALSE)</f>
        <v>Statistika</v>
      </c>
      <c r="BZ73" s="280" t="str">
        <f>VLOOKUP($B73,Sheet1!$A:$G,4,FALSE)</f>
        <v>ITS</v>
      </c>
      <c r="CA73" s="280" t="str">
        <f>VLOOKUP($B73,Sheet1!$A:$G,5,FALSE)</f>
        <v>Sistem Informasi</v>
      </c>
      <c r="CB73" s="280" t="str">
        <f>VLOOKUP($B73,Sheet1!$A:$G,6,FALSE)</f>
        <v>-</v>
      </c>
      <c r="CC73" s="280">
        <f>VLOOKUP($B73,Sheet1!$A:$G,7,FALSE)</f>
        <v>0</v>
      </c>
      <c r="CD73" s="280" t="s">
        <v>882</v>
      </c>
      <c r="CE73" s="280" t="s">
        <v>903</v>
      </c>
    </row>
    <row r="74" spans="1:83" ht="29.25">
      <c r="A74" s="281">
        <v>89</v>
      </c>
      <c r="B74" s="281" t="s">
        <v>129</v>
      </c>
      <c r="C74" s="281" t="s">
        <v>20</v>
      </c>
      <c r="D74" s="281" t="s">
        <v>107</v>
      </c>
      <c r="E74" s="281">
        <v>22950051</v>
      </c>
      <c r="F74" s="281" t="s">
        <v>1167</v>
      </c>
      <c r="G74" s="282" t="s">
        <v>130</v>
      </c>
      <c r="H74" s="291" t="s">
        <v>884</v>
      </c>
      <c r="I74" s="281" t="s">
        <v>30</v>
      </c>
      <c r="J74" s="281" t="s">
        <v>57</v>
      </c>
      <c r="K74" s="281" t="s">
        <v>846</v>
      </c>
      <c r="L74" s="281" t="s">
        <v>847</v>
      </c>
      <c r="M74" s="283" t="str">
        <f>IF(L74="NJAD","AA",IF(L74="AA","L",IF(L74="L","LK","GB")))</f>
        <v>L</v>
      </c>
      <c r="N74" s="282" t="s">
        <v>511</v>
      </c>
      <c r="O74" s="281">
        <v>150</v>
      </c>
      <c r="P74" s="281" t="s">
        <v>1168</v>
      </c>
      <c r="Q74" s="284">
        <v>45444</v>
      </c>
      <c r="R74" s="281" t="str">
        <f ca="1">DATEDIF(Q74,TODAY(), "Y") &amp; " Tahun " &amp; DATEDIF(Q74, TODAY(), "YM") &amp; " Bulan"</f>
        <v>1 Tahun 7 Bulan</v>
      </c>
      <c r="S74" s="281" t="s">
        <v>849</v>
      </c>
      <c r="T74" s="285">
        <v>45717</v>
      </c>
      <c r="U74" s="281" t="str">
        <f ca="1">DATEDIF(T74,TODAY(), "Y") &amp; " Tahun " &amp; DATEDIF(T74, TODAY(), "YM") &amp; " Bulan"</f>
        <v>0 Tahun 10 Bulan</v>
      </c>
      <c r="V74" s="281" t="s">
        <v>1026</v>
      </c>
      <c r="W74" s="281" t="s">
        <v>851</v>
      </c>
      <c r="X74" s="283" t="str">
        <f ca="1">IF(AND(OR(L74="AA",L74="L"),OR(S74="Penata Muda Tk. I Golongan III/b",S74="Penata Golongan III/c"),DATEDIF(Q74,TODAY(),"m")&gt;=23,ISBLANK(Z74),C74="Aktif"),"Nominasi Serdos","-")</f>
        <v>-</v>
      </c>
      <c r="Y74" s="281"/>
      <c r="Z74" s="282"/>
      <c r="AA74" s="295"/>
      <c r="AB74" s="281" t="s">
        <v>30</v>
      </c>
      <c r="AC74" s="282" t="s">
        <v>511</v>
      </c>
      <c r="AD74" s="281" t="s">
        <v>30</v>
      </c>
      <c r="AE74" s="281" t="s">
        <v>30</v>
      </c>
      <c r="AF74" s="281" t="s">
        <v>30</v>
      </c>
      <c r="AG74" s="281" t="s">
        <v>30</v>
      </c>
      <c r="AH74" s="281" t="s">
        <v>854</v>
      </c>
      <c r="AI74" s="281" t="s">
        <v>30</v>
      </c>
      <c r="AJ74" s="281" t="s">
        <v>30</v>
      </c>
      <c r="AK74" s="281" t="s">
        <v>30</v>
      </c>
      <c r="AM74" s="286">
        <v>44832</v>
      </c>
      <c r="AN74" s="287" t="str">
        <f ca="1">DATEDIF(AM74,TODAY(),"y")&amp;" tahun "&amp;DATEDIF(AM74,TODAY(),"ym")&amp;" bulan "</f>
        <v xml:space="preserve">3 tahun 3 bulan </v>
      </c>
      <c r="AO74" s="281" t="s">
        <v>858</v>
      </c>
      <c r="AP74" s="281" t="s">
        <v>962</v>
      </c>
      <c r="AQ74" s="281" t="s">
        <v>1169</v>
      </c>
      <c r="AR74" s="281" t="s">
        <v>131</v>
      </c>
      <c r="AS74" s="281">
        <v>82139322002</v>
      </c>
      <c r="AT74" s="281" t="s">
        <v>132</v>
      </c>
      <c r="AU74" s="281" t="s">
        <v>30</v>
      </c>
      <c r="AV74" s="281"/>
      <c r="AW74" s="281" t="str">
        <f>VLOOKUP(B74,Sheet2!A90:I207,9,FALSE)</f>
        <v>Vessa Rizky Oktavia, S.Kom., M.Kom.</v>
      </c>
      <c r="AX74" s="281" t="s">
        <v>902</v>
      </c>
      <c r="AY74" s="281" t="str">
        <f>VLOOKUP(B74,Sheet2!A90:C207,2,FALSE)</f>
        <v>Surabaya</v>
      </c>
      <c r="AZ74" s="288">
        <f>VLOOKUP(B74,Sheet2!A90:C207,3,FALSE)</f>
        <v>34977</v>
      </c>
      <c r="BA74" s="281">
        <f ca="1">DATEDIF(AZ74, TODAY(),"y")</f>
        <v>30</v>
      </c>
      <c r="BB74" s="281"/>
      <c r="BC74" s="281"/>
      <c r="BD74" s="281"/>
      <c r="BE74" s="281"/>
      <c r="BF74" s="289"/>
      <c r="BG74" s="289"/>
      <c r="BH74" s="289"/>
      <c r="BI74" s="289"/>
      <c r="BJ74" s="289"/>
      <c r="BK74" s="289"/>
      <c r="BL74" s="288" t="str">
        <f>VLOOKUP(B74,Sheet2!A90:D207,4,FALSE)</f>
        <v>Dosen</v>
      </c>
      <c r="BM74" s="281"/>
      <c r="BN74" s="281"/>
      <c r="BO74" s="281"/>
      <c r="BP74" s="281"/>
      <c r="BQ74" s="281"/>
      <c r="BR74" s="288" t="str">
        <f>VLOOKUP(B74,Sheet2!A90:E207,5,FALSE)</f>
        <v>Data Science and Intelligent Systems (DSIS)</v>
      </c>
      <c r="BS74" s="288" t="str">
        <f>VLOOKUP(B74,Sheet2!A90:F207,6,FALSE)</f>
        <v>VRO</v>
      </c>
      <c r="BT74" s="288" t="str">
        <f>VLOOKUP(B74,Sheet2!A90:G207,7,FALSE)</f>
        <v>Fakultas Informatika</v>
      </c>
      <c r="BU74" s="288" t="str">
        <f>VLOOKUP(B74,Sheet2!A90:H207,8,FALSE)</f>
        <v>vessarizky@telkomuniversity.ac.id</v>
      </c>
      <c r="BV74" s="280">
        <f>COUNTIFS('Join TPA Dosen'!B:B,Dosen!B90)</f>
        <v>1</v>
      </c>
      <c r="BW74" s="273" t="str">
        <f>DATEDIF(AM74,DATE(2026,1,1),"y")&amp;" tahun "&amp;DATEDIF(AM74,DATE(2026,1,1),"ym")&amp;" bulan "</f>
        <v xml:space="preserve">3 tahun 3 bulan </v>
      </c>
      <c r="BX74" s="280" t="str">
        <f>VLOOKUP($B74,Sheet1!$A:$G,2,FALSE)</f>
        <v>ITS</v>
      </c>
      <c r="BY74" s="280" t="str">
        <f>VLOOKUP($B74,Sheet1!$A:$G,3,FALSE)</f>
        <v>Teknologi Informasi dan Komunikasi/Teknik Informatika</v>
      </c>
      <c r="BZ74" s="280" t="str">
        <f>VLOOKUP($B74,Sheet1!$A:$G,4,FALSE)</f>
        <v>ITS</v>
      </c>
      <c r="CA74" s="280" t="str">
        <f>VLOOKUP($B74,Sheet1!$A:$G,5,FALSE)</f>
        <v>Teknologi Elektro dan Informatika Cerdas/Teknik Informatika</v>
      </c>
      <c r="CB74" s="280" t="str">
        <f>VLOOKUP($B74,Sheet1!$A:$G,6,FALSE)</f>
        <v>-</v>
      </c>
      <c r="CC74" s="280">
        <f>VLOOKUP($B74,Sheet1!$A:$G,7,FALSE)</f>
        <v>0</v>
      </c>
      <c r="CD74" s="273" t="s">
        <v>882</v>
      </c>
      <c r="CE74" s="280" t="s">
        <v>903</v>
      </c>
    </row>
    <row r="75" spans="1:83" ht="19.5">
      <c r="A75" s="281">
        <v>90</v>
      </c>
      <c r="B75" s="281" t="s">
        <v>133</v>
      </c>
      <c r="C75" s="281" t="s">
        <v>20</v>
      </c>
      <c r="D75" s="281" t="s">
        <v>107</v>
      </c>
      <c r="E75" s="281">
        <v>22960060</v>
      </c>
      <c r="F75" s="281" t="s">
        <v>1170</v>
      </c>
      <c r="G75" s="282" t="s">
        <v>134</v>
      </c>
      <c r="H75" s="291" t="s">
        <v>884</v>
      </c>
      <c r="I75" s="281" t="s">
        <v>30</v>
      </c>
      <c r="J75" s="281" t="s">
        <v>57</v>
      </c>
      <c r="K75" s="281" t="s">
        <v>846</v>
      </c>
      <c r="L75" s="281" t="s">
        <v>847</v>
      </c>
      <c r="M75" s="283" t="str">
        <f>IF(L75="NJAD","AA",IF(L75="AA","L",IF(L75="L","LK","GB")))</f>
        <v>L</v>
      </c>
      <c r="N75" s="282" t="s">
        <v>511</v>
      </c>
      <c r="O75" s="281">
        <v>150</v>
      </c>
      <c r="P75" s="281" t="s">
        <v>1171</v>
      </c>
      <c r="Q75" s="284">
        <v>45444</v>
      </c>
      <c r="R75" s="281" t="str">
        <f ca="1">DATEDIF(Q75,TODAY(), "Y") &amp; " Tahun " &amp; DATEDIF(Q75, TODAY(), "YM") &amp; " Bulan"</f>
        <v>1 Tahun 7 Bulan</v>
      </c>
      <c r="S75" s="281" t="s">
        <v>849</v>
      </c>
      <c r="T75" s="285">
        <v>45717</v>
      </c>
      <c r="U75" s="281" t="str">
        <f ca="1">DATEDIF(T75,TODAY(), "Y") &amp; " Tahun " &amp; DATEDIF(T75, TODAY(), "YM") &amp; " Bulan"</f>
        <v>0 Tahun 10 Bulan</v>
      </c>
      <c r="V75" s="281" t="s">
        <v>1026</v>
      </c>
      <c r="W75" s="281" t="s">
        <v>851</v>
      </c>
      <c r="X75" s="283" t="str">
        <f ca="1">IF(AND(OR(L75="AA",L75="L"),OR(S75="Penata Muda Tk. I Golongan III/b",S75="Penata Golongan III/c"),DATEDIF(Q75,TODAY(),"m")&gt;=23,ISBLANK(Z75),C75="Aktif"),"Nominasi Serdos","-")</f>
        <v>-</v>
      </c>
      <c r="Y75" s="281"/>
      <c r="Z75" s="282"/>
      <c r="AA75" s="295"/>
      <c r="AB75" s="281" t="s">
        <v>30</v>
      </c>
      <c r="AC75" s="282" t="s">
        <v>511</v>
      </c>
      <c r="AD75" s="281" t="s">
        <v>30</v>
      </c>
      <c r="AE75" s="281" t="s">
        <v>30</v>
      </c>
      <c r="AF75" s="281" t="s">
        <v>30</v>
      </c>
      <c r="AG75" s="281" t="s">
        <v>30</v>
      </c>
      <c r="AH75" s="281" t="s">
        <v>854</v>
      </c>
      <c r="AI75" s="281" t="s">
        <v>30</v>
      </c>
      <c r="AJ75" s="281" t="s">
        <v>30</v>
      </c>
      <c r="AK75" s="281" t="s">
        <v>30</v>
      </c>
      <c r="AM75" s="286">
        <v>44832</v>
      </c>
      <c r="AN75" s="287" t="str">
        <f ca="1">DATEDIF(AM75,TODAY(),"y")&amp;" tahun "&amp;DATEDIF(AM75,TODAY(),"ym")&amp;" bulan "</f>
        <v xml:space="preserve">3 tahun 3 bulan </v>
      </c>
      <c r="AO75" s="281" t="s">
        <v>858</v>
      </c>
      <c r="AP75" s="281" t="s">
        <v>962</v>
      </c>
      <c r="AQ75" s="281" t="s">
        <v>1172</v>
      </c>
      <c r="AR75" s="281" t="s">
        <v>135</v>
      </c>
      <c r="AS75" s="281">
        <v>82143463645</v>
      </c>
      <c r="AT75" s="281" t="s">
        <v>136</v>
      </c>
      <c r="AU75" s="281" t="s">
        <v>30</v>
      </c>
      <c r="AV75" s="281"/>
      <c r="AW75" s="281" t="str">
        <f>VLOOKUP(B75,Sheet2!A91:I208,9,FALSE)</f>
        <v>Alqis Rausanfita, S.Kom., M.Kom.</v>
      </c>
      <c r="AX75" s="281" t="s">
        <v>902</v>
      </c>
      <c r="AY75" s="281" t="str">
        <f>VLOOKUP(B75,Sheet2!A91:C208,2,FALSE)</f>
        <v>Surabaya</v>
      </c>
      <c r="AZ75" s="288">
        <f>VLOOKUP(B75,Sheet2!A91:C208,3,FALSE)</f>
        <v>35105</v>
      </c>
      <c r="BA75" s="281">
        <f ca="1">DATEDIF(AZ75, TODAY(),"y")</f>
        <v>29</v>
      </c>
      <c r="BB75" s="281"/>
      <c r="BC75" s="281"/>
      <c r="BD75" s="281"/>
      <c r="BE75" s="281"/>
      <c r="BF75" s="289"/>
      <c r="BG75" s="289"/>
      <c r="BH75" s="289"/>
      <c r="BI75" s="289"/>
      <c r="BJ75" s="289"/>
      <c r="BK75" s="289"/>
      <c r="BL75" s="288" t="str">
        <f>VLOOKUP(B75,Sheet2!A91:D208,4,FALSE)</f>
        <v>Dosen</v>
      </c>
      <c r="BM75" s="281"/>
      <c r="BN75" s="281"/>
      <c r="BO75" s="281"/>
      <c r="BP75" s="281"/>
      <c r="BQ75" s="281"/>
      <c r="BR75" s="288" t="str">
        <f>VLOOKUP(B75,Sheet2!A91:E208,5,FALSE)</f>
        <v>Data Science and Intelligent Systems (DSIS)</v>
      </c>
      <c r="BS75" s="288" t="str">
        <f>VLOOKUP(B75,Sheet2!A91:F208,6,FALSE)</f>
        <v>ALQ</v>
      </c>
      <c r="BT75" s="288" t="str">
        <f>VLOOKUP(B75,Sheet2!A91:G208,7,FALSE)</f>
        <v>Fakultas Informatika</v>
      </c>
      <c r="BU75" s="288" t="str">
        <f>VLOOKUP(B75,Sheet2!A91:H208,8,FALSE)</f>
        <v>alqisfita@telkomuniversity.ac.id</v>
      </c>
      <c r="BV75" s="280">
        <f>COUNTIFS('Join TPA Dosen'!B:B,Dosen!B91)</f>
        <v>1</v>
      </c>
      <c r="BW75" s="273" t="str">
        <f>DATEDIF(AM75,DATE(2026,1,1),"y")&amp;" tahun "&amp;DATEDIF(AM75,DATE(2026,1,1),"ym")&amp;" bulan "</f>
        <v xml:space="preserve">3 tahun 3 bulan </v>
      </c>
      <c r="BX75" s="280" t="str">
        <f>VLOOKUP($B75,Sheet1!$A:$G,2,FALSE)</f>
        <v>Univ. Brawijaya</v>
      </c>
      <c r="BY75" s="280" t="str">
        <f>VLOOKUP($B75,Sheet1!$A:$G,3,FALSE)</f>
        <v>Ilmu Komputer/Teknik Informatika</v>
      </c>
      <c r="BZ75" s="280" t="str">
        <f>VLOOKUP($B75,Sheet1!$A:$G,4,FALSE)</f>
        <v>ITS</v>
      </c>
      <c r="CA75" s="280" t="str">
        <f>VLOOKUP($B75,Sheet1!$A:$G,5,FALSE)</f>
        <v>Teknologi Elektro dan Informatika Cerdas/Teknik Informatika</v>
      </c>
      <c r="CB75" s="280" t="str">
        <f>VLOOKUP($B75,Sheet1!$A:$G,6,FALSE)</f>
        <v>-</v>
      </c>
      <c r="CC75" s="280">
        <f>VLOOKUP($B75,Sheet1!$A:$G,7,FALSE)</f>
        <v>0</v>
      </c>
      <c r="CD75" s="280" t="s">
        <v>882</v>
      </c>
      <c r="CE75" s="280" t="s">
        <v>903</v>
      </c>
    </row>
    <row r="76" spans="1:83" ht="29.25">
      <c r="A76" s="281">
        <v>91</v>
      </c>
      <c r="B76" s="281" t="s">
        <v>357</v>
      </c>
      <c r="C76" s="281" t="s">
        <v>20</v>
      </c>
      <c r="D76" s="281" t="s">
        <v>330</v>
      </c>
      <c r="E76" s="281">
        <v>21950014</v>
      </c>
      <c r="F76" s="281" t="s">
        <v>1173</v>
      </c>
      <c r="G76" s="282" t="s">
        <v>358</v>
      </c>
      <c r="H76" s="291" t="s">
        <v>884</v>
      </c>
      <c r="I76" s="281" t="s">
        <v>30</v>
      </c>
      <c r="J76" s="281" t="s">
        <v>176</v>
      </c>
      <c r="K76" s="281" t="s">
        <v>917</v>
      </c>
      <c r="L76" s="281" t="s">
        <v>918</v>
      </c>
      <c r="M76" s="283" t="str">
        <f>IF(L76="NJAD","AA",IF(L76="AA","L",IF(L76="L","LK","GB")))</f>
        <v>AA</v>
      </c>
      <c r="N76" s="282" t="s">
        <v>511</v>
      </c>
      <c r="O76" s="281">
        <v>0</v>
      </c>
      <c r="P76" s="281" t="s">
        <v>30</v>
      </c>
      <c r="Q76" s="284">
        <v>44835</v>
      </c>
      <c r="R76" s="281" t="str">
        <f ca="1">DATEDIF(Q76,TODAY(), "Y") &amp; " Tahun " &amp; DATEDIF(Q76, TODAY(), "YM") &amp; " Bulan"</f>
        <v>3 Tahun 3 Bulan</v>
      </c>
      <c r="S76" s="282" t="s">
        <v>511</v>
      </c>
      <c r="T76" s="282" t="s">
        <v>511</v>
      </c>
      <c r="U76" s="281" t="e">
        <f ca="1">DATEDIF(T76,TODAY(), "Y") &amp; " Tahun " &amp; DATEDIF(T76, TODAY(), "YM") &amp; " Bulan"</f>
        <v>#VALUE!</v>
      </c>
      <c r="V76" s="281" t="s">
        <v>928</v>
      </c>
      <c r="W76" s="281" t="s">
        <v>851</v>
      </c>
      <c r="X76" s="283" t="str">
        <f ca="1">IF(AND(OR(L76="AA",L76="L"),OR(S76="Penata Muda Tk. I Golongan III/b",S76="Penata Golongan III/c"),DATEDIF(Q76,TODAY(),"m")&gt;=23,ISBLANK(Z76),C76="Aktif"),"Nominasi Serdos","-")</f>
        <v>-</v>
      </c>
      <c r="Y76" s="281"/>
      <c r="Z76" s="282"/>
      <c r="AA76" s="295"/>
      <c r="AB76" s="281" t="s">
        <v>30</v>
      </c>
      <c r="AC76" s="282" t="s">
        <v>511</v>
      </c>
      <c r="AD76" s="281" t="s">
        <v>30</v>
      </c>
      <c r="AE76" s="281" t="s">
        <v>30</v>
      </c>
      <c r="AF76" s="281" t="s">
        <v>30</v>
      </c>
      <c r="AG76" s="281" t="s">
        <v>30</v>
      </c>
      <c r="AH76" s="281" t="s">
        <v>854</v>
      </c>
      <c r="AI76" s="281" t="s">
        <v>30</v>
      </c>
      <c r="AJ76" s="281" t="s">
        <v>30</v>
      </c>
      <c r="AK76" s="281" t="s">
        <v>30</v>
      </c>
      <c r="AM76" s="286">
        <v>44832</v>
      </c>
      <c r="AN76" s="287" t="str">
        <f ca="1">DATEDIF(AM76,TODAY(),"y")&amp;" tahun "&amp;DATEDIF(AM76,TODAY(),"ym")&amp;" bulan "</f>
        <v xml:space="preserve">3 tahun 3 bulan </v>
      </c>
      <c r="AO76" s="281" t="s">
        <v>868</v>
      </c>
      <c r="AP76" s="281" t="s">
        <v>880</v>
      </c>
      <c r="AQ76" s="281" t="s">
        <v>1174</v>
      </c>
      <c r="AR76" s="281" t="s">
        <v>359</v>
      </c>
      <c r="AS76" s="281">
        <v>81234464242</v>
      </c>
      <c r="AT76" s="281" t="s">
        <v>360</v>
      </c>
      <c r="AU76" s="281" t="s">
        <v>30</v>
      </c>
      <c r="AV76" s="281"/>
      <c r="AW76" s="281" t="str">
        <f>VLOOKUP(B76,Sheet2!A92:I209,9,FALSE)</f>
        <v>Rifki Dwi Putranto, S.T., M.T.</v>
      </c>
      <c r="AX76" s="281" t="s">
        <v>861</v>
      </c>
      <c r="AY76" s="281" t="str">
        <f>VLOOKUP(B76,Sheet2!A92:C209,2,FALSE)</f>
        <v>Surakarta</v>
      </c>
      <c r="AZ76" s="288">
        <f>VLOOKUP(B76,Sheet2!A92:C209,3,FALSE)</f>
        <v>34877</v>
      </c>
      <c r="BA76" s="281">
        <f ca="1">DATEDIF(AZ76, TODAY(),"y")</f>
        <v>30</v>
      </c>
      <c r="BB76" s="281"/>
      <c r="BC76" s="281"/>
      <c r="BD76" s="281"/>
      <c r="BE76" s="281"/>
      <c r="BF76" s="289"/>
      <c r="BG76" s="289"/>
      <c r="BH76" s="289"/>
      <c r="BI76" s="289"/>
      <c r="BJ76" s="289"/>
      <c r="BK76" s="289"/>
      <c r="BL76" s="288" t="str">
        <f>VLOOKUP(B76,Sheet2!A92:D209,4,FALSE)</f>
        <v>Dosen</v>
      </c>
      <c r="BM76" s="281"/>
      <c r="BN76" s="281"/>
      <c r="BO76" s="281"/>
      <c r="BP76" s="281"/>
      <c r="BQ76" s="281"/>
      <c r="BR76" s="288" t="str">
        <f>VLOOKUP(B76,Sheet2!A92:E209,5,FALSE)</f>
        <v>Sustainable Material, Instrumentation, Energy, and Computation (SMART)</v>
      </c>
      <c r="BS76" s="288" t="str">
        <f>VLOOKUP(B76,Sheet2!A92:F209,6,FALSE)</f>
        <v>RIX</v>
      </c>
      <c r="BT76" s="288" t="str">
        <f>VLOOKUP(B76,Sheet2!A92:G209,7,FALSE)</f>
        <v>Fakultas Teknik Elektro</v>
      </c>
      <c r="BU76" s="288" t="str">
        <f>VLOOKUP(B76,Sheet2!A92:H209,8,FALSE)</f>
        <v>rifkidwi@telkomuniversity.ac.id</v>
      </c>
      <c r="BV76" s="280">
        <f>COUNTIFS('Join TPA Dosen'!B:B,Dosen!B92)</f>
        <v>1</v>
      </c>
      <c r="BW76" s="273" t="str">
        <f>DATEDIF(AM76,DATE(2026,1,1),"y")&amp;" tahun "&amp;DATEDIF(AM76,DATE(2026,1,1),"ym")&amp;" bulan "</f>
        <v xml:space="preserve">3 tahun 3 bulan </v>
      </c>
      <c r="BX76" s="280" t="str">
        <f>VLOOKUP($B76,Sheet1!$A:$G,2,FALSE)</f>
        <v>UNS</v>
      </c>
      <c r="BY76" s="280" t="str">
        <f>VLOOKUP($B76,Sheet1!$A:$G,3,FALSE)</f>
        <v>Teknik Mesin</v>
      </c>
      <c r="BZ76" s="280" t="str">
        <f>VLOOKUP($B76,Sheet1!$A:$G,4,FALSE)</f>
        <v>ITS</v>
      </c>
      <c r="CA76" s="280" t="str">
        <f>VLOOKUP($B76,Sheet1!$A:$G,5,FALSE)</f>
        <v>Teknik Mesin</v>
      </c>
      <c r="CB76" s="280" t="str">
        <f>VLOOKUP($B76,Sheet1!$A:$G,6,FALSE)</f>
        <v>-</v>
      </c>
      <c r="CC76" s="280">
        <f>VLOOKUP($B76,Sheet1!$A:$G,7,FALSE)</f>
        <v>0</v>
      </c>
      <c r="CD76" s="273" t="s">
        <v>871</v>
      </c>
      <c r="CE76" s="280" t="s">
        <v>872</v>
      </c>
    </row>
    <row r="77" spans="1:83" ht="18.95">
      <c r="A77" s="281">
        <v>2</v>
      </c>
      <c r="B77" s="281" t="s">
        <v>339</v>
      </c>
      <c r="C77" s="281" t="s">
        <v>20</v>
      </c>
      <c r="D77" s="281" t="s">
        <v>330</v>
      </c>
      <c r="E77" s="281">
        <v>19870005</v>
      </c>
      <c r="F77" s="281" t="s">
        <v>1175</v>
      </c>
      <c r="G77" s="282" t="s">
        <v>340</v>
      </c>
      <c r="H77" s="281" t="s">
        <v>845</v>
      </c>
      <c r="I77" s="281" t="s">
        <v>30</v>
      </c>
      <c r="J77" s="281" t="s">
        <v>176</v>
      </c>
      <c r="K77" s="281" t="s">
        <v>846</v>
      </c>
      <c r="L77" s="281" t="s">
        <v>847</v>
      </c>
      <c r="M77" s="283" t="str">
        <f>IF(L77="NJAD","AA",IF(L77="AA","L",IF(L77="L","LK","GB")))</f>
        <v>L</v>
      </c>
      <c r="N77" s="282" t="s">
        <v>511</v>
      </c>
      <c r="O77" s="281">
        <v>150</v>
      </c>
      <c r="P77" s="281" t="s">
        <v>1176</v>
      </c>
      <c r="Q77" s="284">
        <v>43999</v>
      </c>
      <c r="R77" s="281" t="str">
        <f ca="1">DATEDIF(Q77,TODAY(), "Y") &amp; " Tahun " &amp; DATEDIF(Q77, TODAY(), "YM") &amp; " Bulan"</f>
        <v>5 Tahun 7 Bulan</v>
      </c>
      <c r="S77" s="281" t="s">
        <v>849</v>
      </c>
      <c r="T77" s="285">
        <v>44044</v>
      </c>
      <c r="U77" s="281" t="str">
        <f ca="1">DATEDIF(T77,TODAY(), "Y") &amp; " Tahun " &amp; DATEDIF(T77, TODAY(), "YM") &amp; " Bulan"</f>
        <v>5 Tahun 5 Bulan</v>
      </c>
      <c r="V77" s="281" t="s">
        <v>938</v>
      </c>
      <c r="W77" s="281" t="s">
        <v>851</v>
      </c>
      <c r="X77" s="283" t="str">
        <f ca="1">IF(AND(OR(L77="AA",L77="L"),OR(S77="Penata Muda Tk. I Golongan III/b",S77="Penata Golongan III/c"),DATEDIF(Q77,TODAY(),"m")&gt;=23,ISBLANK(Z77),C77="Aktif"),"Nominasi Serdos","-")</f>
        <v>-</v>
      </c>
      <c r="Y77" s="281"/>
      <c r="Z77" s="281" t="s">
        <v>852</v>
      </c>
      <c r="AA77" s="281">
        <v>22107201905184</v>
      </c>
      <c r="AB77" s="281" t="s">
        <v>1177</v>
      </c>
      <c r="AC77" s="285">
        <v>44846</v>
      </c>
      <c r="AD77" s="281" t="s">
        <v>30</v>
      </c>
      <c r="AE77" s="281" t="s">
        <v>30</v>
      </c>
      <c r="AF77" s="281" t="s">
        <v>30</v>
      </c>
      <c r="AG77" s="281" t="s">
        <v>30</v>
      </c>
      <c r="AH77" s="281" t="s">
        <v>854</v>
      </c>
      <c r="AI77" s="281" t="s">
        <v>855</v>
      </c>
      <c r="AJ77" s="281" t="s">
        <v>856</v>
      </c>
      <c r="AK77" s="281" t="s">
        <v>855</v>
      </c>
      <c r="AL77" s="281" t="s">
        <v>857</v>
      </c>
      <c r="AM77" s="286">
        <v>43101</v>
      </c>
      <c r="AN77" s="287" t="str">
        <f ca="1">DATEDIF(AM77,TODAY(),"y")&amp;" tahun "&amp;DATEDIF(AM77,TODAY(),"ym")&amp;" bulan "</f>
        <v xml:space="preserve">8 tahun 0 bulan </v>
      </c>
      <c r="AO77" s="281" t="s">
        <v>868</v>
      </c>
      <c r="AP77" s="281" t="s">
        <v>939</v>
      </c>
      <c r="AQ77" s="281" t="s">
        <v>1178</v>
      </c>
      <c r="AR77" s="305" t="s">
        <v>341</v>
      </c>
      <c r="AS77" s="281">
        <v>82134340781</v>
      </c>
      <c r="AT77" s="281" t="s">
        <v>342</v>
      </c>
      <c r="AU77" s="281" t="s">
        <v>30</v>
      </c>
      <c r="AV77" s="281"/>
      <c r="AW77" s="281" t="str">
        <f>VLOOKUP(B77,Sheet2!A3:I120,9,FALSE)</f>
        <v>Dwi Edi Setyawan, S.T., M.T.</v>
      </c>
      <c r="AX77" s="281" t="s">
        <v>861</v>
      </c>
      <c r="AY77" s="281" t="str">
        <f>VLOOKUP(B77,Sheet2!A3:C120,2,FALSE)</f>
        <v>Surabaya</v>
      </c>
      <c r="AZ77" s="288">
        <f>VLOOKUP(B77,Sheet2!A3:C120,3,FALSE)</f>
        <v>31941</v>
      </c>
      <c r="BA77" s="281">
        <f ca="1">DATEDIF(AZ77, TODAY(),"y")</f>
        <v>38</v>
      </c>
      <c r="BB77" s="281"/>
      <c r="BC77" s="281"/>
      <c r="BD77" s="281"/>
      <c r="BE77" s="281"/>
      <c r="BF77" s="289"/>
      <c r="BG77" s="289"/>
      <c r="BH77" s="289"/>
      <c r="BI77" s="289"/>
      <c r="BJ77" s="289"/>
      <c r="BK77" s="289"/>
      <c r="BL77" s="288" t="str">
        <f>VLOOKUP(B77,Sheet2!A3:D120,4,FALSE)</f>
        <v>Dosen</v>
      </c>
      <c r="BM77" s="281"/>
      <c r="BN77" s="281"/>
      <c r="BO77" s="281"/>
      <c r="BP77" s="281"/>
      <c r="BQ77" s="281"/>
      <c r="BR77" s="288" t="str">
        <f>VLOOKUP(B77,Sheet2!A3:E120,5,FALSE)</f>
        <v>Control, Elektronics, and Intelligent Systems (CEIS)</v>
      </c>
      <c r="BS77" s="288" t="str">
        <f>VLOOKUP(B77,Sheet2!A3:F120,6,FALSE)</f>
        <v>DWZ</v>
      </c>
      <c r="BT77" s="288" t="str">
        <f>VLOOKUP(B77,Sheet2!A3:G120,7,FALSE)</f>
        <v>Fakultas Teknik Elektro</v>
      </c>
      <c r="BU77" s="288" t="str">
        <f>VLOOKUP(B77,Sheet2!A3:H120,8,FALSE)</f>
        <v>dwiedi@telkomuniversity.ac.id</v>
      </c>
      <c r="BV77" s="280">
        <f>COUNTIFS('Join TPA Dosen'!B:B,Dosen!B24)</f>
        <v>1</v>
      </c>
      <c r="BW77" s="273" t="str">
        <f>DATEDIF(AM77,DATE(2026,1,1),"y")&amp;" tahun "&amp;DATEDIF(AM77,DATE(2026,1,1),"ym")&amp;" bulan "</f>
        <v xml:space="preserve">8 tahun 0 bulan </v>
      </c>
      <c r="BX77" s="280" t="str">
        <f>VLOOKUP($B77,Sheet1!$A:$G,2,FALSE)</f>
        <v>UBHARA</v>
      </c>
      <c r="BY77" s="280" t="str">
        <f>VLOOKUP($B77,Sheet1!$A:$G,3,FALSE)</f>
        <v>Teknik Elektro</v>
      </c>
      <c r="BZ77" s="280" t="str">
        <f>VLOOKUP($B77,Sheet1!$A:$G,4,FALSE)</f>
        <v>ITS</v>
      </c>
      <c r="CA77" s="280" t="str">
        <f>VLOOKUP($B77,Sheet1!$A:$G,5,FALSE)</f>
        <v>Teknik Elektro</v>
      </c>
      <c r="CB77" s="280" t="str">
        <f>VLOOKUP($B77,Sheet1!$A:$G,6,FALSE)</f>
        <v>ITS</v>
      </c>
      <c r="CC77" s="280" t="str">
        <f>VLOOKUP($B77,Sheet1!$A:$G,7,FALSE)</f>
        <v>Teknik Komputer</v>
      </c>
      <c r="CD77" s="280" t="s">
        <v>871</v>
      </c>
      <c r="CE77" s="280" t="s">
        <v>872</v>
      </c>
    </row>
    <row r="78" spans="1:83" ht="18.95">
      <c r="A78" s="281">
        <v>3</v>
      </c>
      <c r="B78" s="281" t="s">
        <v>352</v>
      </c>
      <c r="C78" s="281" t="s">
        <v>20</v>
      </c>
      <c r="D78" s="281" t="s">
        <v>330</v>
      </c>
      <c r="E78" s="281">
        <v>19880005</v>
      </c>
      <c r="F78" s="281" t="s">
        <v>1179</v>
      </c>
      <c r="G78" s="282" t="s">
        <v>353</v>
      </c>
      <c r="H78" s="281" t="s">
        <v>845</v>
      </c>
      <c r="I78" s="281" t="s">
        <v>30</v>
      </c>
      <c r="J78" s="281" t="s">
        <v>354</v>
      </c>
      <c r="K78" s="281" t="s">
        <v>846</v>
      </c>
      <c r="L78" s="281" t="s">
        <v>847</v>
      </c>
      <c r="M78" s="283" t="str">
        <f>IF(L78="NJAD","AA",IF(L78="AA","L",IF(L78="L","LK","GB")))</f>
        <v>L</v>
      </c>
      <c r="N78" s="282" t="s">
        <v>511</v>
      </c>
      <c r="O78" s="281">
        <v>150</v>
      </c>
      <c r="P78" s="281" t="s">
        <v>1180</v>
      </c>
      <c r="Q78" s="284">
        <v>43971</v>
      </c>
      <c r="R78" s="281" t="str">
        <f ca="1">DATEDIF(Q78,TODAY(), "Y") &amp; " Tahun " &amp; DATEDIF(Q78, TODAY(), "YM") &amp; " Bulan"</f>
        <v>5 Tahun 7 Bulan</v>
      </c>
      <c r="S78" s="281" t="s">
        <v>849</v>
      </c>
      <c r="T78" s="285">
        <v>44044</v>
      </c>
      <c r="U78" s="281" t="str">
        <f ca="1">DATEDIF(T78,TODAY(), "Y") &amp; " Tahun " &amp; DATEDIF(T78, TODAY(), "YM") &amp; " Bulan"</f>
        <v>5 Tahun 5 Bulan</v>
      </c>
      <c r="V78" s="281" t="s">
        <v>928</v>
      </c>
      <c r="W78" s="281" t="s">
        <v>851</v>
      </c>
      <c r="X78" s="283" t="str">
        <f ca="1">IF(AND(OR(L78="AA",L78="L"),OR(S78="Penata Muda Tk. I Golongan III/b",S78="Penata Golongan III/c"),DATEDIF(Q78,TODAY(),"m")&gt;=23,ISBLANK(Z78),C78="Aktif"),"Nominasi Serdos","-")</f>
        <v>-</v>
      </c>
      <c r="Y78" s="281"/>
      <c r="Z78" s="281" t="s">
        <v>852</v>
      </c>
      <c r="AA78" s="281">
        <v>22107201902502</v>
      </c>
      <c r="AB78" s="281" t="s">
        <v>1181</v>
      </c>
      <c r="AC78" s="285">
        <v>44783</v>
      </c>
      <c r="AD78" s="281" t="s">
        <v>30</v>
      </c>
      <c r="AE78" s="281" t="s">
        <v>30</v>
      </c>
      <c r="AF78" s="281" t="s">
        <v>30</v>
      </c>
      <c r="AG78" s="281" t="s">
        <v>30</v>
      </c>
      <c r="AH78" s="281" t="s">
        <v>854</v>
      </c>
      <c r="AI78" s="281" t="s">
        <v>855</v>
      </c>
      <c r="AJ78" s="281" t="s">
        <v>856</v>
      </c>
      <c r="AK78" s="281" t="s">
        <v>855</v>
      </c>
      <c r="AL78" s="281" t="s">
        <v>857</v>
      </c>
      <c r="AM78" s="286">
        <v>43101</v>
      </c>
      <c r="AN78" s="287" t="str">
        <f ca="1">DATEDIF(AM78,TODAY(),"y")&amp;" tahun "&amp;DATEDIF(AM78,TODAY(),"ym")&amp;" bulan "</f>
        <v xml:space="preserve">8 tahun 0 bulan </v>
      </c>
      <c r="AO78" s="281" t="s">
        <v>868</v>
      </c>
      <c r="AP78" s="281" t="s">
        <v>880</v>
      </c>
      <c r="AQ78" s="281" t="s">
        <v>1182</v>
      </c>
      <c r="AR78" s="281" t="s">
        <v>355</v>
      </c>
      <c r="AS78" s="281">
        <v>81232573646</v>
      </c>
      <c r="AT78" s="281" t="s">
        <v>356</v>
      </c>
      <c r="AU78" s="281" t="s">
        <v>30</v>
      </c>
      <c r="AV78" s="281"/>
      <c r="AW78" s="281" t="str">
        <f>VLOOKUP(B78,Sheet2!A4:I121,9,FALSE)</f>
        <v>Moch. Iskandar Riansyah, S.ST., M.T.</v>
      </c>
      <c r="AX78" s="281" t="s">
        <v>861</v>
      </c>
      <c r="AY78" s="281" t="str">
        <f>VLOOKUP(B78,Sheet2!A4:C121,2,FALSE)</f>
        <v>Jember</v>
      </c>
      <c r="AZ78" s="288">
        <f>VLOOKUP(B78,Sheet2!A4:C121,3,FALSE)</f>
        <v>32315</v>
      </c>
      <c r="BA78" s="281">
        <f ca="1">DATEDIF(AZ78, TODAY(),"y")</f>
        <v>37</v>
      </c>
      <c r="BB78" s="281"/>
      <c r="BC78" s="281"/>
      <c r="BD78" s="281"/>
      <c r="BE78" s="281"/>
      <c r="BF78" s="289"/>
      <c r="BG78" s="289"/>
      <c r="BH78" s="289"/>
      <c r="BI78" s="304"/>
      <c r="BJ78" s="304"/>
      <c r="BK78" s="304"/>
      <c r="BL78" s="288" t="str">
        <f>VLOOKUP(B78,Sheet2!A4:D121,4,FALSE)</f>
        <v>Dosen</v>
      </c>
      <c r="BM78" s="281"/>
      <c r="BN78" s="281"/>
      <c r="BO78" s="281"/>
      <c r="BP78" s="281"/>
      <c r="BQ78" s="281"/>
      <c r="BR78" s="288" t="str">
        <f>VLOOKUP(B78,Sheet2!A4:E121,5,FALSE)</f>
        <v>Control, Elektronics, and Intelligent Systems (CEIS)</v>
      </c>
      <c r="BS78" s="288" t="str">
        <f>VLOOKUP(B78,Sheet2!A4:F121,6,FALSE)</f>
        <v>ISC</v>
      </c>
      <c r="BT78" s="288" t="str">
        <f>VLOOKUP(B78,Sheet2!A4:G121,7,FALSE)</f>
        <v>Fakultas Teknik Elektro</v>
      </c>
      <c r="BU78" s="288" t="str">
        <f>VLOOKUP(B78,Sheet2!A4:H121,8,FALSE)</f>
        <v>riansyah@telkomuniversity.ac.id</v>
      </c>
      <c r="BV78" s="280">
        <f>COUNTIFS('Join TPA Dosen'!B:B,Dosen!B34)</f>
        <v>1</v>
      </c>
      <c r="BW78" s="273" t="str">
        <f>DATEDIF(AM78,DATE(2026,1,1),"y")&amp;" tahun "&amp;DATEDIF(AM78,DATE(2026,1,1),"ym")&amp;" bulan "</f>
        <v xml:space="preserve">8 tahun 0 bulan </v>
      </c>
      <c r="BX78" s="280" t="str">
        <f>VLOOKUP($B78,Sheet1!$A:$G,2,FALSE)</f>
        <v>PENS</v>
      </c>
      <c r="BY78" s="280" t="str">
        <f>VLOOKUP($B78,Sheet1!$A:$G,3,FALSE)</f>
        <v>Teknik Elektronika</v>
      </c>
      <c r="BZ78" s="280" t="str">
        <f>VLOOKUP($B78,Sheet1!$A:$G,4,FALSE)</f>
        <v>ITB</v>
      </c>
      <c r="CA78" s="280" t="str">
        <f>VLOOKUP($B78,Sheet1!$A:$G,5,FALSE)</f>
        <v>Teknik Elektro</v>
      </c>
      <c r="CB78" s="280" t="str">
        <f>VLOOKUP($B78,Sheet1!$A:$G,6,FALSE)</f>
        <v>ITS</v>
      </c>
      <c r="CC78" s="280" t="str">
        <f>VLOOKUP($B78,Sheet1!$A:$G,7,FALSE)</f>
        <v>Teknik Elektro</v>
      </c>
      <c r="CD78" s="280" t="s">
        <v>862</v>
      </c>
      <c r="CE78" s="280" t="s">
        <v>872</v>
      </c>
    </row>
    <row r="79" spans="1:83" ht="19.5">
      <c r="A79" s="281">
        <v>92</v>
      </c>
      <c r="B79" s="281" t="s">
        <v>393</v>
      </c>
      <c r="C79" s="281" t="s">
        <v>20</v>
      </c>
      <c r="D79" s="281" t="s">
        <v>370</v>
      </c>
      <c r="E79" s="281">
        <v>22970044</v>
      </c>
      <c r="F79" s="281" t="s">
        <v>1183</v>
      </c>
      <c r="G79" s="282" t="s">
        <v>394</v>
      </c>
      <c r="H79" s="291" t="s">
        <v>884</v>
      </c>
      <c r="I79" s="281" t="s">
        <v>30</v>
      </c>
      <c r="J79" s="281" t="s">
        <v>395</v>
      </c>
      <c r="K79" s="281" t="s">
        <v>846</v>
      </c>
      <c r="L79" s="281" t="s">
        <v>847</v>
      </c>
      <c r="M79" s="283" t="str">
        <f>IF(L79="NJAD","AA",IF(L79="AA","L",IF(L79="L","LK","GB")))</f>
        <v>L</v>
      </c>
      <c r="N79" s="282" t="s">
        <v>511</v>
      </c>
      <c r="O79" s="281">
        <v>150</v>
      </c>
      <c r="P79" s="281" t="s">
        <v>1184</v>
      </c>
      <c r="Q79" s="284">
        <v>45444</v>
      </c>
      <c r="R79" s="281" t="str">
        <f ca="1">DATEDIF(Q79,TODAY(), "Y") &amp; " Tahun " &amp; DATEDIF(Q79, TODAY(), "YM") &amp; " Bulan"</f>
        <v>1 Tahun 7 Bulan</v>
      </c>
      <c r="S79" s="281" t="s">
        <v>849</v>
      </c>
      <c r="T79" s="285">
        <v>45717</v>
      </c>
      <c r="U79" s="281" t="str">
        <f ca="1">DATEDIF(T79,TODAY(), "Y") &amp; " Tahun " &amp; DATEDIF(T79, TODAY(), "YM") &amp; " Bulan"</f>
        <v>0 Tahun 10 Bulan</v>
      </c>
      <c r="V79" s="281" t="s">
        <v>966</v>
      </c>
      <c r="W79" s="281" t="s">
        <v>851</v>
      </c>
      <c r="X79" s="283" t="str">
        <f ca="1">IF(AND(OR(L79="AA",L79="L"),OR(S79="Penata Muda Tk. I Golongan III/b",S79="Penata Golongan III/c"),DATEDIF(Q79,TODAY(),"m")&gt;=23,ISBLANK(Z79),C79="Aktif"),"Nominasi Serdos","-")</f>
        <v>-</v>
      </c>
      <c r="Y79" s="281"/>
      <c r="Z79" s="282"/>
      <c r="AA79" s="295"/>
      <c r="AB79" s="281" t="s">
        <v>30</v>
      </c>
      <c r="AC79" s="282" t="s">
        <v>511</v>
      </c>
      <c r="AD79" s="281" t="s">
        <v>30</v>
      </c>
      <c r="AE79" s="281" t="s">
        <v>30</v>
      </c>
      <c r="AF79" s="281" t="s">
        <v>30</v>
      </c>
      <c r="AG79" s="281" t="s">
        <v>30</v>
      </c>
      <c r="AH79" s="281" t="s">
        <v>854</v>
      </c>
      <c r="AI79" s="281" t="s">
        <v>30</v>
      </c>
      <c r="AJ79" s="281" t="s">
        <v>30</v>
      </c>
      <c r="AK79" s="281" t="s">
        <v>30</v>
      </c>
      <c r="AM79" s="286">
        <v>44832</v>
      </c>
      <c r="AN79" s="287" t="str">
        <f ca="1">DATEDIF(AM79,TODAY(),"y")&amp;" tahun "&amp;DATEDIF(AM79,TODAY(),"ym")&amp;" bulan "</f>
        <v xml:space="preserve">3 tahun 3 bulan </v>
      </c>
      <c r="AO79" s="281" t="s">
        <v>868</v>
      </c>
      <c r="AP79" s="281" t="s">
        <v>968</v>
      </c>
      <c r="AQ79" s="281" t="s">
        <v>1185</v>
      </c>
      <c r="AR79" s="281" t="s">
        <v>396</v>
      </c>
      <c r="AS79" s="281">
        <v>81333596409</v>
      </c>
      <c r="AT79" s="281" t="s">
        <v>397</v>
      </c>
      <c r="AU79" s="281" t="s">
        <v>30</v>
      </c>
      <c r="AV79" s="281"/>
      <c r="AW79" s="281" t="str">
        <f>VLOOKUP(B79,Sheet2!A93:I210,9,FALSE)</f>
        <v>Huki Chandra, S.T., M.Sc.</v>
      </c>
      <c r="AX79" s="281" t="s">
        <v>861</v>
      </c>
      <c r="AY79" s="281" t="str">
        <f>VLOOKUP(B79,Sheet2!A93:C210,2,FALSE)</f>
        <v>Pekanbaru</v>
      </c>
      <c r="AZ79" s="288">
        <f>VLOOKUP(B79,Sheet2!A93:C210,3,FALSE)</f>
        <v>35630</v>
      </c>
      <c r="BA79" s="281">
        <f ca="1">DATEDIF(AZ79, TODAY(),"y")</f>
        <v>28</v>
      </c>
      <c r="BB79" s="281"/>
      <c r="BC79" s="281"/>
      <c r="BD79" s="281"/>
      <c r="BE79" s="281"/>
      <c r="BF79" s="289"/>
      <c r="BG79" s="289"/>
      <c r="BH79" s="289"/>
      <c r="BI79" s="289"/>
      <c r="BJ79" s="289"/>
      <c r="BK79" s="289"/>
      <c r="BL79" s="288" t="str">
        <f>VLOOKUP(B79,Sheet2!A93:D210,4,FALSE)</f>
        <v>Dosen</v>
      </c>
      <c r="BM79" s="281"/>
      <c r="BN79" s="281"/>
      <c r="BO79" s="281"/>
      <c r="BP79" s="281"/>
      <c r="BQ79" s="281"/>
      <c r="BR79" s="288" t="str">
        <f>VLOOKUP(B79,Sheet2!A93:E210,5,FALSE)</f>
        <v>Production and Manufacturing System</v>
      </c>
      <c r="BS79" s="288" t="str">
        <f>VLOOKUP(B79,Sheet2!A93:F210,6,FALSE)</f>
        <v>HKC</v>
      </c>
      <c r="BT79" s="288" t="str">
        <f>VLOOKUP(B79,Sheet2!A93:G210,7,FALSE)</f>
        <v>Fakultas Rekayasa Industri</v>
      </c>
      <c r="BU79" s="288" t="str">
        <f>VLOOKUP(B79,Sheet2!A93:H210,8,FALSE)</f>
        <v>hukichandra@telkomuniversity.ac.id</v>
      </c>
      <c r="BV79" s="280">
        <f>COUNTIFS('Join TPA Dosen'!B:B,Dosen!B93)</f>
        <v>1</v>
      </c>
      <c r="BW79" s="273" t="str">
        <f>DATEDIF(AM79,DATE(2026,1,1),"y")&amp;" tahun "&amp;DATEDIF(AM79,DATE(2026,1,1),"ym")&amp;" bulan "</f>
        <v xml:space="preserve">3 tahun 3 bulan </v>
      </c>
      <c r="BX79" s="280" t="str">
        <f>VLOOKUP($B79,Sheet1!$A:$G,2,FALSE)</f>
        <v>UGM</v>
      </c>
      <c r="BY79" s="280" t="str">
        <f>VLOOKUP($B79,Sheet1!$A:$G,3,FALSE)</f>
        <v>Teknik Industri</v>
      </c>
      <c r="BZ79" s="280" t="str">
        <f>VLOOKUP($B79,Sheet1!$A:$G,4,FALSE)</f>
        <v>UGM</v>
      </c>
      <c r="CA79" s="280" t="str">
        <f>VLOOKUP($B79,Sheet1!$A:$G,5,FALSE)</f>
        <v>Teknik Industri</v>
      </c>
      <c r="CB79" s="280" t="str">
        <f>VLOOKUP($B79,Sheet1!$A:$G,6,FALSE)</f>
        <v>-</v>
      </c>
      <c r="CC79" s="280">
        <f>VLOOKUP($B79,Sheet1!$A:$G,7,FALSE)</f>
        <v>0</v>
      </c>
      <c r="CD79" s="280" t="s">
        <v>882</v>
      </c>
      <c r="CE79" s="280" t="s">
        <v>863</v>
      </c>
    </row>
    <row r="80" spans="1:83" ht="19.5">
      <c r="A80" s="281">
        <v>93</v>
      </c>
      <c r="B80" s="281" t="s">
        <v>312</v>
      </c>
      <c r="C80" s="281" t="s">
        <v>20</v>
      </c>
      <c r="D80" s="281" t="s">
        <v>235</v>
      </c>
      <c r="E80" s="281">
        <v>22980046</v>
      </c>
      <c r="F80" s="281" t="s">
        <v>1186</v>
      </c>
      <c r="G80" s="282" t="s">
        <v>313</v>
      </c>
      <c r="H80" s="291" t="s">
        <v>884</v>
      </c>
      <c r="I80" s="281" t="s">
        <v>30</v>
      </c>
      <c r="J80" s="281" t="s">
        <v>57</v>
      </c>
      <c r="K80" s="281" t="s">
        <v>846</v>
      </c>
      <c r="L80" s="281" t="s">
        <v>847</v>
      </c>
      <c r="M80" s="283" t="str">
        <f>IF(L80="NJAD","AA",IF(L80="AA","L",IF(L80="L","LK","GB")))</f>
        <v>L</v>
      </c>
      <c r="N80" s="292"/>
      <c r="O80" s="281">
        <v>150</v>
      </c>
      <c r="P80" s="281" t="s">
        <v>1187</v>
      </c>
      <c r="Q80" s="284">
        <v>45870</v>
      </c>
      <c r="R80" s="281" t="str">
        <f ca="1">DATEDIF(Q80,TODAY(), "Y") &amp; " Tahun " &amp; DATEDIF(Q80, TODAY(), "YM") &amp; " Bulan"</f>
        <v>0 Tahun 5 Bulan</v>
      </c>
      <c r="S80" s="281" t="s">
        <v>849</v>
      </c>
      <c r="T80" s="285">
        <v>45931</v>
      </c>
      <c r="U80" s="281" t="str">
        <f ca="1">DATEDIF(T80,TODAY(), "Y") &amp; " Tahun " &amp; DATEDIF(T80, TODAY(), "YM") &amp; " Bulan"</f>
        <v>0 Tahun 3 Bulan</v>
      </c>
      <c r="V80" s="281" t="s">
        <v>933</v>
      </c>
      <c r="W80" s="281" t="s">
        <v>851</v>
      </c>
      <c r="X80" s="283" t="str">
        <f ca="1">IF(AND(OR(L80="AA",L80="L"),OR(S80="Penata Muda Tk. I Golongan III/b",S80="Penata Golongan III/c"),DATEDIF(Q80,TODAY(),"m")&gt;=23,ISBLANK(Z80),C80="Aktif"),"Nominasi Serdos","-")</f>
        <v>-</v>
      </c>
      <c r="Y80" s="281"/>
      <c r="Z80" s="282"/>
      <c r="AA80" s="295"/>
      <c r="AB80" s="281" t="s">
        <v>30</v>
      </c>
      <c r="AC80" s="282" t="s">
        <v>511</v>
      </c>
      <c r="AD80" s="281" t="s">
        <v>30</v>
      </c>
      <c r="AE80" s="281" t="s">
        <v>30</v>
      </c>
      <c r="AF80" s="281" t="s">
        <v>30</v>
      </c>
      <c r="AG80" s="281" t="s">
        <v>30</v>
      </c>
      <c r="AH80" s="281" t="s">
        <v>854</v>
      </c>
      <c r="AI80" s="281" t="s">
        <v>30</v>
      </c>
      <c r="AJ80" s="281" t="s">
        <v>30</v>
      </c>
      <c r="AK80" s="281" t="s">
        <v>30</v>
      </c>
      <c r="AM80" s="286">
        <v>44832</v>
      </c>
      <c r="AN80" s="287" t="str">
        <f ca="1">DATEDIF(AM80,TODAY(),"y")&amp;" tahun "&amp;DATEDIF(AM80,TODAY(),"ym")&amp;" bulan "</f>
        <v xml:space="preserve">3 tahun 3 bulan </v>
      </c>
      <c r="AO80" s="281" t="s">
        <v>858</v>
      </c>
      <c r="AP80" s="281" t="s">
        <v>934</v>
      </c>
      <c r="AQ80" s="281" t="s">
        <v>1188</v>
      </c>
      <c r="AR80" s="281" t="s">
        <v>314</v>
      </c>
      <c r="AS80" s="281">
        <v>81336546637</v>
      </c>
      <c r="AT80" s="281" t="s">
        <v>315</v>
      </c>
      <c r="AU80" s="281" t="s">
        <v>30</v>
      </c>
      <c r="AV80" s="281"/>
      <c r="AW80" s="281" t="str">
        <f>VLOOKUP(B80,Sheet2!A94:I211,9,FALSE)</f>
        <v>Tita Ayu Rospricilia, S.Kom., M.Kom.</v>
      </c>
      <c r="AX80" s="281" t="s">
        <v>902</v>
      </c>
      <c r="AY80" s="281" t="str">
        <f>VLOOKUP(B80,Sheet2!A94:C211,2,FALSE)</f>
        <v>Sidoarjo</v>
      </c>
      <c r="AZ80" s="288">
        <f>VLOOKUP(B80,Sheet2!A94:C211,3,FALSE)</f>
        <v>35887</v>
      </c>
      <c r="BA80" s="281">
        <f ca="1">DATEDIF(AZ80, TODAY(),"y")</f>
        <v>27</v>
      </c>
      <c r="BB80" s="281"/>
      <c r="BC80" s="281"/>
      <c r="BD80" s="281"/>
      <c r="BE80" s="281"/>
      <c r="BF80" s="289"/>
      <c r="BG80" s="289"/>
      <c r="BH80" s="289"/>
      <c r="BI80" s="289"/>
      <c r="BJ80" s="289"/>
      <c r="BK80" s="289"/>
      <c r="BL80" s="288" t="str">
        <f>VLOOKUP(B80,Sheet2!A94:D211,4,FALSE)</f>
        <v>Kepala Urusan</v>
      </c>
      <c r="BM80" s="281"/>
      <c r="BN80" s="281"/>
      <c r="BO80" s="281"/>
      <c r="BP80" s="281"/>
      <c r="BQ80" s="281"/>
      <c r="BR80" s="288" t="str">
        <f>VLOOKUP(B80,Sheet2!A94:E211,5,FALSE)</f>
        <v>Enterprise and Industrial System (EINS)</v>
      </c>
      <c r="BS80" s="288" t="str">
        <f>VLOOKUP(B80,Sheet2!A94:F211,6,FALSE)</f>
        <v>TRL</v>
      </c>
      <c r="BT80" s="288" t="str">
        <f>VLOOKUP(B80,Sheet2!A94:G211,7,FALSE)</f>
        <v>Fakultas Rekayasa Industri</v>
      </c>
      <c r="BU80" s="288" t="str">
        <f>VLOOKUP(B80,Sheet2!A94:H211,8,FALSE)</f>
        <v>titaayu@telkomuniversity.ac.id</v>
      </c>
      <c r="BV80" s="280">
        <f>COUNTIFS('Join TPA Dosen'!B:B,Dosen!B94)</f>
        <v>1</v>
      </c>
      <c r="BW80" s="273" t="str">
        <f>DATEDIF(AM80,DATE(2026,1,1),"y")&amp;" tahun "&amp;DATEDIF(AM80,DATE(2026,1,1),"ym")&amp;" bulan "</f>
        <v xml:space="preserve">3 tahun 3 bulan </v>
      </c>
      <c r="BX80" s="280" t="str">
        <f>VLOOKUP($B80,Sheet1!$A:$G,2,FALSE)</f>
        <v>UPN</v>
      </c>
      <c r="BY80" s="280" t="str">
        <f>VLOOKUP($B80,Sheet1!$A:$G,3,FALSE)</f>
        <v>Sistem Informasi</v>
      </c>
      <c r="BZ80" s="280" t="str">
        <f>VLOOKUP($B80,Sheet1!$A:$G,4,FALSE)</f>
        <v>ITS</v>
      </c>
      <c r="CA80" s="280" t="str">
        <f>VLOOKUP($B80,Sheet1!$A:$G,5,FALSE)</f>
        <v>Sistem Informasi</v>
      </c>
      <c r="CB80" s="280" t="str">
        <f>VLOOKUP($B80,Sheet1!$A:$G,6,FALSE)</f>
        <v>-</v>
      </c>
      <c r="CC80" s="280">
        <f>VLOOKUP($B80,Sheet1!$A:$G,7,FALSE)</f>
        <v>0</v>
      </c>
      <c r="CD80" s="280" t="s">
        <v>862</v>
      </c>
      <c r="CE80" s="280" t="s">
        <v>863</v>
      </c>
    </row>
    <row r="81" spans="1:83" ht="19.5">
      <c r="A81" s="281">
        <v>94</v>
      </c>
      <c r="B81" s="281" t="s">
        <v>174</v>
      </c>
      <c r="C81" s="281" t="s">
        <v>20</v>
      </c>
      <c r="D81" s="281" t="s">
        <v>170</v>
      </c>
      <c r="E81" s="282" t="s">
        <v>1189</v>
      </c>
      <c r="F81" s="281" t="s">
        <v>1190</v>
      </c>
      <c r="G81" s="282" t="s">
        <v>175</v>
      </c>
      <c r="H81" s="281" t="s">
        <v>845</v>
      </c>
      <c r="I81" s="281" t="s">
        <v>30</v>
      </c>
      <c r="J81" s="281" t="s">
        <v>176</v>
      </c>
      <c r="K81" s="281" t="s">
        <v>893</v>
      </c>
      <c r="L81" s="281" t="s">
        <v>775</v>
      </c>
      <c r="M81" s="283" t="str">
        <f>IF(L81="NJAD","AA",IF(L81="AA","L",IF(L81="L","LK","GB")))</f>
        <v>LK</v>
      </c>
      <c r="N81" s="292" t="s">
        <v>511</v>
      </c>
      <c r="O81" s="281">
        <v>200</v>
      </c>
      <c r="P81" s="281" t="s">
        <v>1191</v>
      </c>
      <c r="Q81" s="284">
        <v>45627</v>
      </c>
      <c r="R81" s="281" t="str">
        <f ca="1">DATEDIF(Q81,TODAY(), "Y") &amp; " Tahun " &amp; DATEDIF(Q81, TODAY(), "YM") &amp; " Bulan"</f>
        <v>1 Tahun 1 Bulan</v>
      </c>
      <c r="S81" s="281" t="s">
        <v>876</v>
      </c>
      <c r="T81" s="285">
        <v>46023</v>
      </c>
      <c r="U81" s="281" t="str">
        <f ca="1">DATEDIF(T81,TODAY(), "Y") &amp; " Tahun " &amp; DATEDIF(T81, TODAY(), "YM") &amp; " Bulan"</f>
        <v>0 Tahun 0 Bulan</v>
      </c>
      <c r="V81" s="281" t="s">
        <v>1192</v>
      </c>
      <c r="W81" s="281" t="s">
        <v>851</v>
      </c>
      <c r="X81" s="283" t="str">
        <f ca="1">IF(AND(OR(L81="AA",L81="L"),OR(S81="Penata Muda Tk. I Golongan III/b",S81="Penata Golongan III/c"),DATEDIF(Q81,TODAY(),"m")&gt;=23,ISBLANK(Z81),C81="Aktif"),"Nominasi Serdos","-")</f>
        <v>-</v>
      </c>
      <c r="Y81" s="281"/>
      <c r="Z81" s="281" t="s">
        <v>852</v>
      </c>
      <c r="AA81" s="281">
        <v>13104105706561</v>
      </c>
      <c r="AB81" s="281" t="s">
        <v>1193</v>
      </c>
      <c r="AC81" s="285">
        <v>41618</v>
      </c>
      <c r="AD81" s="281" t="s">
        <v>30</v>
      </c>
      <c r="AE81" s="281" t="s">
        <v>30</v>
      </c>
      <c r="AF81" s="281" t="s">
        <v>30</v>
      </c>
      <c r="AG81" s="281" t="s">
        <v>30</v>
      </c>
      <c r="AH81" s="281" t="s">
        <v>854</v>
      </c>
      <c r="AI81" s="281" t="s">
        <v>30</v>
      </c>
      <c r="AJ81" s="281" t="s">
        <v>30</v>
      </c>
      <c r="AK81" s="281" t="s">
        <v>30</v>
      </c>
      <c r="AM81" s="286">
        <v>39845</v>
      </c>
      <c r="AN81" s="287" t="str">
        <f ca="1">DATEDIF(AM81,TODAY(),"y")&amp;" tahun "&amp;DATEDIF(AM81,TODAY(),"ym")&amp;" bulan "</f>
        <v xml:space="preserve">16 tahun 11 bulan </v>
      </c>
      <c r="AO81" s="281" t="s">
        <v>858</v>
      </c>
      <c r="AP81" s="281" t="s">
        <v>914</v>
      </c>
      <c r="AQ81" s="281" t="s">
        <v>1194</v>
      </c>
      <c r="AR81" s="281" t="s">
        <v>177</v>
      </c>
      <c r="AS81" s="281">
        <v>8121446627</v>
      </c>
      <c r="AT81" s="281" t="s">
        <v>178</v>
      </c>
      <c r="AU81" s="281" t="s">
        <v>30</v>
      </c>
      <c r="AV81" s="281"/>
      <c r="AW81" s="281" t="str">
        <f>VLOOKUP(B81,Sheet2!A95:I212,9,FALSE)</f>
        <v>Dahliar Ananda, S.T., M.T.</v>
      </c>
      <c r="AX81" s="281" t="s">
        <v>861</v>
      </c>
      <c r="AY81" s="281" t="str">
        <f>VLOOKUP(B81,Sheet2!A95:C212,2,FALSE)</f>
        <v>Banyuwangi</v>
      </c>
      <c r="AZ81" s="288">
        <f>VLOOKUP(B81,Sheet2!A95:C212,3,FALSE)</f>
        <v>30073</v>
      </c>
      <c r="BA81" s="281">
        <f ca="1">DATEDIF(AZ81, TODAY(),"y")</f>
        <v>43</v>
      </c>
      <c r="BB81" s="281"/>
      <c r="BC81" s="281"/>
      <c r="BD81" s="281"/>
      <c r="BE81" s="281"/>
      <c r="BF81" s="289"/>
      <c r="BG81" s="289"/>
      <c r="BH81" s="289"/>
      <c r="BI81" s="289"/>
      <c r="BJ81" s="289"/>
      <c r="BK81" s="289"/>
      <c r="BL81" s="288" t="str">
        <f>VLOOKUP(B81,Sheet2!A95:D212,4,FALSE)</f>
        <v>Kabag</v>
      </c>
      <c r="BM81" s="281"/>
      <c r="BN81" s="281"/>
      <c r="BO81" s="281"/>
      <c r="BP81" s="281"/>
      <c r="BQ81" s="281"/>
      <c r="BR81" s="288" t="str">
        <f>VLOOKUP(B81,Sheet2!A95:E212,5,FALSE)</f>
        <v>Software Engineering and Algorithm (SEAL)</v>
      </c>
      <c r="BS81" s="288" t="str">
        <f>VLOOKUP(B81,Sheet2!A95:F212,6,FALSE)</f>
        <v>DAN</v>
      </c>
      <c r="BT81" s="288" t="str">
        <f>VLOOKUP(B81,Sheet2!A95:G212,7,FALSE)</f>
        <v>Fakultas Informatika</v>
      </c>
      <c r="BU81" s="288" t="str">
        <f>VLOOKUP(B81,Sheet2!A95:H212,8,FALSE)</f>
        <v>ananda@telkomuniversity.ac.id</v>
      </c>
      <c r="BV81" s="280">
        <f>COUNTIFS('Join TPA Dosen'!B:B,Dosen!B11)</f>
        <v>1</v>
      </c>
      <c r="BW81" s="273" t="str">
        <f>DATEDIF(AM81,DATE(2026,1,1),"y")&amp;" tahun "&amp;DATEDIF(AM81,DATE(2026,1,1),"ym")&amp;" bulan "</f>
        <v xml:space="preserve">16 tahun 11 bulan </v>
      </c>
      <c r="BX81" s="280" t="str">
        <f>VLOOKUP($B81,Sheet1!$A:$G,2,FALSE)</f>
        <v>STT Telkom</v>
      </c>
      <c r="BY81" s="280" t="str">
        <f>VLOOKUP($B81,Sheet1!$A:$G,3,FALSE)</f>
        <v>Teknik Informatika</v>
      </c>
      <c r="BZ81" s="280" t="str">
        <f>VLOOKUP($B81,Sheet1!$A:$G,4,FALSE)</f>
        <v>ITB</v>
      </c>
      <c r="CA81" s="280" t="str">
        <f>VLOOKUP($B81,Sheet1!$A:$G,5,FALSE)</f>
        <v>Informatika</v>
      </c>
      <c r="CB81" s="280" t="str">
        <f>VLOOKUP($B81,Sheet1!$A:$G,6,FALSE)</f>
        <v>-</v>
      </c>
      <c r="CC81" s="280">
        <f>VLOOKUP($B81,Sheet1!$A:$G,7,FALSE)</f>
        <v>0</v>
      </c>
      <c r="CD81" s="280" t="s">
        <v>862</v>
      </c>
      <c r="CE81" s="280" t="s">
        <v>903</v>
      </c>
    </row>
    <row r="82" spans="1:83" ht="18.95">
      <c r="A82" s="281">
        <v>22</v>
      </c>
      <c r="B82" s="281" t="s">
        <v>347</v>
      </c>
      <c r="C82" s="281" t="s">
        <v>20</v>
      </c>
      <c r="D82" s="281" t="s">
        <v>330</v>
      </c>
      <c r="E82" s="281">
        <v>19920004</v>
      </c>
      <c r="F82" s="281" t="s">
        <v>1195</v>
      </c>
      <c r="G82" s="282" t="s">
        <v>348</v>
      </c>
      <c r="H82" s="281" t="s">
        <v>845</v>
      </c>
      <c r="I82" s="281" t="s">
        <v>30</v>
      </c>
      <c r="J82" s="281" t="s">
        <v>349</v>
      </c>
      <c r="K82" s="281" t="s">
        <v>893</v>
      </c>
      <c r="L82" s="281" t="s">
        <v>775</v>
      </c>
      <c r="M82" s="283" t="str">
        <f>IF(L82="NJAD","AA",IF(L82="AA","L",IF(L82="L","LK","GB")))</f>
        <v>LK</v>
      </c>
      <c r="N82" s="282" t="s">
        <v>511</v>
      </c>
      <c r="O82" s="281">
        <v>200</v>
      </c>
      <c r="P82" s="281" t="s">
        <v>1196</v>
      </c>
      <c r="Q82" s="284">
        <v>44805</v>
      </c>
      <c r="R82" s="281" t="str">
        <f ca="1">DATEDIF(Q82,TODAY(), "Y") &amp; " Tahun " &amp; DATEDIF(Q82, TODAY(), "YM") &amp; " Bulan"</f>
        <v>3 Tahun 4 Bulan</v>
      </c>
      <c r="S82" s="281" t="s">
        <v>876</v>
      </c>
      <c r="T82" s="285">
        <v>45658</v>
      </c>
      <c r="U82" s="281" t="str">
        <f ca="1">DATEDIF(T82,TODAY(), "Y") &amp; " Tahun " &amp; DATEDIF(T82, TODAY(), "YM") &amp; " Bulan"</f>
        <v>1 Tahun 0 Bulan</v>
      </c>
      <c r="V82" s="281" t="s">
        <v>928</v>
      </c>
      <c r="W82" s="281" t="s">
        <v>851</v>
      </c>
      <c r="X82" s="283" t="str">
        <f ca="1">IF(AND(OR(L82="AA",L82="L"),OR(S82="Penata Muda Tk. I Golongan III/b",S82="Penata Golongan III/c"),DATEDIF(Q82,TODAY(),"m")&gt;=23,ISBLANK(Z82),C82="Aktif"),"Nominasi Serdos","-")</f>
        <v>-</v>
      </c>
      <c r="Y82" s="281"/>
      <c r="Z82" s="281" t="s">
        <v>852</v>
      </c>
      <c r="AA82" s="290">
        <v>2.31072E+18</v>
      </c>
      <c r="AB82" s="281" t="s">
        <v>1197</v>
      </c>
      <c r="AC82" s="285">
        <v>45230</v>
      </c>
      <c r="AD82" s="281" t="s">
        <v>30</v>
      </c>
      <c r="AE82" s="281" t="s">
        <v>30</v>
      </c>
      <c r="AF82" s="281" t="s">
        <v>30</v>
      </c>
      <c r="AG82" s="281" t="s">
        <v>30</v>
      </c>
      <c r="AH82" s="281" t="s">
        <v>854</v>
      </c>
      <c r="AI82" s="281" t="s">
        <v>855</v>
      </c>
      <c r="AJ82" s="281" t="s">
        <v>856</v>
      </c>
      <c r="AK82" s="281" t="s">
        <v>855</v>
      </c>
      <c r="AL82" s="281" t="s">
        <v>857</v>
      </c>
      <c r="AM82" s="286">
        <v>43101</v>
      </c>
      <c r="AN82" s="287" t="str">
        <f ca="1">DATEDIF(AM82,TODAY(),"y")&amp;" tahun "&amp;DATEDIF(AM82,TODAY(),"ym")&amp;" bulan "</f>
        <v xml:space="preserve">8 tahun 0 bulan </v>
      </c>
      <c r="AO82" s="281" t="s">
        <v>868</v>
      </c>
      <c r="AP82" s="281" t="s">
        <v>880</v>
      </c>
      <c r="AQ82" s="281" t="s">
        <v>1198</v>
      </c>
      <c r="AR82" s="281" t="s">
        <v>350</v>
      </c>
      <c r="AS82" s="281">
        <v>82143903133</v>
      </c>
      <c r="AT82" s="281" t="s">
        <v>351</v>
      </c>
      <c r="AU82" s="281" t="s">
        <v>30</v>
      </c>
      <c r="AV82" s="281"/>
      <c r="AW82" s="281" t="str">
        <f>VLOOKUP(B82,Sheet2!A23:I140,9,FALSE)</f>
        <v>Lora Khaula Amifia, S.Pd., M.Eng.</v>
      </c>
      <c r="AX82" s="281" t="s">
        <v>902</v>
      </c>
      <c r="AY82" s="281" t="str">
        <f>VLOOKUP(B82,Sheet2!A23:C140,2,FALSE)</f>
        <v>Mojokerto</v>
      </c>
      <c r="AZ82" s="288">
        <f>VLOOKUP(B82,Sheet2!A23:C140,3,FALSE)</f>
        <v>33761</v>
      </c>
      <c r="BA82" s="281">
        <f ca="1">DATEDIF(AZ82, TODAY(),"y")</f>
        <v>33</v>
      </c>
      <c r="BB82" s="281"/>
      <c r="BC82" s="281"/>
      <c r="BD82" s="281"/>
      <c r="BE82" s="281"/>
      <c r="BF82" s="289"/>
      <c r="BG82" s="289"/>
      <c r="BH82" s="289"/>
      <c r="BI82" s="289"/>
      <c r="BJ82" s="289"/>
      <c r="BK82" s="289"/>
      <c r="BL82" s="288" t="str">
        <f>VLOOKUP(B82,Sheet2!A23:D140,4,FALSE)</f>
        <v>Dosen</v>
      </c>
      <c r="BM82" s="281"/>
      <c r="BN82" s="281"/>
      <c r="BO82" s="281"/>
      <c r="BP82" s="281"/>
      <c r="BQ82" s="281"/>
      <c r="BR82" s="288" t="str">
        <f>VLOOKUP(B82,Sheet2!A23:E140,5,FALSE)</f>
        <v>Sustainable Material, Instrumentation, Energy, and Computation (SMART)</v>
      </c>
      <c r="BS82" s="288" t="str">
        <f>VLOOKUP(B82,Sheet2!A23:F140,6,FALSE)</f>
        <v>KHL</v>
      </c>
      <c r="BT82" s="288" t="str">
        <f>VLOOKUP(B82,Sheet2!A23:G140,7,FALSE)</f>
        <v>Fakultas Teknik Elektro</v>
      </c>
      <c r="BU82" s="288" t="str">
        <f>VLOOKUP(B82,Sheet2!A23:H140,8,FALSE)</f>
        <v>loraamifia@telkomuniversity.ac.id</v>
      </c>
      <c r="BV82" s="280">
        <f>COUNTIFS('Join TPA Dosen'!B:B,Dosen!B33)</f>
        <v>1</v>
      </c>
      <c r="BW82" s="273" t="str">
        <f>DATEDIF(AM82,DATE(2026,1,1),"y")&amp;" tahun "&amp;DATEDIF(AM82,DATE(2026,1,1),"ym")&amp;" bulan "</f>
        <v xml:space="preserve">8 tahun 0 bulan </v>
      </c>
      <c r="BX82" s="280" t="str">
        <f>VLOOKUP($B82,Sheet1!$A:$G,2,FALSE)</f>
        <v>UNM</v>
      </c>
      <c r="BY82" s="280" t="str">
        <f>VLOOKUP($B82,Sheet1!$A:$G,3,FALSE)</f>
        <v>Pendidikan Teknik Elektro</v>
      </c>
      <c r="BZ82" s="280" t="str">
        <f>VLOOKUP($B82,Sheet1!$A:$G,4,FALSE)</f>
        <v>UGM</v>
      </c>
      <c r="CA82" s="280" t="str">
        <f>VLOOKUP($B82,Sheet1!$A:$G,5,FALSE)</f>
        <v>Teknik Elektro</v>
      </c>
      <c r="CB82" s="280" t="str">
        <f>VLOOKUP($B82,Sheet1!$A:$G,6,FALSE)</f>
        <v>ITS</v>
      </c>
      <c r="CC82" s="280" t="str">
        <f>VLOOKUP($B82,Sheet1!$A:$G,7,FALSE)</f>
        <v>Teknik Elektro</v>
      </c>
      <c r="CD82" s="280" t="s">
        <v>871</v>
      </c>
      <c r="CE82" s="280" t="s">
        <v>872</v>
      </c>
    </row>
    <row r="83" spans="1:83" ht="19.5">
      <c r="A83" s="281">
        <v>95</v>
      </c>
      <c r="B83" s="281" t="s">
        <v>514</v>
      </c>
      <c r="C83" s="281" t="s">
        <v>20</v>
      </c>
      <c r="D83" s="281" t="s">
        <v>475</v>
      </c>
      <c r="E83" s="281">
        <v>23900001</v>
      </c>
      <c r="F83" s="291" t="s">
        <v>1199</v>
      </c>
      <c r="G83" s="296" t="s">
        <v>515</v>
      </c>
      <c r="H83" s="291" t="s">
        <v>884</v>
      </c>
      <c r="I83" s="281" t="s">
        <v>30</v>
      </c>
      <c r="J83" s="281" t="s">
        <v>516</v>
      </c>
      <c r="K83" s="281" t="s">
        <v>874</v>
      </c>
      <c r="L83" s="281" t="s">
        <v>775</v>
      </c>
      <c r="M83" s="283" t="str">
        <f>IF(L83="NJAD","AA",IF(L83="AA","L",IF(L83="L","LK","GB")))</f>
        <v>LK</v>
      </c>
      <c r="N83" s="292" t="s">
        <v>511</v>
      </c>
      <c r="O83" s="281">
        <v>200</v>
      </c>
      <c r="P83" s="281" t="s">
        <v>30</v>
      </c>
      <c r="Q83" s="284">
        <v>45597</v>
      </c>
      <c r="R83" s="281" t="str">
        <f ca="1">DATEDIF(Q83,TODAY(), "Y") &amp; " Tahun " &amp; DATEDIF(Q83, TODAY(), "YM") &amp; " Bulan"</f>
        <v>1 Tahun 2 Bulan</v>
      </c>
      <c r="S83" s="281" t="s">
        <v>876</v>
      </c>
      <c r="T83" s="285">
        <v>45717</v>
      </c>
      <c r="U83" s="281" t="str">
        <f ca="1">DATEDIF(T83,TODAY(), "Y") &amp; " Tahun " &amp; DATEDIF(T83, TODAY(), "YM") &amp; " Bulan"</f>
        <v>0 Tahun 10 Bulan</v>
      </c>
      <c r="V83" s="281" t="s">
        <v>1200</v>
      </c>
      <c r="W83" s="281" t="s">
        <v>851</v>
      </c>
      <c r="X83" s="283" t="str">
        <f ca="1">IF(AND(OR(L83="AA",L83="L"),OR(S83="Penata Muda Tk. I Golongan III/b",S83="Penata Golongan III/c"),DATEDIF(Q83,TODAY(),"m")&gt;=23,ISBLANK(Z83),C83="Aktif"),"Nominasi Serdos","-")</f>
        <v>-</v>
      </c>
      <c r="Y83" s="281"/>
      <c r="Z83" s="282"/>
      <c r="AA83" s="281"/>
      <c r="AB83" s="281" t="s">
        <v>30</v>
      </c>
      <c r="AC83" s="281" t="s">
        <v>30</v>
      </c>
      <c r="AD83" s="281" t="s">
        <v>30</v>
      </c>
      <c r="AE83" s="281" t="s">
        <v>30</v>
      </c>
      <c r="AF83" s="281" t="s">
        <v>30</v>
      </c>
      <c r="AG83" s="281" t="s">
        <v>30</v>
      </c>
      <c r="AH83" s="281" t="s">
        <v>879</v>
      </c>
      <c r="AI83" s="281" t="s">
        <v>30</v>
      </c>
      <c r="AJ83" s="281" t="s">
        <v>30</v>
      </c>
      <c r="AK83" s="281" t="s">
        <v>30</v>
      </c>
      <c r="AM83" s="286">
        <v>44927</v>
      </c>
      <c r="AN83" s="287" t="str">
        <f ca="1">DATEDIF(AM83,TODAY(),"y")&amp;" tahun "&amp;DATEDIF(AM83,TODAY(),"ym")&amp;" bulan "</f>
        <v xml:space="preserve">3 tahun 0 bulan </v>
      </c>
      <c r="AO83" s="281" t="s">
        <v>868</v>
      </c>
      <c r="AP83" s="281" t="s">
        <v>939</v>
      </c>
      <c r="AQ83" s="281" t="s">
        <v>1201</v>
      </c>
      <c r="AR83" s="281" t="s">
        <v>517</v>
      </c>
      <c r="AS83" s="281">
        <v>81232146437</v>
      </c>
      <c r="AT83" s="281" t="s">
        <v>518</v>
      </c>
      <c r="AU83" s="281" t="s">
        <v>30</v>
      </c>
      <c r="AV83" s="281"/>
      <c r="AW83" s="281" t="str">
        <f>VLOOKUP(B83,Sheet2!A96:I213,9,FALSE)</f>
        <v>Hendy Briantoro, S.ST., M.T., Ph.D.</v>
      </c>
      <c r="AX83" s="281" t="s">
        <v>861</v>
      </c>
      <c r="AY83" s="281" t="str">
        <f>VLOOKUP(B83,Sheet2!A96:C213,2,FALSE)</f>
        <v>Pasuruan</v>
      </c>
      <c r="AZ83" s="288">
        <f>VLOOKUP(B83,Sheet2!A96:C213,3,FALSE)</f>
        <v>33084</v>
      </c>
      <c r="BA83" s="281">
        <f ca="1">DATEDIF(AZ83, TODAY(),"y")</f>
        <v>35</v>
      </c>
      <c r="BB83" s="281"/>
      <c r="BC83" s="281"/>
      <c r="BD83" s="281"/>
      <c r="BE83" s="281"/>
      <c r="BF83" s="289"/>
      <c r="BG83" s="289"/>
      <c r="BH83" s="289"/>
      <c r="BI83" s="289"/>
      <c r="BJ83" s="289"/>
      <c r="BK83" s="289"/>
      <c r="BL83" s="288" t="str">
        <f>VLOOKUP(B83,Sheet2!A96:D213,4,FALSE)</f>
        <v>Kabag</v>
      </c>
      <c r="BM83" s="281"/>
      <c r="BN83" s="281"/>
      <c r="BO83" s="281"/>
      <c r="BP83" s="281"/>
      <c r="BQ83" s="281"/>
      <c r="BR83" s="288" t="str">
        <f>VLOOKUP(B83,Sheet2!A96:E213,5,FALSE)</f>
        <v>Intelligent Communications and Networks (ICON)</v>
      </c>
      <c r="BS83" s="288" t="str">
        <f>VLOOKUP(B83,Sheet2!A96:F213,6,FALSE)</f>
        <v>HBO</v>
      </c>
      <c r="BT83" s="288" t="str">
        <f>VLOOKUP(B83,Sheet2!A96:G213,7,FALSE)</f>
        <v>Fakultas Teknik Elektro</v>
      </c>
      <c r="BU83" s="288" t="str">
        <f>VLOOKUP(B83,Sheet2!A96:H213,8,FALSE)</f>
        <v>hendybr@telkomuniversity.ac.id</v>
      </c>
      <c r="BV83" s="280">
        <f>COUNTIFS('Join TPA Dosen'!B:B,Dosen!B96)</f>
        <v>1</v>
      </c>
      <c r="BW83" s="273" t="str">
        <f>DATEDIF(AM83,DATE(2026,1,1),"y")&amp;" tahun "&amp;DATEDIF(AM83,DATE(2026,1,1),"ym")&amp;" bulan "</f>
        <v xml:space="preserve">3 tahun 0 bulan </v>
      </c>
      <c r="BX83" s="280" t="str">
        <f>VLOOKUP($B83,Sheet1!$A:$G,2,FALSE)</f>
        <v>PENS</v>
      </c>
      <c r="BY83" s="280" t="str">
        <f>VLOOKUP($B83,Sheet1!$A:$G,3,FALSE)</f>
        <v>Teknik Telekomunikasi</v>
      </c>
      <c r="BZ83" s="280" t="str">
        <f>VLOOKUP($B83,Sheet1!$A:$G,4,FALSE)</f>
        <v>PENS</v>
      </c>
      <c r="CA83" s="280" t="str">
        <f>VLOOKUP($B83,Sheet1!$A:$G,5,FALSE)</f>
        <v>Teknik Elektro</v>
      </c>
      <c r="CB83" s="280" t="str">
        <f>VLOOKUP($B83,Sheet1!$A:$G,6,FALSE)</f>
        <v>Okayama University</v>
      </c>
      <c r="CC83" s="280" t="str">
        <f>VLOOKUP($B83,Sheet1!$A:$G,7,FALSE)</f>
        <v>Division of Industrial Innovation Sciences</v>
      </c>
      <c r="CD83" s="280" t="s">
        <v>862</v>
      </c>
      <c r="CE83" s="280" t="s">
        <v>872</v>
      </c>
    </row>
    <row r="84" spans="1:83" ht="19.5">
      <c r="A84" s="281">
        <v>96</v>
      </c>
      <c r="B84" s="333" t="s">
        <v>316</v>
      </c>
      <c r="C84" s="281" t="s">
        <v>20</v>
      </c>
      <c r="D84" s="281" t="s">
        <v>235</v>
      </c>
      <c r="E84" s="281">
        <v>22940041</v>
      </c>
      <c r="F84" s="281" t="s">
        <v>1202</v>
      </c>
      <c r="G84" s="282" t="s">
        <v>317</v>
      </c>
      <c r="H84" s="291" t="s">
        <v>884</v>
      </c>
      <c r="I84" s="281" t="s">
        <v>143</v>
      </c>
      <c r="J84" s="281" t="s">
        <v>318</v>
      </c>
      <c r="K84" s="281" t="s">
        <v>846</v>
      </c>
      <c r="L84" s="281" t="s">
        <v>847</v>
      </c>
      <c r="M84" s="283" t="str">
        <f>IF(L84="NJAD","AA",IF(L84="AA","L",IF(L84="L","LK","GB")))</f>
        <v>L</v>
      </c>
      <c r="N84" s="282" t="s">
        <v>511</v>
      </c>
      <c r="O84" s="281">
        <v>150</v>
      </c>
      <c r="P84" s="281" t="s">
        <v>1203</v>
      </c>
      <c r="Q84" s="284">
        <v>45748</v>
      </c>
      <c r="R84" s="281" t="str">
        <f ca="1">DATEDIF(Q84,TODAY(), "Y") &amp; " Tahun " &amp; DATEDIF(Q84, TODAY(), "YM") &amp; " Bulan"</f>
        <v>0 Tahun 9 Bulan</v>
      </c>
      <c r="S84" s="281" t="s">
        <v>849</v>
      </c>
      <c r="T84" s="285">
        <v>45809</v>
      </c>
      <c r="U84" s="281" t="str">
        <f ca="1">DATEDIF(T84,TODAY(), "Y") &amp; " Tahun " &amp; DATEDIF(T84, TODAY(), "YM") &amp; " Bulan"</f>
        <v>0 Tahun 7 Bulan</v>
      </c>
      <c r="V84" s="281" t="s">
        <v>933</v>
      </c>
      <c r="W84" s="281" t="s">
        <v>851</v>
      </c>
      <c r="X84" s="283" t="str">
        <f ca="1">IF(AND(OR(L84="AA",L84="L"),OR(S84="Penata Muda Tk. I Golongan III/b",S84="Penata Golongan III/c"),DATEDIF(Q84,TODAY(),"m")&gt;=23,ISBLANK(Z84),C84="Aktif"),"Nominasi Serdos","-")</f>
        <v>-</v>
      </c>
      <c r="Y84" s="281"/>
      <c r="Z84" s="282"/>
      <c r="AA84" s="295"/>
      <c r="AB84" s="281" t="s">
        <v>30</v>
      </c>
      <c r="AC84" s="282" t="s">
        <v>511</v>
      </c>
      <c r="AD84" s="281" t="s">
        <v>30</v>
      </c>
      <c r="AE84" s="281" t="s">
        <v>30</v>
      </c>
      <c r="AF84" s="281" t="s">
        <v>30</v>
      </c>
      <c r="AG84" s="281" t="s">
        <v>30</v>
      </c>
      <c r="AH84" s="281" t="s">
        <v>879</v>
      </c>
      <c r="AI84" s="281"/>
      <c r="AJ84" s="281"/>
      <c r="AK84" s="281"/>
      <c r="AL84" s="281"/>
      <c r="AM84" s="286">
        <v>44832</v>
      </c>
      <c r="AN84" s="287" t="str">
        <f ca="1">DATEDIF(AM84,TODAY(),"y")&amp;" tahun "&amp;DATEDIF(AM84,TODAY(),"ym")&amp;" bulan "</f>
        <v xml:space="preserve">3 tahun 3 bulan </v>
      </c>
      <c r="AO84" s="281" t="s">
        <v>858</v>
      </c>
      <c r="AP84" s="281" t="s">
        <v>934</v>
      </c>
      <c r="AQ84" s="281" t="s">
        <v>1204</v>
      </c>
      <c r="AR84" s="281" t="s">
        <v>319</v>
      </c>
      <c r="AS84" s="281">
        <v>81333283721</v>
      </c>
      <c r="AT84" s="281" t="s">
        <v>320</v>
      </c>
      <c r="AU84" s="281" t="s">
        <v>30</v>
      </c>
      <c r="AV84" s="302"/>
      <c r="AW84" s="281" t="str">
        <f>VLOOKUP(B84,Sheet2!A97:I214,9,FALSE)</f>
        <v>Berlian Rahmy Lidiawaty, S.ST., M.MT.</v>
      </c>
      <c r="AX84" s="302" t="s">
        <v>902</v>
      </c>
      <c r="AY84" s="281" t="str">
        <f>VLOOKUP(B84,Sheet2!A97:C214,2,FALSE)</f>
        <v>Kediri</v>
      </c>
      <c r="AZ84" s="288">
        <f>VLOOKUP(B84,Sheet2!A97:C214,3,FALSE)</f>
        <v>34617</v>
      </c>
      <c r="BA84" s="281">
        <f ca="1">DATEDIF(AZ84, TODAY(),"y")</f>
        <v>31</v>
      </c>
      <c r="BB84" s="302"/>
      <c r="BC84" s="302"/>
      <c r="BD84" s="302"/>
      <c r="BE84" s="302"/>
      <c r="BF84" s="306"/>
      <c r="BG84" s="306"/>
      <c r="BH84" s="306"/>
      <c r="BI84" s="306"/>
      <c r="BJ84" s="306"/>
      <c r="BK84" s="306"/>
      <c r="BL84" s="288" t="str">
        <f>VLOOKUP(B84,Sheet2!A97:D214,4,FALSE)</f>
        <v>Dosen</v>
      </c>
      <c r="BM84" s="302"/>
      <c r="BN84" s="302"/>
      <c r="BO84" s="302"/>
      <c r="BP84" s="302"/>
      <c r="BQ84" s="302"/>
      <c r="BR84" s="288" t="str">
        <f>VLOOKUP(B84,Sheet2!A97:E214,5,FALSE)</f>
        <v>Cybernetics</v>
      </c>
      <c r="BS84" s="288" t="str">
        <f>VLOOKUP(B84,Sheet2!A97:F214,6,FALSE)</f>
        <v>BRL</v>
      </c>
      <c r="BT84" s="288" t="str">
        <f>VLOOKUP(B84,Sheet2!A97:G214,7,FALSE)</f>
        <v>Fakultas Rekayasa Industri</v>
      </c>
      <c r="BU84" s="288" t="str">
        <f>VLOOKUP(B84,Sheet2!A97:H214,8,FALSE)</f>
        <v>berlianerel@telkomuniversity.ac.id</v>
      </c>
      <c r="BV84" s="280">
        <f>COUNTIFS('Join TPA Dosen'!B:B,Dosen!B97)</f>
        <v>1</v>
      </c>
      <c r="BW84" s="273" t="str">
        <f>DATEDIF(AM84,DATE(2026,1,1),"y")&amp;" tahun "&amp;DATEDIF(AM84,DATE(2026,1,1),"ym")&amp;" bulan "</f>
        <v xml:space="preserve">3 tahun 3 bulan </v>
      </c>
      <c r="BX84" s="280" t="str">
        <f>VLOOKUP($B84,Sheet1!$A:$G,2,FALSE)</f>
        <v>PENS</v>
      </c>
      <c r="BY84" s="280" t="str">
        <f>VLOOKUP($B84,Sheet1!$A:$G,3,FALSE)</f>
        <v>Teknik Informatika</v>
      </c>
      <c r="BZ84" s="280" t="str">
        <f>VLOOKUP($B84,Sheet1!$A:$G,4,FALSE)</f>
        <v>ITS</v>
      </c>
      <c r="CA84" s="280" t="str">
        <f>VLOOKUP($B84,Sheet1!$A:$G,5,FALSE)</f>
        <v>Manajemen Teknologi - Manajemen Teknologi Informasi</v>
      </c>
      <c r="CB84" s="280" t="str">
        <f>VLOOKUP($B84,Sheet1!$A:$G,6,FALSE)</f>
        <v>ITS</v>
      </c>
      <c r="CC84" s="280" t="str">
        <f>VLOOKUP($B84,Sheet1!$A:$G,7,FALSE)</f>
        <v>Sistem Informasi</v>
      </c>
      <c r="CD84" s="280" t="s">
        <v>862</v>
      </c>
      <c r="CE84" s="280" t="s">
        <v>903</v>
      </c>
    </row>
    <row r="85" spans="1:83" ht="18.95">
      <c r="A85" s="331">
        <v>111</v>
      </c>
      <c r="B85" s="281" t="s">
        <v>366</v>
      </c>
      <c r="C85" s="332" t="s">
        <v>46</v>
      </c>
      <c r="D85" s="281" t="s">
        <v>330</v>
      </c>
      <c r="E85" s="281">
        <v>19700004</v>
      </c>
      <c r="F85" s="291" t="s">
        <v>1205</v>
      </c>
      <c r="G85" s="291"/>
      <c r="H85" s="281" t="s">
        <v>989</v>
      </c>
      <c r="I85" s="281" t="s">
        <v>367</v>
      </c>
      <c r="J85" s="281" t="s">
        <v>176</v>
      </c>
      <c r="K85" s="281" t="s">
        <v>1206</v>
      </c>
      <c r="L85" s="281" t="s">
        <v>1207</v>
      </c>
      <c r="M85" s="283" t="str">
        <f>IF(L85="NJAD","AA",IF(L85="AA","L",IF(L85="L","LK","GB")))</f>
        <v>GB</v>
      </c>
      <c r="N85" s="282" t="s">
        <v>511</v>
      </c>
      <c r="O85" s="281">
        <v>850</v>
      </c>
      <c r="P85" s="281" t="s">
        <v>1208</v>
      </c>
      <c r="Q85" s="284">
        <v>45078</v>
      </c>
      <c r="R85" s="281" t="str">
        <f ca="1">DATEDIF(Q85,TODAY(), "Y") &amp; " Tahun " &amp; DATEDIF(Q85, TODAY(), "YM") &amp; " Bulan"</f>
        <v>2 Tahun 7 Bulan</v>
      </c>
      <c r="S85" s="281" t="s">
        <v>1209</v>
      </c>
      <c r="T85" s="282" t="s">
        <v>511</v>
      </c>
      <c r="U85" s="281" t="e">
        <f ca="1">DATEDIF(T85,TODAY(), "Y") &amp; " Tahun " &amp; DATEDIF(T85, TODAY(), "YM") &amp; " Bulan"</f>
        <v>#VALUE!</v>
      </c>
      <c r="V85" s="281" t="s">
        <v>1210</v>
      </c>
      <c r="W85" s="281" t="s">
        <v>851</v>
      </c>
      <c r="X85" s="283" t="str">
        <f ca="1">IF(AND(OR(L85="AA",L85="L"),OR(S85="Penata Muda Tk. I Golongan III/b",S85="Penata Golongan III/c"),DATEDIF(Q85,TODAY(),"m")&gt;=23,ISBLANK(Z85),C85="Aktif"),"Nominasi Serdos","-")</f>
        <v>-</v>
      </c>
      <c r="Y85" s="281"/>
      <c r="Z85" s="281" t="s">
        <v>852</v>
      </c>
      <c r="AA85" s="281">
        <v>91105014510132</v>
      </c>
      <c r="AB85" s="281">
        <v>104909150</v>
      </c>
      <c r="AC85" s="285">
        <v>40035</v>
      </c>
      <c r="AD85" s="281" t="s">
        <v>30</v>
      </c>
      <c r="AE85" s="281" t="s">
        <v>30</v>
      </c>
      <c r="AF85" s="281" t="s">
        <v>30</v>
      </c>
      <c r="AG85" s="281" t="s">
        <v>30</v>
      </c>
      <c r="AH85" s="281" t="s">
        <v>879</v>
      </c>
      <c r="AI85" s="281" t="s">
        <v>30</v>
      </c>
      <c r="AJ85" s="281" t="s">
        <v>30</v>
      </c>
      <c r="AK85" s="281" t="s">
        <v>30</v>
      </c>
      <c r="AM85" s="286">
        <v>43770</v>
      </c>
      <c r="AN85" s="287" t="str">
        <f ca="1">DATEDIF(AM85,TODAY(),"y")&amp;" tahun "&amp;DATEDIF(AM85,TODAY(),"ym")&amp;" bulan "</f>
        <v xml:space="preserve">6 tahun 2 bulan </v>
      </c>
      <c r="AO85" s="281" t="s">
        <v>868</v>
      </c>
      <c r="AP85" s="281" t="s">
        <v>880</v>
      </c>
      <c r="AQ85" s="281" t="s">
        <v>30</v>
      </c>
      <c r="AR85" s="281" t="s">
        <v>368</v>
      </c>
      <c r="AS85" s="281" t="s">
        <v>30</v>
      </c>
      <c r="AT85" s="281" t="s">
        <v>30</v>
      </c>
      <c r="AU85" s="295" t="s">
        <v>30</v>
      </c>
      <c r="AV85" s="281"/>
      <c r="AW85" s="281" t="str">
        <f>VLOOKUP(B85,Sheet2!A112:I229,9,FALSE)</f>
        <v>Prof. Dr. Tri Arief Sardjono, S.T., M.T.</v>
      </c>
      <c r="AX85" s="281" t="s">
        <v>861</v>
      </c>
      <c r="AY85" s="281" t="str">
        <f>VLOOKUP(B85,Sheet2!A112:C229,2,FALSE)</f>
        <v>Surabaya</v>
      </c>
      <c r="AZ85" s="288">
        <f>VLOOKUP(B85,Sheet2!A112:C229,3,FALSE)</f>
        <v>25611</v>
      </c>
      <c r="BA85" s="281">
        <f ca="1">DATEDIF(AZ85, TODAY(),"y")</f>
        <v>55</v>
      </c>
      <c r="BB85" s="281"/>
      <c r="BC85" s="281"/>
      <c r="BD85" s="281"/>
      <c r="BE85" s="281"/>
      <c r="BF85" s="289"/>
      <c r="BG85" s="289"/>
      <c r="BH85" s="289"/>
      <c r="BI85" s="289"/>
      <c r="BJ85" s="289"/>
      <c r="BK85" s="289"/>
      <c r="BL85" s="288"/>
      <c r="BM85" s="281"/>
      <c r="BN85" s="281"/>
      <c r="BO85" s="281"/>
      <c r="BP85" s="281"/>
      <c r="BQ85" s="281"/>
      <c r="BR85" s="288" t="str">
        <f>VLOOKUP(B85,Sheet2!A112:E229,5,FALSE)</f>
        <v>Intelligent Communications and Networks (ICON)</v>
      </c>
      <c r="BS85" s="288" t="str">
        <f>VLOOKUP(B85,Sheet2!A112:F229,6,FALSE)</f>
        <v>TAF</v>
      </c>
      <c r="BT85" s="288" t="str">
        <f>VLOOKUP(B85,Sheet2!A112:G229,7,FALSE)</f>
        <v>Fakultas Teknik Elektro</v>
      </c>
      <c r="BU85" s="288" t="str">
        <f>VLOOKUP(B85,Sheet2!A112:H229,8,FALSE)</f>
        <v>sardjonotriarief@telkomuniversity.ac.id</v>
      </c>
      <c r="BV85" s="280">
        <f>COUNTIFS('Join TPA Dosen'!B:B,Dosen!B112)</f>
        <v>1</v>
      </c>
      <c r="BW85" s="273" t="str">
        <f>DATEDIF(AM85,DATE(2026,1,1),"y")&amp;" tahun "&amp;DATEDIF(AM85,DATE(2026,1,1),"ym")&amp;" bulan "</f>
        <v xml:space="preserve">6 tahun 2 bulan </v>
      </c>
      <c r="BX85" s="280" t="str">
        <f>VLOOKUP($B85,Sheet1!$A:$G,2,FALSE)</f>
        <v>ITS</v>
      </c>
      <c r="BY85" s="280" t="str">
        <f>VLOOKUP($B85,Sheet1!$A:$G,3,FALSE)</f>
        <v>Teknik Elektro</v>
      </c>
      <c r="BZ85" s="280" t="str">
        <f>VLOOKUP($B85,Sheet1!$A:$G,4,FALSE)</f>
        <v>ITB</v>
      </c>
      <c r="CA85" s="280" t="str">
        <f>VLOOKUP($B85,Sheet1!$A:$G,5,FALSE)</f>
        <v>Teknik Elektro</v>
      </c>
      <c r="CB85" s="280" t="str">
        <f>VLOOKUP($B85,Sheet1!$A:$G,6,FALSE)</f>
        <v>University of Groningen</v>
      </c>
      <c r="CC85" s="280" t="str">
        <f>VLOOKUP($B85,Sheet1!$A:$G,7,FALSE)</f>
        <v>Medical Imaging</v>
      </c>
      <c r="CD85" s="280" t="e">
        <v>#N/A</v>
      </c>
      <c r="CE85" s="280" t="e">
        <v>#N/A</v>
      </c>
    </row>
    <row r="86" spans="1:83" ht="18.95">
      <c r="A86" s="281">
        <v>10</v>
      </c>
      <c r="B86" s="334" t="s">
        <v>408</v>
      </c>
      <c r="C86" s="281" t="s">
        <v>20</v>
      </c>
      <c r="D86" s="281" t="s">
        <v>370</v>
      </c>
      <c r="E86" s="281">
        <v>19870002</v>
      </c>
      <c r="F86" s="281" t="s">
        <v>1211</v>
      </c>
      <c r="G86" s="282" t="s">
        <v>409</v>
      </c>
      <c r="H86" s="281" t="s">
        <v>845</v>
      </c>
      <c r="I86" s="281" t="s">
        <v>30</v>
      </c>
      <c r="J86" s="281" t="s">
        <v>162</v>
      </c>
      <c r="K86" s="281" t="s">
        <v>893</v>
      </c>
      <c r="L86" s="281" t="s">
        <v>775</v>
      </c>
      <c r="M86" s="283" t="str">
        <f>IF(L86="NJAD","AA",IF(L86="AA","L",IF(L86="L","LK","GB")))</f>
        <v>LK</v>
      </c>
      <c r="N86" s="281" t="s">
        <v>30</v>
      </c>
      <c r="O86" s="281">
        <v>200</v>
      </c>
      <c r="P86" s="281" t="s">
        <v>1212</v>
      </c>
      <c r="Q86" s="284">
        <v>45108</v>
      </c>
      <c r="R86" s="281" t="str">
        <f ca="1">DATEDIF(Q86,TODAY(), "Y") &amp; " Tahun " &amp; DATEDIF(Q86, TODAY(), "YM") &amp; " Bulan"</f>
        <v>2 Tahun 6 Bulan</v>
      </c>
      <c r="S86" s="281" t="s">
        <v>876</v>
      </c>
      <c r="T86" s="285">
        <v>45658</v>
      </c>
      <c r="U86" s="281" t="str">
        <f ca="1">DATEDIF(T86,TODAY(), "Y") &amp; " Tahun " &amp; DATEDIF(T86, TODAY(), "YM") &amp; " Bulan"</f>
        <v>1 Tahun 0 Bulan</v>
      </c>
      <c r="V86" s="281" t="s">
        <v>966</v>
      </c>
      <c r="W86" s="281" t="s">
        <v>851</v>
      </c>
      <c r="X86" s="283" t="str">
        <f ca="1">IF(AND(OR(L86="AA",L86="L"),OR(S86="Penata Muda Tk. I Golongan III/b",S86="Penata Golongan III/c"),DATEDIF(Q86,TODAY(),"m")&gt;=23,ISBLANK(Z86),C86="Aktif"),"Nominasi Serdos","-")</f>
        <v>-</v>
      </c>
      <c r="Y86" s="281"/>
      <c r="Z86" s="281" t="s">
        <v>852</v>
      </c>
      <c r="AA86" s="281">
        <v>22107201905183</v>
      </c>
      <c r="AB86" s="281" t="s">
        <v>1213</v>
      </c>
      <c r="AC86" s="285">
        <v>44846</v>
      </c>
      <c r="AD86" s="281" t="s">
        <v>30</v>
      </c>
      <c r="AE86" s="281" t="s">
        <v>30</v>
      </c>
      <c r="AF86" s="281" t="s">
        <v>30</v>
      </c>
      <c r="AG86" s="281" t="s">
        <v>30</v>
      </c>
      <c r="AH86" s="281" t="s">
        <v>854</v>
      </c>
      <c r="AI86" s="293" t="s">
        <v>855</v>
      </c>
      <c r="AJ86" s="293" t="s">
        <v>856</v>
      </c>
      <c r="AK86" s="281" t="s">
        <v>855</v>
      </c>
      <c r="AL86" s="293" t="s">
        <v>857</v>
      </c>
      <c r="AM86" s="286">
        <v>43101</v>
      </c>
      <c r="AN86" s="287" t="str">
        <f ca="1">DATEDIF(AM86,TODAY(),"y")&amp;" tahun "&amp;DATEDIF(AM86,TODAY(),"ym")&amp;" bulan "</f>
        <v xml:space="preserve">8 tahun 0 bulan </v>
      </c>
      <c r="AO86" s="281" t="s">
        <v>868</v>
      </c>
      <c r="AP86" s="281" t="s">
        <v>968</v>
      </c>
      <c r="AQ86" s="281" t="s">
        <v>1214</v>
      </c>
      <c r="AR86" s="281" t="s">
        <v>410</v>
      </c>
      <c r="AS86" s="281">
        <v>81217225716</v>
      </c>
      <c r="AT86" s="281" t="s">
        <v>411</v>
      </c>
      <c r="AU86" s="281" t="s">
        <v>30</v>
      </c>
      <c r="AV86" s="281"/>
      <c r="AW86" s="281" t="str">
        <f>VLOOKUP(B86,Sheet2!A11:I128,9,FALSE)</f>
        <v>Wahyu Andy Prastyabudi, S.Kom., M.Sc.</v>
      </c>
      <c r="AX86" s="281" t="s">
        <v>861</v>
      </c>
      <c r="AY86" s="281" t="str">
        <f>VLOOKUP(B86,Sheet2!A11:C128,2,FALSE)</f>
        <v>Madiun</v>
      </c>
      <c r="AZ86" s="288">
        <f>VLOOKUP(B86,Sheet2!A11:C128,3,FALSE)</f>
        <v>31812</v>
      </c>
      <c r="BA86" s="281">
        <f ca="1">DATEDIF(AZ86, TODAY(),"y")</f>
        <v>38</v>
      </c>
      <c r="BB86" s="281"/>
      <c r="BC86" s="281"/>
      <c r="BD86" s="281"/>
      <c r="BE86" s="281"/>
      <c r="BF86" s="289"/>
      <c r="BG86" s="289"/>
      <c r="BH86" s="289"/>
      <c r="BI86" s="289"/>
      <c r="BJ86" s="289"/>
      <c r="BK86" s="289"/>
      <c r="BL86" s="288" t="str">
        <f>VLOOKUP(B86,Sheet2!A11:D128,4,FALSE)</f>
        <v>Dosen</v>
      </c>
      <c r="BM86" s="281"/>
      <c r="BN86" s="281"/>
      <c r="BO86" s="281"/>
      <c r="BP86" s="281"/>
      <c r="BQ86" s="281"/>
      <c r="BR86" s="288" t="str">
        <f>VLOOKUP(B86,Sheet2!A11:E128,5,FALSE)</f>
        <v>Enterprise and Industrial System (EINS)</v>
      </c>
      <c r="BS86" s="288" t="str">
        <f>VLOOKUP(B86,Sheet2!A11:F128,6,FALSE)</f>
        <v>WAY</v>
      </c>
      <c r="BT86" s="288" t="str">
        <f>VLOOKUP(B86,Sheet2!A11:G128,7,FALSE)</f>
        <v>Fakultas Rekayasa Industri</v>
      </c>
      <c r="BU86" s="288" t="str">
        <f>VLOOKUP(B86,Sheet2!A11:H128,8,FALSE)</f>
        <v>wahyuandy@telkomuniversity.ac.id</v>
      </c>
      <c r="BV86" s="280">
        <f>COUNTIFS('Join TPA Dosen'!B:B,Dosen!B119)</f>
        <v>0</v>
      </c>
      <c r="BW86" s="273" t="str">
        <f>DATEDIF(AM86,DATE(2026,1,1),"y")&amp;" tahun "&amp;DATEDIF(AM86,DATE(2026,1,1),"ym")&amp;" bulan "</f>
        <v xml:space="preserve">8 tahun 0 bulan </v>
      </c>
      <c r="BX86" s="280" t="str">
        <f>VLOOKUP($B86,Sheet1!$A:$G,2,FALSE)</f>
        <v>ITS</v>
      </c>
      <c r="BY86" s="280" t="str">
        <f>VLOOKUP($B86,Sheet1!$A:$G,3,FALSE)</f>
        <v>Sistem Informasi</v>
      </c>
      <c r="BZ86" s="280" t="str">
        <f>VLOOKUP($B86,Sheet1!$A:$G,4,FALSE)</f>
        <v>Pusan National Univ</v>
      </c>
      <c r="CA86" s="280" t="str">
        <f>VLOOKUP($B86,Sheet1!$A:$G,5,FALSE)</f>
        <v>Industrial Engineering</v>
      </c>
      <c r="CB86" s="280" t="str">
        <f>VLOOKUP($B86,Sheet1!$A:$G,6,FALSE)</f>
        <v>The Arctic University of Norway (UiT)</v>
      </c>
      <c r="CC86" s="280" t="str">
        <f>VLOOKUP($B86,Sheet1!$A:$G,7,FALSE)</f>
        <v>Industrial Engineering</v>
      </c>
      <c r="CD86" s="280" t="s">
        <v>871</v>
      </c>
      <c r="CE86" s="280" t="s">
        <v>863</v>
      </c>
    </row>
    <row r="87" spans="1:83" ht="18.95">
      <c r="A87" s="281">
        <v>32</v>
      </c>
      <c r="B87" s="281" t="s">
        <v>378</v>
      </c>
      <c r="C87" s="281" t="s">
        <v>20</v>
      </c>
      <c r="D87" s="281" t="s">
        <v>370</v>
      </c>
      <c r="E87" s="281">
        <v>20920036</v>
      </c>
      <c r="F87" s="281" t="s">
        <v>1215</v>
      </c>
      <c r="G87" s="282" t="s">
        <v>379</v>
      </c>
      <c r="H87" s="281" t="s">
        <v>845</v>
      </c>
      <c r="I87" s="281" t="s">
        <v>30</v>
      </c>
      <c r="J87" s="281" t="s">
        <v>176</v>
      </c>
      <c r="K87" s="281" t="s">
        <v>846</v>
      </c>
      <c r="L87" s="281" t="s">
        <v>847</v>
      </c>
      <c r="M87" s="283" t="str">
        <f>IF(L87="NJAD","AA",IF(L87="AA","L",IF(L87="L","LK","GB")))</f>
        <v>L</v>
      </c>
      <c r="N87" s="282" t="s">
        <v>511</v>
      </c>
      <c r="O87" s="281">
        <v>150</v>
      </c>
      <c r="P87" s="281" t="s">
        <v>1216</v>
      </c>
      <c r="Q87" s="284">
        <v>44050</v>
      </c>
      <c r="R87" s="281" t="str">
        <f ca="1">DATEDIF(Q87,TODAY(), "Y") &amp; " Tahun " &amp; DATEDIF(Q87, TODAY(), "YM") &amp; " Bulan"</f>
        <v>5 Tahun 5 Bulan</v>
      </c>
      <c r="S87" s="281" t="s">
        <v>849</v>
      </c>
      <c r="T87" s="285">
        <v>44136</v>
      </c>
      <c r="U87" s="281" t="str">
        <f ca="1">DATEDIF(T87,TODAY(), "Y") &amp; " Tahun " &amp; DATEDIF(T87, TODAY(), "YM") &amp; " Bulan"</f>
        <v>5 Tahun 2 Bulan</v>
      </c>
      <c r="V87" s="281" t="s">
        <v>1217</v>
      </c>
      <c r="W87" s="281" t="s">
        <v>851</v>
      </c>
      <c r="X87" s="283" t="str">
        <f ca="1">IF(AND(OR(L87="AA",L87="L"),OR(S87="Penata Muda Tk. I Golongan III/b",S87="Penata Golongan III/c"),DATEDIF(Q87,TODAY(),"m")&gt;=23,ISBLANK(Z87),C87="Aktif"),"Nominasi Serdos","-")</f>
        <v>-</v>
      </c>
      <c r="Y87" s="281"/>
      <c r="Z87" s="281" t="s">
        <v>852</v>
      </c>
      <c r="AA87" s="290">
        <v>24107201902360</v>
      </c>
      <c r="AB87" s="281" t="s">
        <v>1218</v>
      </c>
      <c r="AC87" s="285">
        <v>45351</v>
      </c>
      <c r="AD87" s="281" t="s">
        <v>30</v>
      </c>
      <c r="AE87" s="281" t="s">
        <v>30</v>
      </c>
      <c r="AF87" s="281" t="s">
        <v>30</v>
      </c>
      <c r="AG87" s="281" t="s">
        <v>30</v>
      </c>
      <c r="AH87" s="281" t="s">
        <v>854</v>
      </c>
      <c r="AI87" s="281" t="s">
        <v>855</v>
      </c>
      <c r="AJ87" s="281" t="s">
        <v>856</v>
      </c>
      <c r="AK87" s="281" t="s">
        <v>855</v>
      </c>
      <c r="AL87" s="281" t="s">
        <v>857</v>
      </c>
      <c r="AM87" s="286">
        <v>43101</v>
      </c>
      <c r="AN87" s="287" t="str">
        <f ca="1">DATEDIF(AM87,TODAY(),"y")&amp;" tahun "&amp;DATEDIF(AM87,TODAY(),"ym")&amp;" bulan "</f>
        <v xml:space="preserve">8 tahun 0 bulan </v>
      </c>
      <c r="AO87" s="281" t="s">
        <v>868</v>
      </c>
      <c r="AP87" s="281" t="s">
        <v>968</v>
      </c>
      <c r="AQ87" s="281" t="s">
        <v>1219</v>
      </c>
      <c r="AR87" s="305" t="s">
        <v>380</v>
      </c>
      <c r="AS87" s="281">
        <v>82231018193</v>
      </c>
      <c r="AT87" s="281" t="s">
        <v>381</v>
      </c>
      <c r="AU87" s="281" t="s">
        <v>30</v>
      </c>
      <c r="AV87" s="281"/>
      <c r="AW87" s="281" t="str">
        <f>VLOOKUP(B87,Sheet2!A33:I150,9,FALSE)</f>
        <v>Rahaditya Dimas Prihadianto, S.T., M.T.</v>
      </c>
      <c r="AX87" s="281" t="s">
        <v>861</v>
      </c>
      <c r="AY87" s="281" t="str">
        <f>VLOOKUP(B87,Sheet2!A33:C150,2,FALSE)</f>
        <v>Jember</v>
      </c>
      <c r="AZ87" s="288">
        <f>VLOOKUP(B87,Sheet2!A33:C150,3,FALSE)</f>
        <v>33749</v>
      </c>
      <c r="BA87" s="281">
        <f ca="1">DATEDIF(AZ87, TODAY(),"y")</f>
        <v>33</v>
      </c>
      <c r="BB87" s="281"/>
      <c r="BC87" s="281"/>
      <c r="BD87" s="281"/>
      <c r="BE87" s="281"/>
      <c r="BF87" s="289"/>
      <c r="BG87" s="289"/>
      <c r="BH87" s="289"/>
      <c r="BI87" s="289"/>
      <c r="BJ87" s="289"/>
      <c r="BK87" s="289"/>
      <c r="BL87" s="288" t="s">
        <v>21</v>
      </c>
      <c r="BM87" s="281"/>
      <c r="BN87" s="281"/>
      <c r="BO87" s="281"/>
      <c r="BP87" s="281"/>
      <c r="BQ87" s="281"/>
      <c r="BR87" s="288" t="str">
        <f>VLOOKUP(B87,Sheet2!A33:E150,5,FALSE)</f>
        <v>Enterprise and Industrial System (EINS)</v>
      </c>
      <c r="BS87" s="288" t="str">
        <f>VLOOKUP(B87,Sheet2!A33:F150,6,FALSE)</f>
        <v>RDV</v>
      </c>
      <c r="BT87" s="288" t="str">
        <f>VLOOKUP(B87,Sheet2!A33:G150,7,FALSE)</f>
        <v>Fakultas Rekayasa Industri</v>
      </c>
      <c r="BU87" s="288" t="str">
        <f>VLOOKUP(B87,Sheet2!A33:H150,8,FALSE)</f>
        <v>rdprihadian@telkomuniversity.ac.id</v>
      </c>
      <c r="BV87" s="280">
        <f>COUNTIFS('Join TPA Dosen'!B:B,Dosen!B40)</f>
        <v>1</v>
      </c>
      <c r="BW87" s="273" t="str">
        <f>DATEDIF(AM87,DATE(2026,1,1),"y")&amp;" tahun "&amp;DATEDIF(AM87,DATE(2026,1,1),"ym")&amp;" bulan "</f>
        <v xml:space="preserve">8 tahun 0 bulan </v>
      </c>
      <c r="BX87" s="280" t="str">
        <f>VLOOKUP($B87,Sheet1!$A:$G,2,FALSE)</f>
        <v>ITS</v>
      </c>
      <c r="BY87" s="280" t="str">
        <f>VLOOKUP($B87,Sheet1!$A:$G,3,FALSE)</f>
        <v>Teknik Industri</v>
      </c>
      <c r="BZ87" s="280" t="str">
        <f>VLOOKUP($B87,Sheet1!$A:$G,4,FALSE)</f>
        <v>ITS</v>
      </c>
      <c r="CA87" s="280" t="str">
        <f>VLOOKUP($B87,Sheet1!$A:$G,5,FALSE)</f>
        <v>Teknik Industri</v>
      </c>
      <c r="CB87" s="280" t="str">
        <f>VLOOKUP($B87,Sheet1!$A:$G,6,FALSE)</f>
        <v>National Cheng Kung University (NCKU)</v>
      </c>
      <c r="CC87" s="280" t="str">
        <f>VLOOKUP($B87,Sheet1!$A:$G,7,FALSE)</f>
        <v>Department of Industrial and Information Management</v>
      </c>
      <c r="CD87" s="280" t="s">
        <v>871</v>
      </c>
      <c r="CE87" s="280" t="s">
        <v>863</v>
      </c>
    </row>
    <row r="88" spans="1:83" ht="19.5">
      <c r="A88" s="281">
        <v>97</v>
      </c>
      <c r="B88" s="281" t="s">
        <v>488</v>
      </c>
      <c r="C88" s="281" t="s">
        <v>20</v>
      </c>
      <c r="D88" s="281" t="s">
        <v>475</v>
      </c>
      <c r="E88" s="281">
        <v>25760006</v>
      </c>
      <c r="F88" s="342" t="s">
        <v>1220</v>
      </c>
      <c r="G88" s="282" t="s">
        <v>489</v>
      </c>
      <c r="H88" s="291" t="s">
        <v>845</v>
      </c>
      <c r="I88" s="281" t="s">
        <v>143</v>
      </c>
      <c r="J88" s="281" t="s">
        <v>176</v>
      </c>
      <c r="K88" s="281" t="s">
        <v>905</v>
      </c>
      <c r="L88" s="281" t="s">
        <v>776</v>
      </c>
      <c r="M88" s="283" t="str">
        <f>IF(L88="NJAD","AA",IF(L88="AA","L",IF(L88="L","LK","GB")))</f>
        <v>GB</v>
      </c>
      <c r="N88" s="282" t="s">
        <v>511</v>
      </c>
      <c r="O88" s="281">
        <v>550</v>
      </c>
      <c r="P88" s="281" t="s">
        <v>765</v>
      </c>
      <c r="Q88" s="284">
        <v>41852</v>
      </c>
      <c r="R88" s="281" t="str">
        <f ca="1">DATEDIF(Q88,TODAY(), "Y") &amp; " Tahun " &amp; DATEDIF(Q88, TODAY(), "YM") &amp; " Bulan"</f>
        <v>11 Tahun 5 Bulan</v>
      </c>
      <c r="S88" s="281" t="s">
        <v>1221</v>
      </c>
      <c r="T88" s="285">
        <v>44197</v>
      </c>
      <c r="U88" s="281" t="str">
        <f ca="1">DATEDIF(T88,TODAY(), "Y") &amp; " Tahun " &amp; DATEDIF(T88, TODAY(), "YM") &amp; " Bulan"</f>
        <v>5 Tahun 0 Bulan</v>
      </c>
      <c r="V88" s="281" t="s">
        <v>1222</v>
      </c>
      <c r="W88" s="281" t="s">
        <v>851</v>
      </c>
      <c r="X88" s="283" t="str">
        <f ca="1">IF(AND(OR(L88="AA",L88="L"),OR(S88="Penata Muda Tk. I Golongan III/b",S88="Penata Golongan III/c"),DATEDIF(Q88,TODAY(),"m")&gt;=23,ISBLANK(Z88),C88="Aktif"),"Nominasi Serdos","-")</f>
        <v>-</v>
      </c>
      <c r="Y88" s="281"/>
      <c r="Z88" s="281" t="s">
        <v>852</v>
      </c>
      <c r="AA88" s="281">
        <v>11110500216988</v>
      </c>
      <c r="AB88" s="290">
        <v>1100100000000000</v>
      </c>
      <c r="AC88" s="285">
        <v>40861</v>
      </c>
      <c r="AD88" s="281" t="s">
        <v>852</v>
      </c>
      <c r="AE88" s="281">
        <v>9.9111105002169801E+20</v>
      </c>
      <c r="AF88" s="281" t="s">
        <v>1223</v>
      </c>
      <c r="AG88" s="285">
        <v>44641</v>
      </c>
      <c r="AH88" s="281" t="s">
        <v>879</v>
      </c>
      <c r="AI88" s="281" t="s">
        <v>30</v>
      </c>
      <c r="AJ88" s="281" t="s">
        <v>30</v>
      </c>
      <c r="AK88" s="281" t="s">
        <v>30</v>
      </c>
      <c r="AM88" s="286">
        <v>44832</v>
      </c>
      <c r="AN88" s="287" t="str">
        <f ca="1">DATEDIF(AM88,TODAY(),"y")&amp;" tahun "&amp;DATEDIF(AM88,TODAY(),"ym")&amp;" bulan "</f>
        <v xml:space="preserve">3 tahun 3 bulan </v>
      </c>
      <c r="AO88" s="281" t="s">
        <v>868</v>
      </c>
      <c r="AP88" s="281" t="s">
        <v>939</v>
      </c>
      <c r="AQ88" s="281" t="s">
        <v>1224</v>
      </c>
      <c r="AR88" s="281" t="s">
        <v>490</v>
      </c>
      <c r="AS88" s="281">
        <v>82285883545</v>
      </c>
      <c r="AT88" s="281" t="s">
        <v>491</v>
      </c>
      <c r="AU88" s="281" t="s">
        <v>30</v>
      </c>
      <c r="AV88" s="281"/>
      <c r="AW88" s="281" t="str">
        <f>VLOOKUP(B88,Sheet2!A98:I215,9,FALSE)</f>
        <v>Dr. Mohammad Yanuar Hariyawan, S.T., M.T.</v>
      </c>
      <c r="AX88" s="281" t="s">
        <v>861</v>
      </c>
      <c r="AY88" s="281" t="str">
        <f>VLOOKUP(B88,Sheet2!A98:C215,2,FALSE)</f>
        <v>Gresik</v>
      </c>
      <c r="AZ88" s="288">
        <f>VLOOKUP(B88,Sheet2!A98:C215,3,FALSE)</f>
        <v>27760</v>
      </c>
      <c r="BA88" s="281">
        <f ca="1">DATEDIF(AZ88, TODAY(),"y")</f>
        <v>50</v>
      </c>
      <c r="BB88" s="281"/>
      <c r="BC88" s="281"/>
      <c r="BD88" s="281"/>
      <c r="BE88" s="295"/>
      <c r="BF88" s="289"/>
      <c r="BG88" s="289"/>
      <c r="BH88" s="289"/>
      <c r="BI88" s="289"/>
      <c r="BJ88" s="289"/>
      <c r="BK88" s="289"/>
      <c r="BL88" s="288" t="s">
        <v>1225</v>
      </c>
      <c r="BM88" s="281"/>
      <c r="BN88" s="281"/>
      <c r="BO88" s="281"/>
      <c r="BP88" s="281"/>
      <c r="BQ88" s="281"/>
      <c r="BR88" s="288" t="str">
        <f>VLOOKUP(B88,Sheet2!A98:E215,5,FALSE)</f>
        <v>Intelligent Communications and Networks (ICON)</v>
      </c>
      <c r="BS88" s="288" t="str">
        <f>VLOOKUP(B88,Sheet2!A98:F215,6,FALSE)</f>
        <v>MYX</v>
      </c>
      <c r="BT88" s="288" t="str">
        <f>VLOOKUP(B88,Sheet2!A98:G215,7,FALSE)</f>
        <v>Fakultas Teknik Elektro</v>
      </c>
      <c r="BU88" s="288" t="str">
        <f>VLOOKUP(B88,Sheet2!A98:H215,8,FALSE)</f>
        <v>myanuar@telkomuniversity.ac.id</v>
      </c>
      <c r="BV88" s="280">
        <f>COUNTIFS('Join TPA Dosen'!B:B,Dosen!B35)</f>
        <v>1</v>
      </c>
      <c r="BW88" s="273" t="str">
        <f>DATEDIF(AM88,DATE(2026,1,1),"y")&amp;" tahun "&amp;DATEDIF(AM88,DATE(2026,1,1),"ym")&amp;" bulan "</f>
        <v xml:space="preserve">3 tahun 3 bulan </v>
      </c>
      <c r="BX88" s="280" t="str">
        <f>VLOOKUP($B88,Sheet1!$A:$G,2,FALSE)</f>
        <v>ITS</v>
      </c>
      <c r="BY88" s="280" t="str">
        <f>VLOOKUP($B88,Sheet1!$A:$G,3,FALSE)</f>
        <v>Teknik Elektro - Telekomunikasi Multimedia</v>
      </c>
      <c r="BZ88" s="280" t="str">
        <f>VLOOKUP($B88,Sheet1!$A:$G,4,FALSE)</f>
        <v>ITS</v>
      </c>
      <c r="CA88" s="280" t="str">
        <f>VLOOKUP($B88,Sheet1!$A:$G,5,FALSE)</f>
        <v>Teknik Elektro - Telekomunikasi Multimedia</v>
      </c>
      <c r="CB88" s="280" t="str">
        <f>VLOOKUP($B88,Sheet1!$A:$G,6,FALSE)</f>
        <v>UGM</v>
      </c>
      <c r="CC88" s="280" t="str">
        <f>VLOOKUP($B88,Sheet1!$A:$G,7,FALSE)</f>
        <v>Ilmu Teknik Elektro</v>
      </c>
      <c r="CD88" s="280" t="s">
        <v>862</v>
      </c>
      <c r="CE88" s="280" t="s">
        <v>872</v>
      </c>
    </row>
    <row r="89" spans="1:83" ht="18.95">
      <c r="A89" s="281">
        <v>38</v>
      </c>
      <c r="B89" s="281" t="s">
        <v>374</v>
      </c>
      <c r="C89" s="281" t="s">
        <v>20</v>
      </c>
      <c r="D89" s="281" t="s">
        <v>370</v>
      </c>
      <c r="E89" s="281">
        <v>20930043</v>
      </c>
      <c r="F89" s="281" t="s">
        <v>1226</v>
      </c>
      <c r="G89" s="282" t="s">
        <v>375</v>
      </c>
      <c r="H89" s="281" t="s">
        <v>845</v>
      </c>
      <c r="I89" s="281" t="s">
        <v>143</v>
      </c>
      <c r="J89" s="281" t="s">
        <v>176</v>
      </c>
      <c r="K89" s="281" t="s">
        <v>874</v>
      </c>
      <c r="L89" s="281" t="s">
        <v>775</v>
      </c>
      <c r="M89" s="283" t="str">
        <f>IF(L89="NJAD","AA",IF(L89="AA","L",IF(L89="L","LK","GB")))</f>
        <v>LK</v>
      </c>
      <c r="N89" s="282" t="s">
        <v>511</v>
      </c>
      <c r="O89" s="281">
        <v>200</v>
      </c>
      <c r="P89" s="281" t="s">
        <v>1227</v>
      </c>
      <c r="Q89" s="284">
        <v>44866</v>
      </c>
      <c r="R89" s="281" t="str">
        <f ca="1">DATEDIF(Q89,TODAY(), "Y") &amp; " Tahun " &amp; DATEDIF(Q89, TODAY(), "YM") &amp; " Bulan"</f>
        <v>3 Tahun 2 Bulan</v>
      </c>
      <c r="S89" s="281" t="s">
        <v>876</v>
      </c>
      <c r="T89" s="285">
        <v>45047</v>
      </c>
      <c r="U89" s="281" t="str">
        <f ca="1">DATEDIF(T89,TODAY(), "Y") &amp; " Tahun " &amp; DATEDIF(T89, TODAY(), "YM") &amp; " Bulan"</f>
        <v>2 Tahun 8 Bulan</v>
      </c>
      <c r="V89" s="281" t="s">
        <v>966</v>
      </c>
      <c r="W89" s="281" t="s">
        <v>851</v>
      </c>
      <c r="X89" s="283" t="str">
        <f ca="1">IF(AND(OR(L89="AA",L89="L"),OR(S89="Penata Muda Tk. I Golongan III/b",S89="Penata Golongan III/c"),DATEDIF(Q89,TODAY(),"m")&gt;=23,ISBLANK(Z89),C89="Aktif"),"Nominasi Serdos","-")</f>
        <v>-</v>
      </c>
      <c r="Y89" s="281"/>
      <c r="Z89" s="281" t="s">
        <v>852</v>
      </c>
      <c r="AA89" s="281">
        <v>22107201902710</v>
      </c>
      <c r="AB89" s="281" t="s">
        <v>1228</v>
      </c>
      <c r="AC89" s="285">
        <v>44783</v>
      </c>
      <c r="AD89" s="281" t="s">
        <v>30</v>
      </c>
      <c r="AE89" s="281" t="s">
        <v>30</v>
      </c>
      <c r="AF89" s="281" t="s">
        <v>30</v>
      </c>
      <c r="AG89" s="281" t="s">
        <v>30</v>
      </c>
      <c r="AH89" s="281" t="s">
        <v>879</v>
      </c>
      <c r="AI89" s="281" t="s">
        <v>855</v>
      </c>
      <c r="AJ89" s="281" t="s">
        <v>856</v>
      </c>
      <c r="AK89" s="281" t="s">
        <v>855</v>
      </c>
      <c r="AL89" s="281" t="s">
        <v>857</v>
      </c>
      <c r="AM89" s="286">
        <v>43282</v>
      </c>
      <c r="AN89" s="287" t="str">
        <f ca="1">DATEDIF(AM89,TODAY(),"y")&amp;" tahun "&amp;DATEDIF(AM89,TODAY(),"ym")&amp;" bulan "</f>
        <v xml:space="preserve">7 tahun 6 bulan </v>
      </c>
      <c r="AO89" s="281" t="s">
        <v>868</v>
      </c>
      <c r="AP89" s="281" t="s">
        <v>968</v>
      </c>
      <c r="AQ89" s="281" t="s">
        <v>1229</v>
      </c>
      <c r="AR89" s="281" t="s">
        <v>376</v>
      </c>
      <c r="AS89" s="281">
        <v>81329464686</v>
      </c>
      <c r="AT89" s="281" t="s">
        <v>377</v>
      </c>
      <c r="AU89" s="281" t="s">
        <v>30</v>
      </c>
      <c r="AV89" s="281"/>
      <c r="AW89" s="281" t="str">
        <f>VLOOKUP(B89,Sheet2!A39:I156,9,FALSE)</f>
        <v>Benazir Imam Arif Muttaqin, S.T., M.T.</v>
      </c>
      <c r="AX89" s="281" t="s">
        <v>861</v>
      </c>
      <c r="AY89" s="281" t="str">
        <f>VLOOKUP(B89,Sheet2!A39:C156,2,FALSE)</f>
        <v>Sukoharjo</v>
      </c>
      <c r="AZ89" s="288">
        <f>VLOOKUP(B89,Sheet2!A39:C156,3,FALSE)</f>
        <v>34276</v>
      </c>
      <c r="BA89" s="281">
        <f ca="1">DATEDIF(AZ89, TODAY(),"y")</f>
        <v>32</v>
      </c>
      <c r="BB89" s="281"/>
      <c r="BC89" s="281"/>
      <c r="BD89" s="281"/>
      <c r="BE89" s="281"/>
      <c r="BF89" s="289"/>
      <c r="BG89" s="289"/>
      <c r="BH89" s="289"/>
      <c r="BI89" s="289"/>
      <c r="BJ89" s="289"/>
      <c r="BK89" s="289"/>
      <c r="BL89" s="288" t="str">
        <f>VLOOKUP(B89,Sheet2!A39:D156,4,FALSE)</f>
        <v>Dosen</v>
      </c>
      <c r="BM89" s="281"/>
      <c r="BN89" s="281"/>
      <c r="BO89" s="281"/>
      <c r="BP89" s="281"/>
      <c r="BQ89" s="281"/>
      <c r="BR89" s="288" t="str">
        <f>VLOOKUP(B89,Sheet2!A39:E156,5,FALSE)</f>
        <v>Production and Manufacturing System</v>
      </c>
      <c r="BS89" s="288" t="str">
        <f>VLOOKUP(B89,Sheet2!A39:F156,6,FALSE)</f>
        <v>BIA</v>
      </c>
      <c r="BT89" s="288" t="str">
        <f>VLOOKUP(B89,Sheet2!A39:G156,7,FALSE)</f>
        <v>Fakultas Rekayasa Industri</v>
      </c>
      <c r="BU89" s="288" t="str">
        <f>VLOOKUP(B89,Sheet2!A39:H156,8,FALSE)</f>
        <v>imambenazir@telkomuniversity.ac.id</v>
      </c>
      <c r="BV89" s="280">
        <f>COUNTIFS('Join TPA Dosen'!B:B,Dosen!B8)</f>
        <v>1</v>
      </c>
      <c r="BW89" s="273" t="str">
        <f>DATEDIF(AM89,DATE(2026,1,1),"y")&amp;" tahun "&amp;DATEDIF(AM89,DATE(2026,1,1),"ym")&amp;" bulan "</f>
        <v xml:space="preserve">7 tahun 6 bulan </v>
      </c>
      <c r="BX89" s="280" t="str">
        <f>VLOOKUP($B89,Sheet1!$A:$G,2,FALSE)</f>
        <v>UNS</v>
      </c>
      <c r="BY89" s="280" t="str">
        <f>VLOOKUP($B89,Sheet1!$A:$G,3,FALSE)</f>
        <v>Teknik Industri</v>
      </c>
      <c r="BZ89" s="280" t="str">
        <f>VLOOKUP($B89,Sheet1!$A:$G,4,FALSE)</f>
        <v>UNS</v>
      </c>
      <c r="CA89" s="280" t="str">
        <f>VLOOKUP($B89,Sheet1!$A:$G,5,FALSE)</f>
        <v>Teknik Industri</v>
      </c>
      <c r="CB89" s="280" t="str">
        <f>VLOOKUP($B89,Sheet1!$A:$G,6,FALSE)</f>
        <v>ITS</v>
      </c>
      <c r="CC89" s="280" t="str">
        <f>VLOOKUP($B89,Sheet1!$A:$G,7,FALSE)</f>
        <v>Teknik Industri</v>
      </c>
      <c r="CD89" s="280" t="s">
        <v>871</v>
      </c>
      <c r="CE89" s="280" t="s">
        <v>863</v>
      </c>
    </row>
    <row r="90" spans="1:83" ht="19.5">
      <c r="A90" s="281">
        <v>98</v>
      </c>
      <c r="B90" s="281" t="s">
        <v>361</v>
      </c>
      <c r="C90" s="281" t="s">
        <v>20</v>
      </c>
      <c r="D90" s="281" t="s">
        <v>330</v>
      </c>
      <c r="E90" s="291">
        <v>20900019</v>
      </c>
      <c r="F90" s="291" t="s">
        <v>1230</v>
      </c>
      <c r="G90" s="296" t="s">
        <v>362</v>
      </c>
      <c r="H90" s="291" t="s">
        <v>884</v>
      </c>
      <c r="I90" s="291" t="s">
        <v>143</v>
      </c>
      <c r="J90" s="291" t="s">
        <v>363</v>
      </c>
      <c r="K90" s="281" t="s">
        <v>874</v>
      </c>
      <c r="L90" s="281" t="s">
        <v>775</v>
      </c>
      <c r="M90" s="283" t="str">
        <f>IF(L90="NJAD","AA",IF(L90="AA","L",IF(L90="L","LK","GB")))</f>
        <v>LK</v>
      </c>
      <c r="N90" s="282" t="s">
        <v>511</v>
      </c>
      <c r="O90" s="281">
        <v>200</v>
      </c>
      <c r="P90" s="281" t="s">
        <v>1231</v>
      </c>
      <c r="Q90" s="284">
        <v>45962</v>
      </c>
      <c r="R90" s="281" t="str">
        <f ca="1">DATEDIF(Q90,TODAY(), "Y") &amp; " Tahun " &amp; DATEDIF(Q90, TODAY(), "YM") &amp; " Bulan"</f>
        <v>0 Tahun 2 Bulan</v>
      </c>
      <c r="S90" s="281" t="s">
        <v>876</v>
      </c>
      <c r="T90" s="285">
        <v>46023</v>
      </c>
      <c r="U90" s="281" t="str">
        <f ca="1">DATEDIF(T90,TODAY(), "Y") &amp; " Tahun " &amp; DATEDIF(T90, TODAY(), "YM") &amp; " Bulan"</f>
        <v>0 Tahun 0 Bulan</v>
      </c>
      <c r="V90" s="281" t="s">
        <v>1232</v>
      </c>
      <c r="W90" s="281" t="s">
        <v>851</v>
      </c>
      <c r="X90" s="283" t="str">
        <f ca="1">IF(AND(OR(L90="AA",L90="L"),OR(S90="Penata Muda Tk. I Golongan III/b",S90="Penata Golongan III/c"),DATEDIF(Q90,TODAY(),"m")&gt;=23,ISBLANK(Z90),C90="Aktif"),"Nominasi Serdos","-")</f>
        <v>-</v>
      </c>
      <c r="Y90" s="281"/>
      <c r="Z90" s="282"/>
      <c r="AA90" s="281"/>
      <c r="AB90" s="281" t="s">
        <v>30</v>
      </c>
      <c r="AC90" s="282" t="s">
        <v>511</v>
      </c>
      <c r="AD90" s="281" t="s">
        <v>30</v>
      </c>
      <c r="AE90" s="281" t="s">
        <v>30</v>
      </c>
      <c r="AF90" s="281" t="s">
        <v>30</v>
      </c>
      <c r="AG90" s="281" t="s">
        <v>30</v>
      </c>
      <c r="AH90" s="281" t="s">
        <v>879</v>
      </c>
      <c r="AI90" s="281" t="s">
        <v>30</v>
      </c>
      <c r="AJ90" s="281" t="s">
        <v>30</v>
      </c>
      <c r="AK90" s="281" t="s">
        <v>30</v>
      </c>
      <c r="AM90" s="286">
        <v>43885</v>
      </c>
      <c r="AN90" s="287" t="str">
        <f ca="1">DATEDIF(AM90,TODAY(),"y")&amp;" tahun "&amp;DATEDIF(AM90,TODAY(),"ym")&amp;" bulan "</f>
        <v xml:space="preserve">5 tahun 10 bulan </v>
      </c>
      <c r="AO90" s="281" t="s">
        <v>868</v>
      </c>
      <c r="AP90" s="281" t="s">
        <v>880</v>
      </c>
      <c r="AQ90" s="281" t="s">
        <v>1233</v>
      </c>
      <c r="AR90" s="281" t="s">
        <v>364</v>
      </c>
      <c r="AS90" s="281">
        <v>82140058468</v>
      </c>
      <c r="AT90" s="281" t="s">
        <v>365</v>
      </c>
      <c r="AU90" s="281" t="s">
        <v>30</v>
      </c>
      <c r="AV90" s="281"/>
      <c r="AW90" s="281" t="str">
        <f>VLOOKUP(B90,Sheet2!A99:I216,9,FALSE)</f>
        <v>Dr. Chaironi Latif, S.Si.</v>
      </c>
      <c r="AX90" s="281" t="s">
        <v>861</v>
      </c>
      <c r="AY90" s="281" t="str">
        <f>VLOOKUP(B90,Sheet2!A99:C216,2,FALSE)</f>
        <v>Yogyakarta</v>
      </c>
      <c r="AZ90" s="288">
        <f>VLOOKUP(B90,Sheet2!A99:C216,3,FALSE)</f>
        <v>33151</v>
      </c>
      <c r="BA90" s="281">
        <f ca="1">DATEDIF(AZ90, TODAY(),"y")</f>
        <v>35</v>
      </c>
      <c r="BB90" s="281"/>
      <c r="BC90" s="281"/>
      <c r="BD90" s="281"/>
      <c r="BE90" s="295"/>
      <c r="BF90" s="289"/>
      <c r="BG90" s="289"/>
      <c r="BH90" s="289"/>
      <c r="BI90" s="289"/>
      <c r="BJ90" s="289"/>
      <c r="BK90" s="289"/>
      <c r="BL90" s="288" t="str">
        <f>VLOOKUP(B90,Sheet2!A99:D216,4,FALSE)</f>
        <v>Kepala Urusan</v>
      </c>
      <c r="BM90" s="281"/>
      <c r="BN90" s="281"/>
      <c r="BO90" s="281"/>
      <c r="BP90" s="281"/>
      <c r="BQ90" s="281"/>
      <c r="BR90" s="288" t="str">
        <f>VLOOKUP(B90,Sheet2!A99:E216,5,FALSE)</f>
        <v>Sustainable Material, Instrumentation, Energy, and Computation (SMART)</v>
      </c>
      <c r="BS90" s="288" t="str">
        <f>VLOOKUP(B90,Sheet2!A99:F216,6,FALSE)</f>
        <v>CLF</v>
      </c>
      <c r="BT90" s="288" t="str">
        <f>VLOOKUP(B90,Sheet2!A99:G216,7,FALSE)</f>
        <v>Fakultas Teknik Elektro</v>
      </c>
      <c r="BU90" s="288" t="str">
        <f>VLOOKUP(B90,Sheet2!A99:H216,8,FALSE)</f>
        <v>chaironi@telkomuniversity.ac.id</v>
      </c>
      <c r="BV90" s="280">
        <f>COUNTIFS('Join TPA Dosen'!B:B,Dosen!B99)</f>
        <v>1</v>
      </c>
      <c r="BW90" s="273" t="str">
        <f>DATEDIF(AM90,DATE(2026,1,1),"y")&amp;" tahun "&amp;DATEDIF(AM90,DATE(2026,1,1),"ym")&amp;" bulan "</f>
        <v xml:space="preserve">5 tahun 10 bulan </v>
      </c>
      <c r="BX90" s="280" t="str">
        <f>VLOOKUP($B90,Sheet1!$A:$G,2,FALSE)</f>
        <v>ITS</v>
      </c>
      <c r="BY90" s="280" t="str">
        <f>VLOOKUP($B90,Sheet1!$A:$G,3,FALSE)</f>
        <v>Fisika</v>
      </c>
      <c r="BZ90" s="280" t="str">
        <f>VLOOKUP($B90,Sheet1!$A:$G,4,FALSE)</f>
        <v>-</v>
      </c>
      <c r="CA90" s="280">
        <f>VLOOKUP($B90,Sheet1!$A:$G,5,FALSE)</f>
        <v>0</v>
      </c>
      <c r="CB90" s="280" t="str">
        <f>VLOOKUP($B90,Sheet1!$A:$G,6,FALSE)</f>
        <v>ITS</v>
      </c>
      <c r="CC90" s="280" t="str">
        <f>VLOOKUP($B90,Sheet1!$A:$G,7,FALSE)</f>
        <v>Ilmu Fisika</v>
      </c>
      <c r="CD90" s="280" t="s">
        <v>871</v>
      </c>
      <c r="CE90" s="280" t="s">
        <v>872</v>
      </c>
    </row>
    <row r="91" spans="1:83" ht="19.5">
      <c r="A91" s="281">
        <v>99</v>
      </c>
      <c r="B91" s="281" t="s">
        <v>398</v>
      </c>
      <c r="C91" s="281" t="s">
        <v>20</v>
      </c>
      <c r="D91" s="281" t="s">
        <v>370</v>
      </c>
      <c r="E91" s="281">
        <v>23970026</v>
      </c>
      <c r="F91" s="291" t="s">
        <v>1234</v>
      </c>
      <c r="G91" s="296" t="s">
        <v>399</v>
      </c>
      <c r="H91" s="291" t="s">
        <v>884</v>
      </c>
      <c r="I91" s="295" t="s">
        <v>30</v>
      </c>
      <c r="J91" s="281" t="s">
        <v>176</v>
      </c>
      <c r="K91" s="281" t="s">
        <v>846</v>
      </c>
      <c r="L91" s="281" t="s">
        <v>847</v>
      </c>
      <c r="M91" s="283" t="str">
        <f>IF(L91="NJAD","AA",IF(L91="AA","L",IF(L91="L","LK","GB")))</f>
        <v>L</v>
      </c>
      <c r="N91" s="282" t="s">
        <v>511</v>
      </c>
      <c r="O91" s="281">
        <v>150</v>
      </c>
      <c r="P91" s="281" t="s">
        <v>1235</v>
      </c>
      <c r="Q91" s="284">
        <v>45962</v>
      </c>
      <c r="R91" s="281" t="str">
        <f ca="1">DATEDIF(Q91,TODAY(), "Y") &amp; " Tahun " &amp; DATEDIF(Q91, TODAY(), "YM") &amp; " Bulan"</f>
        <v>0 Tahun 2 Bulan</v>
      </c>
      <c r="S91" s="281" t="s">
        <v>849</v>
      </c>
      <c r="T91" s="285">
        <v>46023</v>
      </c>
      <c r="U91" s="281" t="str">
        <f ca="1">DATEDIF(T91,TODAY(), "Y") &amp; " Tahun " &amp; DATEDIF(T91, TODAY(), "YM") &amp; " Bulan"</f>
        <v>0 Tahun 0 Bulan</v>
      </c>
      <c r="V91" s="281" t="s">
        <v>966</v>
      </c>
      <c r="W91" s="281" t="s">
        <v>851</v>
      </c>
      <c r="X91" s="283" t="str">
        <f ca="1">IF(AND(OR(L91="AA",L91="L"),OR(S91="Penata Muda Tk. I Golongan III/b",S91="Penata Golongan III/c"),DATEDIF(Q91,TODAY(),"m")&gt;=23,ISBLANK(Z91),C91="Aktif"),"Nominasi Serdos","-")</f>
        <v>-</v>
      </c>
      <c r="Y91" s="281"/>
      <c r="Z91" s="297"/>
      <c r="AA91" s="297"/>
      <c r="AB91" s="295" t="s">
        <v>30</v>
      </c>
      <c r="AC91" s="297" t="s">
        <v>511</v>
      </c>
      <c r="AD91" s="281" t="s">
        <v>30</v>
      </c>
      <c r="AE91" s="281" t="s">
        <v>30</v>
      </c>
      <c r="AF91" s="281" t="s">
        <v>30</v>
      </c>
      <c r="AG91" s="281" t="s">
        <v>30</v>
      </c>
      <c r="AH91" s="281" t="s">
        <v>854</v>
      </c>
      <c r="AI91" s="295" t="s">
        <v>30</v>
      </c>
      <c r="AJ91" s="295" t="s">
        <v>30</v>
      </c>
      <c r="AK91" s="295" t="s">
        <v>30</v>
      </c>
      <c r="AM91" s="286">
        <v>45170</v>
      </c>
      <c r="AN91" s="287" t="str">
        <f ca="1">DATEDIF(AM91,TODAY(),"y")&amp;" tahun "&amp;DATEDIF(AM91,TODAY(),"ym")&amp;" bulan "</f>
        <v xml:space="preserve">2 tahun 4 bulan </v>
      </c>
      <c r="AO91" s="281" t="s">
        <v>868</v>
      </c>
      <c r="AP91" s="281" t="s">
        <v>968</v>
      </c>
      <c r="AQ91" s="281" t="s">
        <v>1236</v>
      </c>
      <c r="AR91" s="281" t="s">
        <v>400</v>
      </c>
      <c r="AS91" s="281">
        <v>82228377835</v>
      </c>
      <c r="AT91" s="281" t="s">
        <v>401</v>
      </c>
      <c r="AU91" s="281" t="s">
        <v>30</v>
      </c>
      <c r="AV91" s="281"/>
      <c r="AW91" s="281" t="str">
        <f>VLOOKUP(B91,Sheet2!A100:I217,9,FALSE)</f>
        <v>Aufar Fikri Dimyati, S.T., M.T.</v>
      </c>
      <c r="AX91" s="281" t="s">
        <v>861</v>
      </c>
      <c r="AY91" s="281" t="str">
        <f>VLOOKUP(B91,Sheet2!A100:C217,2,FALSE)</f>
        <v>Banyuwangi</v>
      </c>
      <c r="AZ91" s="288">
        <f>VLOOKUP(B91,Sheet2!A100:C217,3,FALSE)</f>
        <v>35691</v>
      </c>
      <c r="BA91" s="281">
        <f ca="1">DATEDIF(AZ91, TODAY(),"y")</f>
        <v>28</v>
      </c>
      <c r="BB91" s="281"/>
      <c r="BC91" s="281"/>
      <c r="BD91" s="281"/>
      <c r="BE91" s="295"/>
      <c r="BF91" s="289"/>
      <c r="BG91" s="289"/>
      <c r="BH91" s="289"/>
      <c r="BI91" s="289"/>
      <c r="BJ91" s="289"/>
      <c r="BK91" s="289"/>
      <c r="BL91" s="288" t="str">
        <f>VLOOKUP(B91,Sheet2!A100:D217,4,FALSE)</f>
        <v>Dosen</v>
      </c>
      <c r="BM91" s="281"/>
      <c r="BN91" s="281"/>
      <c r="BO91" s="281"/>
      <c r="BP91" s="281"/>
      <c r="BQ91" s="281"/>
      <c r="BR91" s="288" t="str">
        <f>VLOOKUP(B91,Sheet2!A100:E217,5,FALSE)</f>
        <v>Production and Manufacturing System</v>
      </c>
      <c r="BS91" s="288" t="str">
        <f>VLOOKUP(B91,Sheet2!A100:F217,6,FALSE)</f>
        <v>AUX</v>
      </c>
      <c r="BT91" s="288" t="str">
        <f>VLOOKUP(B91,Sheet2!A100:G217,7,FALSE)</f>
        <v>Fakultas Rekayasa Industri</v>
      </c>
      <c r="BU91" s="288" t="str">
        <f>VLOOKUP(B91,Sheet2!A100:H217,8,FALSE)</f>
        <v>aufarfd@telkomuniversity.ac.id</v>
      </c>
      <c r="BV91" s="280">
        <f>COUNTIFS('Join TPA Dosen'!B:B,Dosen!B100)</f>
        <v>1</v>
      </c>
      <c r="BW91" s="273" t="str">
        <f>DATEDIF(AM91,DATE(2026,1,1),"y")&amp;" tahun "&amp;DATEDIF(AM91,DATE(2026,1,1),"ym")&amp;" bulan "</f>
        <v xml:space="preserve">2 tahun 4 bulan </v>
      </c>
      <c r="BX91" s="280" t="str">
        <f>VLOOKUP($B91,Sheet1!$A:$G,2,FALSE)</f>
        <v>ITS</v>
      </c>
      <c r="BY91" s="280" t="str">
        <f>VLOOKUP($B91,Sheet1!$A:$G,3,FALSE)</f>
        <v>Teknik Industri</v>
      </c>
      <c r="BZ91" s="280" t="str">
        <f>VLOOKUP($B91,Sheet1!$A:$G,4,FALSE)</f>
        <v>ITS</v>
      </c>
      <c r="CA91" s="280" t="str">
        <f>VLOOKUP($B91,Sheet1!$A:$G,5,FALSE)</f>
        <v>Teknik Industri</v>
      </c>
      <c r="CB91" s="280">
        <f>VLOOKUP($B91,Sheet1!$A:$G,6,FALSE)</f>
        <v>0</v>
      </c>
      <c r="CC91" s="280">
        <f>VLOOKUP($B91,Sheet1!$A:$G,7,FALSE)</f>
        <v>0</v>
      </c>
      <c r="CD91" s="280" t="s">
        <v>871</v>
      </c>
      <c r="CE91" s="280" t="s">
        <v>863</v>
      </c>
    </row>
    <row r="92" spans="1:83" ht="18.95">
      <c r="A92" s="281">
        <v>76</v>
      </c>
      <c r="B92" s="281" t="s">
        <v>390</v>
      </c>
      <c r="C92" s="281" t="s">
        <v>46</v>
      </c>
      <c r="D92" s="281" t="s">
        <v>370</v>
      </c>
      <c r="E92" s="281">
        <v>22950052</v>
      </c>
      <c r="F92" s="281" t="s">
        <v>1237</v>
      </c>
      <c r="G92" s="281"/>
      <c r="H92" s="291" t="s">
        <v>884</v>
      </c>
      <c r="I92" s="281" t="s">
        <v>30</v>
      </c>
      <c r="J92" s="281" t="s">
        <v>176</v>
      </c>
      <c r="K92" s="281" t="s">
        <v>917</v>
      </c>
      <c r="L92" s="281" t="s">
        <v>918</v>
      </c>
      <c r="M92" s="283" t="str">
        <f>IF(L92="NJAD","AA",IF(L92="AA","L",IF(L92="L","LK","GB")))</f>
        <v>AA</v>
      </c>
      <c r="N92" s="282" t="s">
        <v>511</v>
      </c>
      <c r="O92" s="281">
        <v>0</v>
      </c>
      <c r="P92" s="281" t="s">
        <v>30</v>
      </c>
      <c r="Q92" s="284">
        <v>44835</v>
      </c>
      <c r="R92" s="281" t="str">
        <f ca="1">DATEDIF(Q92,TODAY(), "Y") &amp; " Tahun " &amp; DATEDIF(Q92, TODAY(), "YM") &amp; " Bulan"</f>
        <v>3 Tahun 3 Bulan</v>
      </c>
      <c r="S92" s="282" t="s">
        <v>511</v>
      </c>
      <c r="T92" s="282" t="s">
        <v>511</v>
      </c>
      <c r="U92" s="281" t="e">
        <f ca="1">DATEDIF(T92,TODAY(), "Y") &amp; " Tahun " &amp; DATEDIF(T92, TODAY(), "YM") &amp; " Bulan"</f>
        <v>#VALUE!</v>
      </c>
      <c r="V92" s="281" t="s">
        <v>966</v>
      </c>
      <c r="W92" s="281" t="s">
        <v>851</v>
      </c>
      <c r="X92" s="283" t="str">
        <f ca="1">IF(AND(OR(L92="AA",L92="L"),OR(S92="Penata Muda Tk. I Golongan III/b",S92="Penata Golongan III/c"),DATEDIF(Q92,TODAY(),"m")&gt;=23,ISBLANK(Z92),C92="Aktif"),"Nominasi Serdos","-")</f>
        <v>-</v>
      </c>
      <c r="Y92" s="281"/>
      <c r="Z92" s="282"/>
      <c r="AA92" s="295"/>
      <c r="AB92" s="281" t="s">
        <v>30</v>
      </c>
      <c r="AC92" s="282" t="s">
        <v>511</v>
      </c>
      <c r="AD92" s="281" t="s">
        <v>30</v>
      </c>
      <c r="AE92" s="281" t="s">
        <v>30</v>
      </c>
      <c r="AF92" s="281" t="s">
        <v>30</v>
      </c>
      <c r="AG92" s="281" t="s">
        <v>30</v>
      </c>
      <c r="AH92" s="281" t="s">
        <v>854</v>
      </c>
      <c r="AI92" s="281" t="s">
        <v>30</v>
      </c>
      <c r="AJ92" s="281" t="s">
        <v>30</v>
      </c>
      <c r="AK92" s="281" t="s">
        <v>30</v>
      </c>
      <c r="AM92" s="286">
        <v>44832</v>
      </c>
      <c r="AN92" s="287" t="str">
        <f ca="1">DATEDIF(AM92,TODAY(),"y")&amp;" tahun "&amp;DATEDIF(AM92,TODAY(),"ym")&amp;" bulan "</f>
        <v xml:space="preserve">3 tahun 3 bulan </v>
      </c>
      <c r="AO92" s="281" t="s">
        <v>868</v>
      </c>
      <c r="AP92" s="281" t="s">
        <v>968</v>
      </c>
      <c r="AQ92" s="281" t="s">
        <v>1238</v>
      </c>
      <c r="AR92" s="281" t="s">
        <v>391</v>
      </c>
      <c r="AS92" s="281">
        <v>81287562288</v>
      </c>
      <c r="AT92" s="281" t="s">
        <v>392</v>
      </c>
      <c r="AU92" s="281" t="s">
        <v>30</v>
      </c>
      <c r="AV92" s="281"/>
      <c r="AW92" s="281" t="str">
        <f>VLOOKUP(B92,Sheet2!A77:I194,9,FALSE)</f>
        <v>Perdana Suteja Putra, S.T., M.T.</v>
      </c>
      <c r="AX92" s="281" t="s">
        <v>861</v>
      </c>
      <c r="AY92" s="281" t="str">
        <f>VLOOKUP(B92,Sheet2!A77:C194,2,FALSE)</f>
        <v>Klaten</v>
      </c>
      <c r="AZ92" s="288">
        <f>VLOOKUP(B92,Sheet2!A77:C194,3,FALSE)</f>
        <v>35037</v>
      </c>
      <c r="BA92" s="281">
        <f ca="1">DATEDIF(AZ92, TODAY(),"y")</f>
        <v>30</v>
      </c>
      <c r="BB92" s="281"/>
      <c r="BC92" s="281"/>
      <c r="BD92" s="281"/>
      <c r="BE92" s="281"/>
      <c r="BF92" s="289"/>
      <c r="BG92" s="289"/>
      <c r="BH92" s="289"/>
      <c r="BI92" s="289"/>
      <c r="BJ92" s="289"/>
      <c r="BK92" s="289"/>
      <c r="BL92" s="288" t="str">
        <f>VLOOKUP(B92,Sheet2!A77:D194,4,FALSE)</f>
        <v>Dosen</v>
      </c>
      <c r="BM92" s="281"/>
      <c r="BN92" s="286"/>
      <c r="BO92" s="281"/>
      <c r="BP92" s="281"/>
      <c r="BQ92" s="281"/>
      <c r="BR92" s="288" t="str">
        <f>VLOOKUP(B92,Sheet2!A77:E194,5,FALSE)</f>
        <v>Production and Manufacturing System</v>
      </c>
      <c r="BS92" s="288" t="str">
        <f>VLOOKUP(B92,Sheet2!A77:F194,6,FALSE)</f>
        <v>PSP</v>
      </c>
      <c r="BT92" s="288" t="str">
        <f>VLOOKUP(B92,Sheet2!A77:G194,7,FALSE)</f>
        <v>Fakultas Rekayasa Industri</v>
      </c>
      <c r="BU92" s="288" t="str">
        <f>VLOOKUP(B92,Sheet2!A77:H194,8,FALSE)</f>
        <v>perdanasuteja@telkomuniversity.ac.id</v>
      </c>
      <c r="BV92" s="280">
        <f>COUNTIFS('Join TPA Dosen'!B:B,Dosen!B77)</f>
        <v>1</v>
      </c>
      <c r="BW92" s="273" t="str">
        <f>DATEDIF(AM92,DATE(2026,1,1),"y")&amp;" tahun "&amp;DATEDIF(AM92,DATE(2026,1,1),"ym")&amp;" bulan "</f>
        <v xml:space="preserve">3 tahun 3 bulan </v>
      </c>
      <c r="BX92" s="280" t="str">
        <f>VLOOKUP($B92,Sheet1!$A:$G,2,FALSE)</f>
        <v>Universitas Islam Indonesia</v>
      </c>
      <c r="BY92" s="280" t="str">
        <f>VLOOKUP($B92,Sheet1!$A:$G,3,FALSE)</f>
        <v>Teknik Industri</v>
      </c>
      <c r="BZ92" s="280" t="str">
        <f>VLOOKUP($B92,Sheet1!$A:$G,4,FALSE)</f>
        <v>UI</v>
      </c>
      <c r="CA92" s="280" t="str">
        <f>VLOOKUP($B92,Sheet1!$A:$G,5,FALSE)</f>
        <v>Teknik Industri</v>
      </c>
      <c r="CB92" s="280" t="str">
        <f>VLOOKUP($B92,Sheet1!$A:$G,6,FALSE)</f>
        <v>-</v>
      </c>
      <c r="CC92" s="280">
        <f>VLOOKUP($B92,Sheet1!$A:$G,7,FALSE)</f>
        <v>0</v>
      </c>
      <c r="CD92" s="280" t="e">
        <v>#N/A</v>
      </c>
      <c r="CE92" s="280" t="e">
        <v>#N/A</v>
      </c>
    </row>
    <row r="93" spans="1:83" ht="19.5">
      <c r="A93" s="281">
        <v>100</v>
      </c>
      <c r="B93" s="281" t="s">
        <v>325</v>
      </c>
      <c r="C93" s="281" t="s">
        <v>20</v>
      </c>
      <c r="D93" s="281" t="s">
        <v>235</v>
      </c>
      <c r="E93" s="281">
        <v>23990020</v>
      </c>
      <c r="F93" s="291" t="s">
        <v>1239</v>
      </c>
      <c r="G93" s="296" t="s">
        <v>326</v>
      </c>
      <c r="H93" s="291" t="s">
        <v>884</v>
      </c>
      <c r="I93" s="295" t="s">
        <v>30</v>
      </c>
      <c r="J93" s="281" t="s">
        <v>57</v>
      </c>
      <c r="K93" s="281" t="s">
        <v>917</v>
      </c>
      <c r="L93" s="281" t="s">
        <v>918</v>
      </c>
      <c r="M93" s="283" t="str">
        <f>IF(L93="NJAD","AA",IF(L93="AA","L",IF(L93="L","LK","GB")))</f>
        <v>AA</v>
      </c>
      <c r="N93" s="282" t="s">
        <v>511</v>
      </c>
      <c r="O93" s="281">
        <v>0</v>
      </c>
      <c r="P93" s="281" t="s">
        <v>30</v>
      </c>
      <c r="Q93" s="284">
        <v>45170</v>
      </c>
      <c r="R93" s="281" t="str">
        <f ca="1">DATEDIF(Q93,TODAY(), "Y") &amp; " Tahun " &amp; DATEDIF(Q93, TODAY(), "YM") &amp; " Bulan"</f>
        <v>2 Tahun 4 Bulan</v>
      </c>
      <c r="S93" s="282" t="s">
        <v>511</v>
      </c>
      <c r="T93" s="282" t="s">
        <v>511</v>
      </c>
      <c r="U93" s="281" t="e">
        <f ca="1">DATEDIF(T93,TODAY(), "Y") &amp; " Tahun " &amp; DATEDIF(T93, TODAY(), "YM") &amp; " Bulan"</f>
        <v>#VALUE!</v>
      </c>
      <c r="V93" s="281" t="s">
        <v>933</v>
      </c>
      <c r="W93" s="281" t="s">
        <v>851</v>
      </c>
      <c r="X93" s="283" t="str">
        <f ca="1">IF(AND(OR(L93="AA",L93="L"),OR(S93="Penata Muda Tk. I Golongan III/b",S93="Penata Golongan III/c"),DATEDIF(Q93,TODAY(),"m")&gt;=23,ISBLANK(Z93),C93="Aktif"),"Nominasi Serdos","-")</f>
        <v>-</v>
      </c>
      <c r="Y93" s="281"/>
      <c r="Z93" s="297"/>
      <c r="AA93" s="297"/>
      <c r="AB93" s="295" t="s">
        <v>30</v>
      </c>
      <c r="AC93" s="297" t="s">
        <v>511</v>
      </c>
      <c r="AD93" s="281" t="s">
        <v>30</v>
      </c>
      <c r="AE93" s="281" t="s">
        <v>30</v>
      </c>
      <c r="AF93" s="281" t="s">
        <v>30</v>
      </c>
      <c r="AG93" s="281" t="s">
        <v>30</v>
      </c>
      <c r="AH93" s="281" t="s">
        <v>854</v>
      </c>
      <c r="AI93" s="293" t="s">
        <v>855</v>
      </c>
      <c r="AJ93" s="293" t="s">
        <v>897</v>
      </c>
      <c r="AK93" s="281" t="s">
        <v>898</v>
      </c>
      <c r="AL93" s="293" t="s">
        <v>899</v>
      </c>
      <c r="AM93" s="286">
        <v>45170</v>
      </c>
      <c r="AN93" s="287" t="str">
        <f ca="1">DATEDIF(AM93,TODAY(),"y")&amp;" tahun "&amp;DATEDIF(AM93,TODAY(),"ym")&amp;" bulan "</f>
        <v xml:space="preserve">2 tahun 4 bulan </v>
      </c>
      <c r="AO93" s="281" t="s">
        <v>858</v>
      </c>
      <c r="AP93" s="281" t="s">
        <v>934</v>
      </c>
      <c r="AQ93" s="281" t="s">
        <v>1240</v>
      </c>
      <c r="AR93" s="281" t="s">
        <v>327</v>
      </c>
      <c r="AS93" s="281">
        <v>85200022100</v>
      </c>
      <c r="AT93" s="281" t="s">
        <v>328</v>
      </c>
      <c r="AU93" s="281" t="s">
        <v>30</v>
      </c>
      <c r="AV93" s="281"/>
      <c r="AW93" s="281" t="str">
        <f>VLOOKUP(B93,Sheet2!A101:I218,9,FALSE)</f>
        <v>Muhammad Ilham Alhari, S.Kom., M.Kom.</v>
      </c>
      <c r="AX93" s="281" t="s">
        <v>861</v>
      </c>
      <c r="AY93" s="281" t="str">
        <f>VLOOKUP(B93,Sheet2!A101:C218,2,FALSE)</f>
        <v>Sragen</v>
      </c>
      <c r="AZ93" s="288">
        <f>VLOOKUP(B93,Sheet2!A101:C218,3,FALSE)</f>
        <v>36363</v>
      </c>
      <c r="BA93" s="281">
        <f ca="1">DATEDIF(AZ93, TODAY(),"y")</f>
        <v>26</v>
      </c>
      <c r="BB93" s="281"/>
      <c r="BC93" s="281"/>
      <c r="BD93" s="281"/>
      <c r="BE93" s="295"/>
      <c r="BF93" s="289"/>
      <c r="BG93" s="289"/>
      <c r="BH93" s="289"/>
      <c r="BI93" s="289"/>
      <c r="BJ93" s="289"/>
      <c r="BK93" s="289"/>
      <c r="BL93" s="288" t="str">
        <f>VLOOKUP(B93,Sheet2!A101:D218,4,FALSE)</f>
        <v>Dosen</v>
      </c>
      <c r="BM93" s="281"/>
      <c r="BN93" s="281"/>
      <c r="BO93" s="281"/>
      <c r="BP93" s="281"/>
      <c r="BQ93" s="281"/>
      <c r="BR93" s="288" t="str">
        <f>VLOOKUP(B93,Sheet2!A101:E218,5,FALSE)</f>
        <v>Enterprise and Industrial System (EINS)</v>
      </c>
      <c r="BS93" s="288" t="str">
        <f>VLOOKUP(B93,Sheet2!A101:F218,6,FALSE)</f>
        <v>LHA</v>
      </c>
      <c r="BT93" s="288" t="str">
        <f>VLOOKUP(B93,Sheet2!A101:G218,7,FALSE)</f>
        <v>Fakultas Rekayasa Industri</v>
      </c>
      <c r="BU93" s="288" t="str">
        <f>VLOOKUP(B93,Sheet2!A101:H218,8,FALSE)</f>
        <v>ilhamalhari@telkomuniversity.ac.id</v>
      </c>
      <c r="BV93" s="280">
        <f>COUNTIFS('Join TPA Dosen'!B:B,Dosen!B101)</f>
        <v>1</v>
      </c>
      <c r="BW93" s="273" t="str">
        <f>DATEDIF(AM93,DATE(2026,1,1),"y")&amp;" tahun "&amp;DATEDIF(AM93,DATE(2026,1,1),"ym")&amp;" bulan "</f>
        <v xml:space="preserve">2 tahun 4 bulan </v>
      </c>
      <c r="BX93" s="280" t="str">
        <f>VLOOKUP($B93,Sheet1!$A:$G,2,FALSE)</f>
        <v>Tel-U</v>
      </c>
      <c r="BY93" s="280" t="str">
        <f>VLOOKUP($B93,Sheet1!$A:$G,3,FALSE)</f>
        <v>Sistem Informasi</v>
      </c>
      <c r="BZ93" s="280" t="str">
        <f>VLOOKUP($B93,Sheet1!$A:$G,4,FALSE)</f>
        <v>Tel-U</v>
      </c>
      <c r="CA93" s="280" t="str">
        <f>VLOOKUP($B93,Sheet1!$A:$G,5,FALSE)</f>
        <v>Sistem Informasi</v>
      </c>
      <c r="CB93" s="280" t="str">
        <f>VLOOKUP($B93,Sheet1!$A:$G,6,FALSE)</f>
        <v>ITS</v>
      </c>
      <c r="CC93" s="280" t="str">
        <f>VLOOKUP($B93,Sheet1!$A:$G,7,FALSE)</f>
        <v>Sistem Informasi</v>
      </c>
      <c r="CD93" s="280" t="s">
        <v>882</v>
      </c>
      <c r="CE93" s="280" t="s">
        <v>863</v>
      </c>
    </row>
    <row r="94" spans="1:83" ht="19.5">
      <c r="A94" s="281">
        <v>102</v>
      </c>
      <c r="B94" s="281" t="s">
        <v>196</v>
      </c>
      <c r="C94" s="281" t="s">
        <v>20</v>
      </c>
      <c r="D94" s="281" t="s">
        <v>170</v>
      </c>
      <c r="E94" s="281">
        <v>23900007</v>
      </c>
      <c r="F94" s="291" t="s">
        <v>1241</v>
      </c>
      <c r="G94" s="296" t="s">
        <v>197</v>
      </c>
      <c r="H94" s="291" t="s">
        <v>884</v>
      </c>
      <c r="I94" s="295" t="s">
        <v>30</v>
      </c>
      <c r="J94" s="281" t="s">
        <v>176</v>
      </c>
      <c r="K94" s="281" t="s">
        <v>846</v>
      </c>
      <c r="L94" s="281" t="s">
        <v>847</v>
      </c>
      <c r="M94" s="283" t="str">
        <f>IF(L94="NJAD","AA",IF(L94="AA","L",IF(L94="L","LK","GB")))</f>
        <v>L</v>
      </c>
      <c r="N94" s="282" t="s">
        <v>511</v>
      </c>
      <c r="O94" s="281">
        <v>150</v>
      </c>
      <c r="P94" s="281" t="s">
        <v>1242</v>
      </c>
      <c r="Q94" s="284">
        <v>45748</v>
      </c>
      <c r="R94" s="281" t="str">
        <f ca="1">DATEDIF(Q94,TODAY(), "Y") &amp; " Tahun " &amp; DATEDIF(Q94, TODAY(), "YM") &amp; " Bulan"</f>
        <v>0 Tahun 9 Bulan</v>
      </c>
      <c r="S94" s="281" t="s">
        <v>849</v>
      </c>
      <c r="T94" s="285">
        <v>45809</v>
      </c>
      <c r="U94" s="281" t="str">
        <f ca="1">DATEDIF(T94,TODAY(), "Y") &amp; " Tahun " &amp; DATEDIF(T94, TODAY(), "YM") &amp; " Bulan"</f>
        <v>0 Tahun 7 Bulan</v>
      </c>
      <c r="V94" s="281" t="s">
        <v>955</v>
      </c>
      <c r="W94" s="281" t="s">
        <v>851</v>
      </c>
      <c r="X94" s="283" t="str">
        <f ca="1">IF(AND(OR(L94="AA",L94="L"),OR(S94="Penata Muda Tk. I Golongan III/b",S94="Penata Golongan III/c"),DATEDIF(Q94,TODAY(),"m")&gt;=23,ISBLANK(Z94),C94="Aktif"),"Nominasi Serdos","-")</f>
        <v>-</v>
      </c>
      <c r="Y94" s="281"/>
      <c r="Z94" s="297"/>
      <c r="AA94" s="297"/>
      <c r="AB94" s="295" t="s">
        <v>30</v>
      </c>
      <c r="AC94" s="297" t="s">
        <v>511</v>
      </c>
      <c r="AD94" s="281" t="s">
        <v>30</v>
      </c>
      <c r="AE94" s="281" t="s">
        <v>30</v>
      </c>
      <c r="AF94" s="281" t="s">
        <v>30</v>
      </c>
      <c r="AG94" s="281" t="s">
        <v>30</v>
      </c>
      <c r="AH94" s="281" t="s">
        <v>854</v>
      </c>
      <c r="AI94" s="295" t="s">
        <v>30</v>
      </c>
      <c r="AJ94" s="295" t="s">
        <v>30</v>
      </c>
      <c r="AK94" s="295" t="s">
        <v>30</v>
      </c>
      <c r="AM94" s="286">
        <v>45170</v>
      </c>
      <c r="AN94" s="287" t="str">
        <f ca="1">DATEDIF(AM94,TODAY(),"y")&amp;" tahun "&amp;DATEDIF(AM94,TODAY(),"ym")&amp;" bulan "</f>
        <v xml:space="preserve">2 tahun 4 bulan </v>
      </c>
      <c r="AO94" s="281" t="s">
        <v>858</v>
      </c>
      <c r="AP94" s="281" t="s">
        <v>914</v>
      </c>
      <c r="AQ94" s="281" t="s">
        <v>1243</v>
      </c>
      <c r="AR94" s="281" t="s">
        <v>198</v>
      </c>
      <c r="AS94" s="281">
        <v>85292632388</v>
      </c>
      <c r="AT94" s="281" t="s">
        <v>199</v>
      </c>
      <c r="AU94" s="281" t="s">
        <v>30</v>
      </c>
      <c r="AV94" s="302"/>
      <c r="AW94" s="281" t="str">
        <f>VLOOKUP(B94,Sheet2!A103:I220,9,FALSE)</f>
        <v>Arni Muarifah Amri, S.T., M.T.</v>
      </c>
      <c r="AX94" s="302" t="s">
        <v>902</v>
      </c>
      <c r="AY94" s="281" t="str">
        <f>VLOOKUP(B94,Sheet2!A103:C220,2,FALSE)</f>
        <v>Bantaeng</v>
      </c>
      <c r="AZ94" s="288">
        <f>VLOOKUP(B94,Sheet2!A103:C220,3,FALSE)</f>
        <v>33042</v>
      </c>
      <c r="BA94" s="281">
        <f ca="1">DATEDIF(AZ94, TODAY(),"y")</f>
        <v>35</v>
      </c>
      <c r="BB94" s="302"/>
      <c r="BC94" s="302"/>
      <c r="BD94" s="302"/>
      <c r="BE94" s="302"/>
      <c r="BF94" s="306"/>
      <c r="BG94" s="306"/>
      <c r="BH94" s="306"/>
      <c r="BI94" s="306"/>
      <c r="BJ94" s="306"/>
      <c r="BK94" s="306"/>
      <c r="BL94" s="288" t="str">
        <f>VLOOKUP(B94,Sheet2!A103:D220,4,FALSE)</f>
        <v>Dosen</v>
      </c>
      <c r="BM94" s="302"/>
      <c r="BN94" s="302"/>
      <c r="BO94" s="302"/>
      <c r="BP94" s="302"/>
      <c r="BQ94" s="302"/>
      <c r="BR94" s="288" t="str">
        <f>VLOOKUP(B94,Sheet2!A103:E220,5,FALSE)</f>
        <v>Software Engineering and Algorithm (SEAL)</v>
      </c>
      <c r="BS94" s="288" t="str">
        <f>VLOOKUP(B94,Sheet2!A103:F220,6,FALSE)</f>
        <v>NIE</v>
      </c>
      <c r="BT94" s="288" t="str">
        <f>VLOOKUP(B94,Sheet2!A103:G220,7,FALSE)</f>
        <v>Fakultas Informatika</v>
      </c>
      <c r="BU94" s="288" t="str">
        <f>VLOOKUP(B94,Sheet2!A103:H220,8,FALSE)</f>
        <v>arnyrivah@telkomuniversity.ac.id</v>
      </c>
      <c r="BV94" s="280">
        <f>COUNTIFS('Join TPA Dosen'!B:B,Dosen!B103)</f>
        <v>1</v>
      </c>
      <c r="BW94" s="273" t="str">
        <f>DATEDIF(AM94,DATE(2026,1,1),"y")&amp;" tahun "&amp;DATEDIF(AM94,DATE(2026,1,1),"ym")&amp;" bulan "</f>
        <v xml:space="preserve">2 tahun 4 bulan </v>
      </c>
      <c r="BX94" s="280" t="str">
        <f>VLOOKUP($B94,Sheet1!$A:$G,2,FALSE)</f>
        <v>UNHAS</v>
      </c>
      <c r="BY94" s="280" t="str">
        <f>VLOOKUP($B94,Sheet1!$A:$G,3,FALSE)</f>
        <v>Teknik Informatika</v>
      </c>
      <c r="BZ94" s="280" t="str">
        <f>VLOOKUP($B94,Sheet1!$A:$G,4,FALSE)</f>
        <v>ITS</v>
      </c>
      <c r="CA94" s="280" t="str">
        <f>VLOOKUP($B94,Sheet1!$A:$G,5,FALSE)</f>
        <v>Telematika</v>
      </c>
      <c r="CB94" s="280">
        <f>VLOOKUP($B94,Sheet1!$A:$G,6,FALSE)</f>
        <v>0</v>
      </c>
      <c r="CC94" s="280">
        <f>VLOOKUP($B94,Sheet1!$A:$G,7,FALSE)</f>
        <v>0</v>
      </c>
      <c r="CD94" s="280" t="s">
        <v>862</v>
      </c>
      <c r="CE94" s="280" t="s">
        <v>903</v>
      </c>
    </row>
    <row r="95" spans="1:83" ht="19.5">
      <c r="A95" s="281">
        <v>103</v>
      </c>
      <c r="B95" s="281" t="s">
        <v>137</v>
      </c>
      <c r="C95" s="281" t="s">
        <v>20</v>
      </c>
      <c r="D95" s="281" t="s">
        <v>107</v>
      </c>
      <c r="E95" s="281">
        <v>23970024</v>
      </c>
      <c r="F95" s="296" t="s">
        <v>1244</v>
      </c>
      <c r="G95" s="296" t="s">
        <v>138</v>
      </c>
      <c r="H95" s="291" t="s">
        <v>884</v>
      </c>
      <c r="I95" s="295" t="s">
        <v>30</v>
      </c>
      <c r="J95" s="281" t="s">
        <v>57</v>
      </c>
      <c r="K95" s="281" t="s">
        <v>846</v>
      </c>
      <c r="L95" s="281" t="s">
        <v>847</v>
      </c>
      <c r="M95" s="283" t="str">
        <f>IF(L95="NJAD","AA",IF(L95="AA","L",IF(L95="L","LK","GB")))</f>
        <v>L</v>
      </c>
      <c r="N95" s="292"/>
      <c r="O95" s="281">
        <v>150</v>
      </c>
      <c r="P95" s="281" t="s">
        <v>1245</v>
      </c>
      <c r="Q95" s="284">
        <v>45870</v>
      </c>
      <c r="R95" s="281" t="str">
        <f ca="1">DATEDIF(Q95,TODAY(), "Y") &amp; " Tahun " &amp; DATEDIF(Q95, TODAY(), "YM") &amp; " Bulan"</f>
        <v>0 Tahun 5 Bulan</v>
      </c>
      <c r="S95" s="281" t="s">
        <v>849</v>
      </c>
      <c r="T95" s="285">
        <v>45931</v>
      </c>
      <c r="U95" s="281" t="str">
        <f ca="1">DATEDIF(T95,TODAY(), "Y") &amp; " Tahun " &amp; DATEDIF(T95, TODAY(), "YM") &amp; " Bulan"</f>
        <v>0 Tahun 3 Bulan</v>
      </c>
      <c r="V95" s="281" t="s">
        <v>1026</v>
      </c>
      <c r="W95" s="281" t="s">
        <v>851</v>
      </c>
      <c r="X95" s="283" t="str">
        <f ca="1">IF(AND(OR(L95="AA",L95="L"),OR(S95="Penata Muda Tk. I Golongan III/b",S95="Penata Golongan III/c"),DATEDIF(Q95,TODAY(),"m")&gt;=23,ISBLANK(Z95),C95="Aktif"),"Nominasi Serdos","-")</f>
        <v>-</v>
      </c>
      <c r="Y95" s="281"/>
      <c r="Z95" s="297"/>
      <c r="AA95" s="297"/>
      <c r="AB95" s="295" t="s">
        <v>30</v>
      </c>
      <c r="AC95" s="297" t="s">
        <v>511</v>
      </c>
      <c r="AD95" s="281" t="s">
        <v>30</v>
      </c>
      <c r="AE95" s="281" t="s">
        <v>30</v>
      </c>
      <c r="AF95" s="281" t="s">
        <v>30</v>
      </c>
      <c r="AG95" s="281" t="s">
        <v>30</v>
      </c>
      <c r="AH95" s="281" t="s">
        <v>854</v>
      </c>
      <c r="AI95" s="293" t="s">
        <v>855</v>
      </c>
      <c r="AJ95" s="293" t="s">
        <v>897</v>
      </c>
      <c r="AK95" s="281" t="s">
        <v>898</v>
      </c>
      <c r="AL95" s="293" t="s">
        <v>899</v>
      </c>
      <c r="AM95" s="286">
        <v>45170</v>
      </c>
      <c r="AN95" s="287" t="str">
        <f ca="1">DATEDIF(AM95,TODAY(),"y")&amp;" tahun "&amp;DATEDIF(AM95,TODAY(),"ym")&amp;" bulan "</f>
        <v xml:space="preserve">2 tahun 4 bulan </v>
      </c>
      <c r="AO95" s="281" t="s">
        <v>858</v>
      </c>
      <c r="AP95" s="281" t="s">
        <v>962</v>
      </c>
      <c r="AQ95" s="281" t="s">
        <v>1246</v>
      </c>
      <c r="AR95" s="281" t="s">
        <v>139</v>
      </c>
      <c r="AS95" s="281">
        <v>81227926332</v>
      </c>
      <c r="AT95" s="281" t="s">
        <v>140</v>
      </c>
      <c r="AU95" s="281" t="s">
        <v>30</v>
      </c>
      <c r="AV95" s="281"/>
      <c r="AW95" s="281" t="str">
        <f>VLOOKUP(B95,Sheet2!A104:I221,9,FALSE)</f>
        <v>Daud Muhajir, S.Kom., M.Kom.</v>
      </c>
      <c r="AX95" s="281" t="s">
        <v>861</v>
      </c>
      <c r="AY95" s="281" t="str">
        <f>VLOOKUP(B95,Sheet2!A104:C221,2,FALSE)</f>
        <v>Sidoarjo</v>
      </c>
      <c r="AZ95" s="288">
        <f>VLOOKUP(B95,Sheet2!A104:C221,3,FALSE)</f>
        <v>35622</v>
      </c>
      <c r="BA95" s="281">
        <f ca="1">DATEDIF(AZ95, TODAY(),"y")</f>
        <v>28</v>
      </c>
      <c r="BB95" s="281"/>
      <c r="BC95" s="281"/>
      <c r="BD95" s="281"/>
      <c r="BE95" s="281"/>
      <c r="BF95" s="289"/>
      <c r="BG95" s="289"/>
      <c r="BH95" s="289"/>
      <c r="BI95" s="289"/>
      <c r="BJ95" s="289"/>
      <c r="BK95" s="289"/>
      <c r="BL95" s="288" t="str">
        <f>VLOOKUP(B95,Sheet2!A104:D221,4,FALSE)</f>
        <v>Dosen</v>
      </c>
      <c r="BM95" s="281"/>
      <c r="BN95" s="281"/>
      <c r="BO95" s="281"/>
      <c r="BP95" s="281"/>
      <c r="BQ95" s="281"/>
      <c r="BR95" s="288" t="str">
        <f>VLOOKUP(B95,Sheet2!A104:E221,5,FALSE)</f>
        <v>Software Engineering and Algorithm (SEAL)</v>
      </c>
      <c r="BS95" s="288" t="str">
        <f>VLOOKUP(B95,Sheet2!A104:F221,6,FALSE)</f>
        <v>MHJ</v>
      </c>
      <c r="BT95" s="288" t="str">
        <f>VLOOKUP(B95,Sheet2!A104:G221,7,FALSE)</f>
        <v>Fakultas Informatika</v>
      </c>
      <c r="BU95" s="288" t="str">
        <f>VLOOKUP(B95,Sheet2!A104:H221,8,FALSE)</f>
        <v>daudmuhajir@telkomuniversity.ac.id</v>
      </c>
      <c r="BV95" s="280">
        <f>COUNTIFS('Join TPA Dosen'!B:B,Dosen!B104)</f>
        <v>1</v>
      </c>
      <c r="BW95" s="273" t="str">
        <f>DATEDIF(AM95,DATE(2026,1,1),"y")&amp;" tahun "&amp;DATEDIF(AM95,DATE(2026,1,1),"ym")&amp;" bulan "</f>
        <v xml:space="preserve">2 tahun 4 bulan </v>
      </c>
      <c r="BX95" s="280" t="str">
        <f>VLOOKUP($B95,Sheet1!$A:$G,2,FALSE)</f>
        <v>ITS</v>
      </c>
      <c r="BY95" s="280" t="str">
        <f>VLOOKUP($B95,Sheet1!$A:$G,3,FALSE)</f>
        <v>Sistem Informasi</v>
      </c>
      <c r="BZ95" s="280" t="str">
        <f>VLOOKUP($B95,Sheet1!$A:$G,4,FALSE)</f>
        <v>ITS</v>
      </c>
      <c r="CA95" s="280" t="str">
        <f>VLOOKUP($B95,Sheet1!$A:$G,5,FALSE)</f>
        <v>Sistem Informasi</v>
      </c>
      <c r="CB95" s="280" t="str">
        <f>VLOOKUP($B95,Sheet1!$A:$G,6,FALSE)</f>
        <v>ITS</v>
      </c>
      <c r="CC95" s="280" t="str">
        <f>VLOOKUP($B95,Sheet1!$A:$G,7,FALSE)</f>
        <v>Sistem Informasi</v>
      </c>
      <c r="CD95" s="280" t="s">
        <v>882</v>
      </c>
      <c r="CE95" s="280" t="s">
        <v>903</v>
      </c>
    </row>
    <row r="96" spans="1:83" ht="18.95">
      <c r="A96" s="281">
        <v>113</v>
      </c>
      <c r="B96" s="281" t="s">
        <v>406</v>
      </c>
      <c r="C96" s="281" t="s">
        <v>46</v>
      </c>
      <c r="D96" s="281" t="s">
        <v>370</v>
      </c>
      <c r="E96" s="281">
        <v>20690002</v>
      </c>
      <c r="F96" s="291" t="s">
        <v>1247</v>
      </c>
      <c r="G96" s="291"/>
      <c r="H96" s="281" t="s">
        <v>989</v>
      </c>
      <c r="I96" s="281" t="s">
        <v>143</v>
      </c>
      <c r="J96" s="281" t="s">
        <v>176</v>
      </c>
      <c r="K96" s="281" t="s">
        <v>905</v>
      </c>
      <c r="L96" s="281" t="s">
        <v>776</v>
      </c>
      <c r="M96" s="283" t="str">
        <f>IF(L96="NJAD","AA",IF(L96="AA","L",IF(L96="L","LK","GB")))</f>
        <v>GB</v>
      </c>
      <c r="N96" s="282" t="s">
        <v>511</v>
      </c>
      <c r="O96" s="281">
        <v>400</v>
      </c>
      <c r="P96" s="281" t="s">
        <v>1248</v>
      </c>
      <c r="Q96" s="284">
        <v>40299</v>
      </c>
      <c r="R96" s="281" t="str">
        <f ca="1">DATEDIF(Q96,TODAY(), "Y") &amp; " Tahun " &amp; DATEDIF(Q96, TODAY(), "YM") &amp; " Bulan"</f>
        <v>15 Tahun 8 Bulan</v>
      </c>
      <c r="S96" s="281" t="s">
        <v>1221</v>
      </c>
      <c r="T96" s="282" t="s">
        <v>511</v>
      </c>
      <c r="U96" s="281" t="e">
        <f ca="1">DATEDIF(T96,TODAY(), "Y") &amp; " Tahun " &amp; DATEDIF(T96, TODAY(), "YM") &amp; " Bulan"</f>
        <v>#VALUE!</v>
      </c>
      <c r="V96" s="281" t="s">
        <v>1138</v>
      </c>
      <c r="W96" s="281" t="s">
        <v>851</v>
      </c>
      <c r="X96" s="283" t="str">
        <f ca="1">IF(AND(OR(L96="AA",L96="L"),OR(S96="Penata Muda Tk. I Golongan III/b",S96="Penata Golongan III/c"),DATEDIF(Q96,TODAY(),"m")&gt;=23,ISBLANK(Z96),C96="Aktif"),"Nominasi Serdos","-")</f>
        <v>-</v>
      </c>
      <c r="Y96" s="281"/>
      <c r="Z96" s="281" t="s">
        <v>852</v>
      </c>
      <c r="AA96" s="290">
        <v>1.01105E+19</v>
      </c>
      <c r="AB96" s="281">
        <v>104910134</v>
      </c>
      <c r="AC96" s="285">
        <v>40364</v>
      </c>
      <c r="AD96" s="281" t="s">
        <v>30</v>
      </c>
      <c r="AE96" s="281" t="s">
        <v>30</v>
      </c>
      <c r="AF96" s="281" t="s">
        <v>30</v>
      </c>
      <c r="AG96" s="281" t="s">
        <v>30</v>
      </c>
      <c r="AH96" s="281" t="s">
        <v>879</v>
      </c>
      <c r="AI96" s="281" t="s">
        <v>30</v>
      </c>
      <c r="AJ96" s="281" t="s">
        <v>30</v>
      </c>
      <c r="AK96" s="281" t="s">
        <v>30</v>
      </c>
      <c r="AM96" s="286">
        <v>43882</v>
      </c>
      <c r="AN96" s="287" t="str">
        <f ca="1">DATEDIF(AM96,TODAY(),"y")&amp;" tahun "&amp;DATEDIF(AM96,TODAY(),"ym")&amp;" bulan "</f>
        <v xml:space="preserve">5 tahun 10 bulan </v>
      </c>
      <c r="AO96" s="281" t="s">
        <v>868</v>
      </c>
      <c r="AP96" s="281" t="s">
        <v>968</v>
      </c>
      <c r="AQ96" s="281" t="s">
        <v>30</v>
      </c>
      <c r="AR96" s="281" t="s">
        <v>407</v>
      </c>
      <c r="AS96" s="281" t="s">
        <v>30</v>
      </c>
      <c r="AT96" s="281" t="s">
        <v>30</v>
      </c>
      <c r="AU96" s="295" t="s">
        <v>30</v>
      </c>
      <c r="AV96" s="302"/>
      <c r="AW96" s="281" t="str">
        <f>VLOOKUP(B96,Sheet2!A114:I231,9,FALSE)</f>
        <v>Dr. Bambang Lelono Widjiantoro, S.T., M.T.</v>
      </c>
      <c r="AX96" s="281" t="s">
        <v>861</v>
      </c>
      <c r="AY96" s="281" t="str">
        <f>VLOOKUP(B96,Sheet2!A114:C231,2,FALSE)</f>
        <v>Jombang</v>
      </c>
      <c r="AZ96" s="288">
        <f>VLOOKUP(B96,Sheet2!A114:C231,3,FALSE)</f>
        <v>25330</v>
      </c>
      <c r="BA96" s="281">
        <f ca="1">DATEDIF(AZ96, TODAY(),"y")</f>
        <v>56</v>
      </c>
      <c r="BB96" s="281"/>
      <c r="BC96" s="281"/>
      <c r="BD96" s="281"/>
      <c r="BE96" s="281"/>
      <c r="BF96" s="289"/>
      <c r="BG96" s="308"/>
      <c r="BH96" s="308"/>
      <c r="BI96" s="308"/>
      <c r="BJ96" s="308"/>
      <c r="BK96" s="308"/>
      <c r="BL96" s="288"/>
      <c r="BM96" s="302"/>
      <c r="BN96" s="302"/>
      <c r="BO96" s="281"/>
      <c r="BP96" s="281"/>
      <c r="BQ96" s="302"/>
      <c r="BR96" s="288" t="str">
        <f>VLOOKUP(B96,Sheet2!A114:E231,5,FALSE)</f>
        <v>Cybernetics</v>
      </c>
      <c r="BS96" s="288" t="str">
        <f>VLOOKUP(B96,Sheet2!A114:F231,6,FALSE)</f>
        <v>BLW</v>
      </c>
      <c r="BT96" s="288" t="str">
        <f>VLOOKUP(B96,Sheet2!A114:G231,7,FALSE)</f>
        <v>Fakultas Rekayasa Industri</v>
      </c>
      <c r="BU96" s="288" t="str">
        <f>VLOOKUP(B96,Sheet2!A114:H231,8,FALSE)</f>
        <v>bambanglelono@telkomuniversity.ac.id</v>
      </c>
      <c r="BV96" s="280">
        <f>COUNTIFS('Join TPA Dosen'!B:B,Dosen!B114)</f>
        <v>1</v>
      </c>
      <c r="BW96" s="273" t="str">
        <f>DATEDIF(AM96,DATE(2026,1,1),"y")&amp;" tahun "&amp;DATEDIF(AM96,DATE(2026,1,1),"ym")&amp;" bulan "</f>
        <v xml:space="preserve">5 tahun 10 bulan </v>
      </c>
      <c r="BX96" s="280" t="str">
        <f>VLOOKUP($B96,Sheet1!$A:$G,2,FALSE)</f>
        <v>ITS</v>
      </c>
      <c r="BY96" s="280" t="str">
        <f>VLOOKUP($B96,Sheet1!$A:$G,3,FALSE)</f>
        <v>Teknik Fisika</v>
      </c>
      <c r="BZ96" s="280" t="str">
        <f>VLOOKUP($B96,Sheet1!$A:$G,4,FALSE)</f>
        <v>ITB</v>
      </c>
      <c r="CA96" s="280" t="str">
        <f>VLOOKUP($B96,Sheet1!$A:$G,5,FALSE)</f>
        <v>Instrumentasi dan Kontrol</v>
      </c>
      <c r="CB96" s="280" t="str">
        <f>VLOOKUP($B96,Sheet1!$A:$G,6,FALSE)</f>
        <v>ITB</v>
      </c>
      <c r="CC96" s="280" t="str">
        <f>VLOOKUP($B96,Sheet1!$A:$G,7,FALSE)</f>
        <v>Ilmu Pengetahuan Teknik</v>
      </c>
      <c r="CD96" s="280" t="e">
        <v>#N/A</v>
      </c>
      <c r="CE96" s="280" t="e">
        <v>#N/A</v>
      </c>
    </row>
    <row r="97" spans="1:83" ht="19.5">
      <c r="A97" s="281">
        <v>104</v>
      </c>
      <c r="B97" s="281" t="s">
        <v>141</v>
      </c>
      <c r="C97" s="281" t="s">
        <v>20</v>
      </c>
      <c r="D97" s="281" t="s">
        <v>107</v>
      </c>
      <c r="E97" s="281">
        <v>23960023</v>
      </c>
      <c r="F97" s="296" t="s">
        <v>1249</v>
      </c>
      <c r="G97" s="296" t="s">
        <v>142</v>
      </c>
      <c r="H97" s="291" t="s">
        <v>884</v>
      </c>
      <c r="I97" s="281" t="s">
        <v>143</v>
      </c>
      <c r="J97" s="281" t="s">
        <v>144</v>
      </c>
      <c r="K97" s="281" t="s">
        <v>874</v>
      </c>
      <c r="L97" s="281" t="s">
        <v>775</v>
      </c>
      <c r="M97" s="283" t="str">
        <f>IF(L97="NJAD","AA",IF(L97="AA","L",IF(L97="L","LK","GB")))</f>
        <v>LK</v>
      </c>
      <c r="N97" s="292"/>
      <c r="O97" s="281">
        <v>200</v>
      </c>
      <c r="P97" s="281" t="s">
        <v>1250</v>
      </c>
      <c r="Q97" s="284">
        <v>45870</v>
      </c>
      <c r="R97" s="281" t="str">
        <f ca="1">DATEDIF(Q97,TODAY(), "Y") &amp; " Tahun " &amp; DATEDIF(Q97, TODAY(), "YM") &amp; " Bulan"</f>
        <v>0 Tahun 5 Bulan</v>
      </c>
      <c r="S97" s="281" t="s">
        <v>876</v>
      </c>
      <c r="T97" s="285">
        <v>45931</v>
      </c>
      <c r="U97" s="281" t="str">
        <f ca="1">DATEDIF(T97,TODAY(), "Y") &amp; " Tahun " &amp; DATEDIF(T97, TODAY(), "YM") &amp; " Bulan"</f>
        <v>0 Tahun 3 Bulan</v>
      </c>
      <c r="V97" s="281" t="s">
        <v>1026</v>
      </c>
      <c r="W97" s="281" t="s">
        <v>851</v>
      </c>
      <c r="X97" s="283" t="str">
        <f ca="1">IF(AND(OR(L97="AA",L97="L"),OR(S97="Penata Muda Tk. I Golongan III/b",S97="Penata Golongan III/c"),DATEDIF(Q97,TODAY(),"m")&gt;=23,ISBLANK(Z97),C97="Aktif"),"Nominasi Serdos","-")</f>
        <v>-</v>
      </c>
      <c r="Y97" s="281"/>
      <c r="Z97" s="297"/>
      <c r="AA97" s="297"/>
      <c r="AB97" s="295" t="s">
        <v>30</v>
      </c>
      <c r="AC97" s="297" t="s">
        <v>511</v>
      </c>
      <c r="AD97" s="281" t="s">
        <v>30</v>
      </c>
      <c r="AE97" s="281" t="s">
        <v>30</v>
      </c>
      <c r="AF97" s="281" t="s">
        <v>30</v>
      </c>
      <c r="AG97" s="281" t="s">
        <v>30</v>
      </c>
      <c r="AH97" s="281" t="s">
        <v>879</v>
      </c>
      <c r="AI97" s="295" t="s">
        <v>30</v>
      </c>
      <c r="AJ97" s="295" t="s">
        <v>30</v>
      </c>
      <c r="AK97" s="295" t="s">
        <v>30</v>
      </c>
      <c r="AM97" s="286">
        <v>45170</v>
      </c>
      <c r="AN97" s="287" t="str">
        <f ca="1">DATEDIF(AM97,TODAY(),"y")&amp;" tahun "&amp;DATEDIF(AM97,TODAY(),"ym")&amp;" bulan "</f>
        <v xml:space="preserve">2 tahun 4 bulan </v>
      </c>
      <c r="AO97" s="281" t="s">
        <v>858</v>
      </c>
      <c r="AP97" s="281" t="s">
        <v>962</v>
      </c>
      <c r="AQ97" s="281" t="s">
        <v>1251</v>
      </c>
      <c r="AR97" s="281" t="s">
        <v>145</v>
      </c>
      <c r="AS97" s="281">
        <v>82131803152</v>
      </c>
      <c r="AT97" s="281" t="s">
        <v>146</v>
      </c>
      <c r="AU97" s="281" t="s">
        <v>30</v>
      </c>
      <c r="AV97" s="281"/>
      <c r="AW97" s="281" t="str">
        <f>VLOOKUP(B97,Sheet2!A105:I222,9,FALSE)</f>
        <v>Dr. Dyah Putri Rahmawati, S.Stat.</v>
      </c>
      <c r="AX97" s="281" t="s">
        <v>861</v>
      </c>
      <c r="AY97" s="281" t="str">
        <f>VLOOKUP(B97,Sheet2!A105:C222,2,FALSE)</f>
        <v>Jombang</v>
      </c>
      <c r="AZ97" s="288">
        <f>VLOOKUP(B97,Sheet2!A105:C222,3,FALSE)</f>
        <v>35143</v>
      </c>
      <c r="BA97" s="281">
        <f ca="1">DATEDIF(AZ97, TODAY(),"y")</f>
        <v>29</v>
      </c>
      <c r="BB97" s="281"/>
      <c r="BC97" s="281"/>
      <c r="BD97" s="281"/>
      <c r="BE97" s="295"/>
      <c r="BF97" s="289"/>
      <c r="BG97" s="289"/>
      <c r="BH97" s="289"/>
      <c r="BI97" s="289"/>
      <c r="BJ97" s="289"/>
      <c r="BK97" s="289"/>
      <c r="BL97" s="288" t="str">
        <f>VLOOKUP(B97,Sheet2!A105:D222,4,FALSE)</f>
        <v>Dosen</v>
      </c>
      <c r="BM97" s="281"/>
      <c r="BN97" s="281"/>
      <c r="BO97" s="281"/>
      <c r="BP97" s="281"/>
      <c r="BQ97" s="281"/>
      <c r="BR97" s="288" t="str">
        <f>VLOOKUP(B97,Sheet2!A105:E222,5,FALSE)</f>
        <v>Data Science and Intelligent Systems (DSIS)</v>
      </c>
      <c r="BS97" s="288" t="str">
        <f>VLOOKUP(B97,Sheet2!A105:F222,6,FALSE)</f>
        <v>DPH</v>
      </c>
      <c r="BT97" s="288" t="str">
        <f>VLOOKUP(B97,Sheet2!A105:G222,7,FALSE)</f>
        <v>Fakultas Informatika</v>
      </c>
      <c r="BU97" s="288" t="str">
        <f>VLOOKUP(B97,Sheet2!A105:H222,8,FALSE)</f>
        <v>dyahputri@telkomuniversity.ac.id</v>
      </c>
      <c r="BV97" s="280">
        <f>COUNTIFS('Join TPA Dosen'!B:B,Dosen!B105)</f>
        <v>1</v>
      </c>
      <c r="BW97" s="273" t="str">
        <f>DATEDIF(AM97,DATE(2026,1,1),"y")&amp;" tahun "&amp;DATEDIF(AM97,DATE(2026,1,1),"ym")&amp;" bulan "</f>
        <v xml:space="preserve">2 tahun 4 bulan </v>
      </c>
      <c r="BX97" s="280" t="str">
        <f>VLOOKUP($B97,Sheet1!$A:$G,2,FALSE)</f>
        <v>UNAIR</v>
      </c>
      <c r="BY97" s="280" t="str">
        <f>VLOOKUP($B97,Sheet1!$A:$G,3,FALSE)</f>
        <v>Statistika</v>
      </c>
      <c r="BZ97" s="280" t="str">
        <f>VLOOKUP($B97,Sheet1!$A:$G,4,FALSE)</f>
        <v>ITS</v>
      </c>
      <c r="CA97" s="280" t="str">
        <f>VLOOKUP($B97,Sheet1!$A:$G,5,FALSE)</f>
        <v>Statistika</v>
      </c>
      <c r="CB97" s="280" t="str">
        <f>VLOOKUP($B97,Sheet1!$A:$G,6,FALSE)</f>
        <v>ITS</v>
      </c>
      <c r="CC97" s="280" t="str">
        <f>VLOOKUP($B97,Sheet1!$A:$G,7,FALSE)</f>
        <v>Ilmu Statistika</v>
      </c>
      <c r="CD97" s="280" t="s">
        <v>882</v>
      </c>
      <c r="CE97" s="280" t="s">
        <v>903</v>
      </c>
    </row>
    <row r="98" spans="1:83" ht="19.5">
      <c r="A98" s="281">
        <v>105</v>
      </c>
      <c r="B98" s="281" t="s">
        <v>442</v>
      </c>
      <c r="C98" s="281" t="s">
        <v>20</v>
      </c>
      <c r="D98" s="281" t="s">
        <v>413</v>
      </c>
      <c r="E98" s="281">
        <v>23910008</v>
      </c>
      <c r="F98" s="291" t="s">
        <v>1252</v>
      </c>
      <c r="G98" s="296" t="s">
        <v>443</v>
      </c>
      <c r="H98" s="291" t="s">
        <v>884</v>
      </c>
      <c r="I98" s="295" t="s">
        <v>30</v>
      </c>
      <c r="J98" s="281" t="s">
        <v>444</v>
      </c>
      <c r="K98" s="281" t="s">
        <v>846</v>
      </c>
      <c r="L98" s="281" t="s">
        <v>847</v>
      </c>
      <c r="M98" s="283" t="str">
        <f>IF(L98="NJAD","AA",IF(L98="AA","L",IF(L98="L","LK","GB")))</f>
        <v>L</v>
      </c>
      <c r="N98" s="282" t="s">
        <v>511</v>
      </c>
      <c r="O98" s="281">
        <v>150</v>
      </c>
      <c r="P98" s="281" t="s">
        <v>1253</v>
      </c>
      <c r="Q98" s="284">
        <v>45870</v>
      </c>
      <c r="R98" s="281" t="str">
        <f ca="1">DATEDIF(Q98,TODAY(), "Y") &amp; " Tahun " &amp; DATEDIF(Q98, TODAY(), "YM") &amp; " Bulan"</f>
        <v>0 Tahun 5 Bulan</v>
      </c>
      <c r="S98" s="281" t="s">
        <v>849</v>
      </c>
      <c r="T98" s="285">
        <v>45992</v>
      </c>
      <c r="U98" s="281" t="str">
        <f ca="1">DATEDIF(T98,TODAY(), "Y") &amp; " Tahun " &amp; DATEDIF(T98, TODAY(), "YM") &amp; " Bulan"</f>
        <v>0 Tahun 1 Bulan</v>
      </c>
      <c r="V98" s="281" t="s">
        <v>1254</v>
      </c>
      <c r="W98" s="281" t="s">
        <v>851</v>
      </c>
      <c r="X98" s="283" t="str">
        <f ca="1">IF(AND(OR(L98="AA",L98="L"),OR(S98="Penata Muda Tk. I Golongan III/b",S98="Penata Golongan III/c"),DATEDIF(Q98,TODAY(),"m")&gt;=23,ISBLANK(Z98),C98="Aktif"),"Nominasi Serdos","-")</f>
        <v>-</v>
      </c>
      <c r="Y98" s="281"/>
      <c r="Z98" s="297"/>
      <c r="AA98" s="297"/>
      <c r="AB98" s="295" t="s">
        <v>30</v>
      </c>
      <c r="AC98" s="297" t="s">
        <v>511</v>
      </c>
      <c r="AD98" s="281" t="s">
        <v>30</v>
      </c>
      <c r="AE98" s="281" t="s">
        <v>30</v>
      </c>
      <c r="AF98" s="281" t="s">
        <v>30</v>
      </c>
      <c r="AG98" s="281" t="s">
        <v>30</v>
      </c>
      <c r="AH98" s="281" t="s">
        <v>854</v>
      </c>
      <c r="AI98" s="295" t="s">
        <v>30</v>
      </c>
      <c r="AJ98" s="295" t="s">
        <v>30</v>
      </c>
      <c r="AK98" s="295" t="s">
        <v>30</v>
      </c>
      <c r="AM98" s="286">
        <v>45170</v>
      </c>
      <c r="AN98" s="287" t="str">
        <f ca="1">DATEDIF(AM98,TODAY(),"y")&amp;" tahun "&amp;DATEDIF(AM98,TODAY(),"ym")&amp;" bulan "</f>
        <v xml:space="preserve">2 tahun 4 bulan </v>
      </c>
      <c r="AO98" s="281" t="s">
        <v>868</v>
      </c>
      <c r="AP98" s="281" t="s">
        <v>939</v>
      </c>
      <c r="AQ98" s="281" t="s">
        <v>1255</v>
      </c>
      <c r="AR98" s="281" t="s">
        <v>445</v>
      </c>
      <c r="AS98" s="281">
        <v>81945944686</v>
      </c>
      <c r="AT98" s="281" t="s">
        <v>446</v>
      </c>
      <c r="AU98" s="281" t="s">
        <v>1256</v>
      </c>
      <c r="AV98" s="281"/>
      <c r="AW98" s="281" t="str">
        <f>VLOOKUP(B98,Sheet2!A106:I223,9,FALSE)</f>
        <v>Eka Sari Oktarina, S.Kom., M.Eng.</v>
      </c>
      <c r="AX98" s="281" t="s">
        <v>902</v>
      </c>
      <c r="AY98" s="281" t="str">
        <f>VLOOKUP(B98,Sheet2!A106:C223,2,FALSE)</f>
        <v>Malang</v>
      </c>
      <c r="AZ98" s="288">
        <f>VLOOKUP(B98,Sheet2!A106:C223,3,FALSE)</f>
        <v>33515</v>
      </c>
      <c r="BA98" s="281">
        <f ca="1">DATEDIF(AZ98, TODAY(),"y")</f>
        <v>34</v>
      </c>
      <c r="BB98" s="281"/>
      <c r="BC98" s="281"/>
      <c r="BD98" s="281"/>
      <c r="BE98" s="281"/>
      <c r="BF98" s="289"/>
      <c r="BG98" s="289"/>
      <c r="BH98" s="289"/>
      <c r="BI98" s="289"/>
      <c r="BJ98" s="289"/>
      <c r="BK98" s="289"/>
      <c r="BL98" s="288" t="s">
        <v>1153</v>
      </c>
      <c r="BM98" s="281"/>
      <c r="BN98" s="281"/>
      <c r="BO98" s="281"/>
      <c r="BP98" s="281"/>
      <c r="BQ98" s="281"/>
      <c r="BR98" s="288" t="str">
        <f>VLOOKUP(B98,Sheet2!A106:E223,5,FALSE)</f>
        <v>Control, Elektronics, and Intelligent Systems (CEIS)</v>
      </c>
      <c r="BS98" s="288" t="str">
        <f>VLOOKUP(B98,Sheet2!A106:F223,6,FALSE)</f>
        <v>ORN</v>
      </c>
      <c r="BT98" s="288" t="str">
        <f>VLOOKUP(B98,Sheet2!A106:G223,7,FALSE)</f>
        <v>Fakultas Teknik Elektro</v>
      </c>
      <c r="BU98" s="288" t="str">
        <f>VLOOKUP(B98,Sheet2!A106:H223,8,FALSE)</f>
        <v>ekasario@telkomuniversity.ac.id</v>
      </c>
      <c r="BV98" s="280">
        <f>COUNTIFS('Join TPA Dosen'!B:B,Dosen!B106)</f>
        <v>1</v>
      </c>
      <c r="BW98" s="273" t="str">
        <f>DATEDIF(AM98,DATE(2026,1,1),"y")&amp;" tahun "&amp;DATEDIF(AM98,DATE(2026,1,1),"ym")&amp;" bulan "</f>
        <v xml:space="preserve">2 tahun 4 bulan </v>
      </c>
      <c r="BX98" s="280" t="str">
        <f>VLOOKUP($B98,Sheet1!$A:$G,2,FALSE)</f>
        <v>STIKOM</v>
      </c>
      <c r="BY98" s="280" t="str">
        <f>VLOOKUP($B98,Sheet1!$A:$G,3,FALSE)</f>
        <v>Sistem Komputer</v>
      </c>
      <c r="BZ98" s="280" t="str">
        <f>VLOOKUP($B98,Sheet1!$A:$G,4,FALSE)</f>
        <v>UGM</v>
      </c>
      <c r="CA98" s="280" t="str">
        <f>VLOOKUP($B98,Sheet1!$A:$G,5,FALSE)</f>
        <v>Teknik Elektro</v>
      </c>
      <c r="CB98" s="280">
        <f>VLOOKUP($B98,Sheet1!$A:$G,6,FALSE)</f>
        <v>0</v>
      </c>
      <c r="CC98" s="280">
        <f>VLOOKUP($B98,Sheet1!$A:$G,7,FALSE)</f>
        <v>0</v>
      </c>
      <c r="CD98" s="280" t="s">
        <v>862</v>
      </c>
      <c r="CE98" s="280" t="s">
        <v>872</v>
      </c>
    </row>
    <row r="99" spans="1:83" ht="23.25" customHeight="1">
      <c r="A99" s="281">
        <v>24</v>
      </c>
      <c r="B99" s="281" t="s">
        <v>438</v>
      </c>
      <c r="C99" s="281" t="s">
        <v>20</v>
      </c>
      <c r="D99" s="281" t="s">
        <v>413</v>
      </c>
      <c r="E99" s="281">
        <v>19880003</v>
      </c>
      <c r="F99" s="281" t="s">
        <v>1257</v>
      </c>
      <c r="G99" s="282" t="s">
        <v>439</v>
      </c>
      <c r="H99" s="281" t="s">
        <v>845</v>
      </c>
      <c r="I99" s="281" t="s">
        <v>30</v>
      </c>
      <c r="J99" s="281" t="s">
        <v>354</v>
      </c>
      <c r="K99" s="281" t="s">
        <v>893</v>
      </c>
      <c r="L99" s="281" t="s">
        <v>775</v>
      </c>
      <c r="M99" s="283" t="str">
        <f>IF(L99="NJAD","AA",IF(L99="AA","L",IF(L99="L","LK","GB")))</f>
        <v>LK</v>
      </c>
      <c r="N99" s="282" t="s">
        <v>511</v>
      </c>
      <c r="O99" s="281">
        <v>200</v>
      </c>
      <c r="P99" s="281" t="s">
        <v>1258</v>
      </c>
      <c r="Q99" s="284">
        <v>45413</v>
      </c>
      <c r="R99" s="281" t="str">
        <f ca="1">DATEDIF(Q99,TODAY(), "Y") &amp; " Tahun " &amp; DATEDIF(Q99, TODAY(), "YM") &amp; " Bulan"</f>
        <v>1 Tahun 8 Bulan</v>
      </c>
      <c r="S99" s="281" t="s">
        <v>876</v>
      </c>
      <c r="T99" s="285">
        <v>45658</v>
      </c>
      <c r="U99" s="281" t="str">
        <f ca="1">DATEDIF(T99,TODAY(), "Y") &amp; " Tahun " &amp; DATEDIF(T99, TODAY(), "YM") &amp; " Bulan"</f>
        <v>1 Tahun 0 Bulan</v>
      </c>
      <c r="V99" s="281" t="s">
        <v>938</v>
      </c>
      <c r="W99" s="281" t="s">
        <v>851</v>
      </c>
      <c r="X99" s="283" t="str">
        <f ca="1">IF(AND(OR(L99="AA",L99="L"),OR(S99="Penata Muda Tk. I Golongan III/b",S99="Penata Golongan III/c"),DATEDIF(Q99,TODAY(),"m")&gt;=23,ISBLANK(Z99),C99="Aktif"),"Nominasi Serdos","-")</f>
        <v>-</v>
      </c>
      <c r="Y99" s="281"/>
      <c r="Z99" s="281" t="s">
        <v>852</v>
      </c>
      <c r="AA99" s="281">
        <v>23107201902956</v>
      </c>
      <c r="AB99" s="281" t="s">
        <v>1259</v>
      </c>
      <c r="AC99" s="285">
        <v>45085</v>
      </c>
      <c r="AD99" s="281" t="s">
        <v>30</v>
      </c>
      <c r="AE99" s="281" t="s">
        <v>30</v>
      </c>
      <c r="AF99" s="281" t="s">
        <v>30</v>
      </c>
      <c r="AG99" s="281" t="s">
        <v>30</v>
      </c>
      <c r="AH99" s="281" t="s">
        <v>854</v>
      </c>
      <c r="AI99" s="281" t="s">
        <v>855</v>
      </c>
      <c r="AJ99" s="281" t="s">
        <v>856</v>
      </c>
      <c r="AK99" s="281" t="s">
        <v>855</v>
      </c>
      <c r="AL99" s="281" t="s">
        <v>857</v>
      </c>
      <c r="AM99" s="286">
        <v>43101</v>
      </c>
      <c r="AN99" s="287" t="str">
        <f ca="1">DATEDIF(AM99,TODAY(),"y")&amp;" tahun "&amp;DATEDIF(AM99,TODAY(),"ym")&amp;" bulan "</f>
        <v xml:space="preserve">8 tahun 0 bulan </v>
      </c>
      <c r="AO99" s="281" t="s">
        <v>868</v>
      </c>
      <c r="AP99" s="281" t="s">
        <v>939</v>
      </c>
      <c r="AQ99" s="281" t="s">
        <v>1260</v>
      </c>
      <c r="AR99" s="300" t="s">
        <v>440</v>
      </c>
      <c r="AS99" s="281">
        <v>82336823404</v>
      </c>
      <c r="AT99" s="281" t="s">
        <v>441</v>
      </c>
      <c r="AU99" s="281" t="s">
        <v>30</v>
      </c>
      <c r="AV99" s="281"/>
      <c r="AW99" s="281" t="str">
        <f>VLOOKUP(B99,Sheet2!A25:I142,9,FALSE)</f>
        <v>Ubaidillah Umar, S.ST., M.T.</v>
      </c>
      <c r="AX99" s="281" t="s">
        <v>861</v>
      </c>
      <c r="AY99" s="281" t="str">
        <f>VLOOKUP(B99,Sheet2!A25:C142,2,FALSE)</f>
        <v>Bangkalan</v>
      </c>
      <c r="AZ99" s="288">
        <f>VLOOKUP(B99,Sheet2!A25:C142,3,FALSE)</f>
        <v>32260</v>
      </c>
      <c r="BA99" s="281">
        <f ca="1">DATEDIF(AZ99, TODAY(),"y")</f>
        <v>37</v>
      </c>
      <c r="BB99" s="281"/>
      <c r="BC99" s="281"/>
      <c r="BD99" s="281"/>
      <c r="BE99" s="281"/>
      <c r="BF99" s="289"/>
      <c r="BG99" s="289"/>
      <c r="BH99" s="289"/>
      <c r="BI99" s="289"/>
      <c r="BJ99" s="289"/>
      <c r="BK99" s="289"/>
      <c r="BL99" s="288" t="str">
        <f>VLOOKUP(B99,Sheet2!A25:D142,4,FALSE)</f>
        <v>Dosen</v>
      </c>
      <c r="BM99" s="281"/>
      <c r="BN99" s="281"/>
      <c r="BO99" s="281"/>
      <c r="BP99" s="281"/>
      <c r="BQ99" s="281"/>
      <c r="BR99" s="288" t="str">
        <f>VLOOKUP(B99,Sheet2!A25:E142,5,FALSE)</f>
        <v>Signal Processing, Information Security, and Computer Engineering (SPICE)</v>
      </c>
      <c r="BS99" s="288" t="str">
        <f>VLOOKUP(B99,Sheet2!A25:F142,6,FALSE)</f>
        <v>UBM</v>
      </c>
      <c r="BT99" s="288" t="str">
        <f>VLOOKUP(B99,Sheet2!A25:G142,7,FALSE)</f>
        <v>Fakultas Teknik Elektro</v>
      </c>
      <c r="BU99" s="288" t="str">
        <f>VLOOKUP(B99,Sheet2!A25:H142,8,FALSE)</f>
        <v>ubaidillahumar@telkomuniversity.ac.id</v>
      </c>
      <c r="BV99" s="280">
        <f>COUNTIFS('Join TPA Dosen'!B:B,Dosen!B95)</f>
        <v>1</v>
      </c>
      <c r="BW99" s="273" t="str">
        <f>DATEDIF(AM99,DATE(2026,1,1),"y")&amp;" tahun "&amp;DATEDIF(AM99,DATE(2026,1,1),"ym")&amp;" bulan "</f>
        <v xml:space="preserve">8 tahun 0 bulan </v>
      </c>
      <c r="BX99" s="280" t="str">
        <f>VLOOKUP($B99,Sheet1!$A:$G,2,FALSE)</f>
        <v>PENS</v>
      </c>
      <c r="BY99" s="280" t="str">
        <f>VLOOKUP($B99,Sheet1!$A:$G,3,FALSE)</f>
        <v>Teknik Telekomunikasi</v>
      </c>
      <c r="BZ99" s="280" t="str">
        <f>VLOOKUP($B99,Sheet1!$A:$G,4,FALSE)</f>
        <v>PENS</v>
      </c>
      <c r="CA99" s="280" t="str">
        <f>VLOOKUP($B99,Sheet1!$A:$G,5,FALSE)</f>
        <v>Teknik Informatika dan Komputer</v>
      </c>
      <c r="CB99" s="280" t="str">
        <f>VLOOKUP($B99,Sheet1!$A:$G,6,FALSE)</f>
        <v>ITS</v>
      </c>
      <c r="CC99" s="280" t="str">
        <f>VLOOKUP($B99,Sheet1!$A:$G,7,FALSE)</f>
        <v>Teknik Elektro</v>
      </c>
      <c r="CD99" s="280" t="s">
        <v>862</v>
      </c>
      <c r="CE99" s="280" t="s">
        <v>903</v>
      </c>
    </row>
    <row r="100" spans="1:83" ht="18.95">
      <c r="A100" s="281">
        <v>30</v>
      </c>
      <c r="B100" s="281" t="s">
        <v>412</v>
      </c>
      <c r="C100" s="281" t="s">
        <v>20</v>
      </c>
      <c r="D100" s="281" t="s">
        <v>413</v>
      </c>
      <c r="E100" s="281">
        <v>20930033</v>
      </c>
      <c r="F100" s="281" t="s">
        <v>1261</v>
      </c>
      <c r="G100" s="282" t="s">
        <v>414</v>
      </c>
      <c r="H100" s="281" t="s">
        <v>845</v>
      </c>
      <c r="I100" s="281" t="s">
        <v>30</v>
      </c>
      <c r="J100" s="281" t="s">
        <v>354</v>
      </c>
      <c r="K100" s="281" t="s">
        <v>893</v>
      </c>
      <c r="L100" s="281" t="s">
        <v>775</v>
      </c>
      <c r="M100" s="283" t="str">
        <f>IF(L100="NJAD","AA",IF(L100="AA","L",IF(L100="L","LK","GB")))</f>
        <v>LK</v>
      </c>
      <c r="N100" s="282" t="s">
        <v>511</v>
      </c>
      <c r="O100" s="281">
        <v>200</v>
      </c>
      <c r="P100" s="281" t="s">
        <v>1262</v>
      </c>
      <c r="Q100" s="284">
        <v>44805</v>
      </c>
      <c r="R100" s="281" t="str">
        <f ca="1">DATEDIF(Q100,TODAY(), "Y") &amp; " Tahun " &amp; DATEDIF(Q100, TODAY(), "YM") &amp; " Bulan"</f>
        <v>3 Tahun 4 Bulan</v>
      </c>
      <c r="S100" s="281" t="s">
        <v>876</v>
      </c>
      <c r="T100" s="285">
        <v>45047</v>
      </c>
      <c r="U100" s="281" t="str">
        <f ca="1">DATEDIF(T100,TODAY(), "Y") &amp; " Tahun " &amp; DATEDIF(T100, TODAY(), "YM") &amp; " Bulan"</f>
        <v>2 Tahun 8 Bulan</v>
      </c>
      <c r="V100" s="281" t="s">
        <v>938</v>
      </c>
      <c r="W100" s="281" t="s">
        <v>851</v>
      </c>
      <c r="X100" s="283" t="str">
        <f ca="1">IF(AND(OR(L100="AA",L100="L"),OR(S100="Penata Muda Tk. I Golongan III/b",S100="Penata Golongan III/c"),DATEDIF(Q100,TODAY(),"m")&gt;=23,ISBLANK(Z100),C100="Aktif"),"Nominasi Serdos","-")</f>
        <v>-</v>
      </c>
      <c r="Y100" s="281"/>
      <c r="Z100" s="281" t="s">
        <v>852</v>
      </c>
      <c r="AA100" s="281">
        <v>22107201903879</v>
      </c>
      <c r="AB100" s="281" t="s">
        <v>1263</v>
      </c>
      <c r="AC100" s="285">
        <v>44846</v>
      </c>
      <c r="AD100" s="281" t="s">
        <v>30</v>
      </c>
      <c r="AE100" s="281" t="s">
        <v>30</v>
      </c>
      <c r="AF100" s="281" t="s">
        <v>30</v>
      </c>
      <c r="AG100" s="281" t="s">
        <v>30</v>
      </c>
      <c r="AH100" s="281" t="s">
        <v>854</v>
      </c>
      <c r="AI100" s="293" t="s">
        <v>855</v>
      </c>
      <c r="AJ100" s="293" t="s">
        <v>856</v>
      </c>
      <c r="AK100" s="281" t="s">
        <v>855</v>
      </c>
      <c r="AL100" s="293" t="s">
        <v>857</v>
      </c>
      <c r="AM100" s="286">
        <v>43282</v>
      </c>
      <c r="AN100" s="287" t="str">
        <f ca="1">DATEDIF(AM100,TODAY(),"y")&amp;" tahun "&amp;DATEDIF(AM100,TODAY(),"ym")&amp;" bulan "</f>
        <v xml:space="preserve">7 tahun 6 bulan </v>
      </c>
      <c r="AO100" s="281" t="s">
        <v>868</v>
      </c>
      <c r="AP100" s="281" t="s">
        <v>939</v>
      </c>
      <c r="AQ100" s="281" t="s">
        <v>1264</v>
      </c>
      <c r="AR100" s="281" t="s">
        <v>415</v>
      </c>
      <c r="AS100" s="281">
        <v>81241833022</v>
      </c>
      <c r="AT100" s="281" t="s">
        <v>416</v>
      </c>
      <c r="AU100" s="281" t="s">
        <v>30</v>
      </c>
      <c r="AV100" s="281"/>
      <c r="AW100" s="281" t="str">
        <f>VLOOKUP(B100,Sheet2!A31:I148,9,FALSE)</f>
        <v>Ardiansyah Al Farouq, S.ST., M.T.</v>
      </c>
      <c r="AX100" s="281" t="s">
        <v>861</v>
      </c>
      <c r="AY100" s="281" t="str">
        <f>VLOOKUP(B100,Sheet2!A31:C148,2,FALSE)</f>
        <v>Surabaya</v>
      </c>
      <c r="AZ100" s="288">
        <f>VLOOKUP(B100,Sheet2!A31:C148,3,FALSE)</f>
        <v>34014</v>
      </c>
      <c r="BA100" s="281">
        <f ca="1">DATEDIF(AZ100, TODAY(),"y")</f>
        <v>32</v>
      </c>
      <c r="BB100" s="281"/>
      <c r="BC100" s="281"/>
      <c r="BD100" s="281"/>
      <c r="BE100" s="281"/>
      <c r="BF100" s="289"/>
      <c r="BG100" s="289"/>
      <c r="BH100" s="289"/>
      <c r="BI100" s="289"/>
      <c r="BJ100" s="289"/>
      <c r="BK100" s="289"/>
      <c r="BL100" s="288" t="str">
        <f>VLOOKUP(B100,Sheet2!A31:D148,4,FALSE)</f>
        <v>Dosen</v>
      </c>
      <c r="BM100" s="281"/>
      <c r="BN100" s="281"/>
      <c r="BO100" s="281"/>
      <c r="BP100" s="281"/>
      <c r="BQ100" s="281"/>
      <c r="BR100" s="288" t="str">
        <f>VLOOKUP(B100,Sheet2!A31:E148,5,FALSE)</f>
        <v>Control, Elektronics, and Intelligent Systems (CEIS)</v>
      </c>
      <c r="BS100" s="288" t="str">
        <f>VLOOKUP(B100,Sheet2!A31:F148,6,FALSE)</f>
        <v>ADQ</v>
      </c>
      <c r="BT100" s="288" t="str">
        <f>VLOOKUP(B100,Sheet2!A31:G148,7,FALSE)</f>
        <v>Fakultas Teknik Elektro</v>
      </c>
      <c r="BU100" s="288" t="str">
        <f>VLOOKUP(B100,Sheet2!A31:H148,8,FALSE)</f>
        <v>farouq@telkomuniversity.ac.id</v>
      </c>
      <c r="BV100" s="280">
        <f>COUNTIFS('Join TPA Dosen'!B:B,Dosen!B5)</f>
        <v>1</v>
      </c>
      <c r="BW100" s="273" t="str">
        <f>DATEDIF(AM100,DATE(2026,1,1),"y")&amp;" tahun "&amp;DATEDIF(AM100,DATE(2026,1,1),"ym")&amp;" bulan "</f>
        <v xml:space="preserve">7 tahun 6 bulan </v>
      </c>
      <c r="BX100" s="280" t="str">
        <f>VLOOKUP($B100,Sheet1!$A:$G,2,FALSE)</f>
        <v>PENS</v>
      </c>
      <c r="BY100" s="280" t="str">
        <f>VLOOKUP($B100,Sheet1!$A:$G,3,FALSE)</f>
        <v>Teknik Komputer</v>
      </c>
      <c r="BZ100" s="280" t="str">
        <f>VLOOKUP($B100,Sheet1!$A:$G,4,FALSE)</f>
        <v>PENS</v>
      </c>
      <c r="CA100" s="280" t="str">
        <f>VLOOKUP($B100,Sheet1!$A:$G,5,FALSE)</f>
        <v>Teknik Informatika dan Komputer</v>
      </c>
      <c r="CB100" s="280" t="str">
        <f>VLOOKUP($B100,Sheet1!$A:$G,6,FALSE)</f>
        <v>Ritsumeikan University</v>
      </c>
      <c r="CC100" s="280" t="str">
        <f>VLOOKUP($B100,Sheet1!$A:$G,7,FALSE)</f>
        <v>Information Science and Engineering</v>
      </c>
      <c r="CD100" s="280" t="s">
        <v>871</v>
      </c>
      <c r="CE100" s="280" t="s">
        <v>872</v>
      </c>
    </row>
    <row r="101" spans="1:83" ht="19.5" customHeight="1">
      <c r="A101" s="281">
        <v>106</v>
      </c>
      <c r="B101" s="281" t="s">
        <v>76</v>
      </c>
      <c r="C101" s="281" t="s">
        <v>20</v>
      </c>
      <c r="D101" s="281" t="s">
        <v>22</v>
      </c>
      <c r="E101" s="281">
        <v>23990019</v>
      </c>
      <c r="F101" s="291" t="s">
        <v>1265</v>
      </c>
      <c r="G101" s="296" t="s">
        <v>77</v>
      </c>
      <c r="H101" s="291" t="s">
        <v>884</v>
      </c>
      <c r="I101" s="295" t="s">
        <v>30</v>
      </c>
      <c r="J101" s="281" t="s">
        <v>78</v>
      </c>
      <c r="K101" s="281" t="s">
        <v>846</v>
      </c>
      <c r="L101" s="281" t="s">
        <v>847</v>
      </c>
      <c r="M101" s="283" t="str">
        <f>IF(L101="NJAD","AA",IF(L101="AA","L",IF(L101="L","LK","GB")))</f>
        <v>L</v>
      </c>
      <c r="N101" s="282" t="s">
        <v>511</v>
      </c>
      <c r="O101" s="281">
        <v>150</v>
      </c>
      <c r="P101" s="281" t="s">
        <v>1266</v>
      </c>
      <c r="Q101" s="284">
        <v>45748</v>
      </c>
      <c r="R101" s="281" t="str">
        <f ca="1">DATEDIF(Q101,TODAY(), "Y") &amp; " Tahun " &amp; DATEDIF(Q101, TODAY(), "YM") &amp; " Bulan"</f>
        <v>0 Tahun 9 Bulan</v>
      </c>
      <c r="S101" s="281" t="s">
        <v>849</v>
      </c>
      <c r="T101" s="285">
        <v>45809</v>
      </c>
      <c r="U101" s="281" t="str">
        <f ca="1">DATEDIF(T101,TODAY(), "Y") &amp; " Tahun " &amp; DATEDIF(T101, TODAY(), "YM") &amp; " Bulan"</f>
        <v>0 Tahun 7 Bulan</v>
      </c>
      <c r="V101" s="281" t="s">
        <v>850</v>
      </c>
      <c r="W101" s="281" t="s">
        <v>851</v>
      </c>
      <c r="X101" s="283" t="str">
        <f ca="1">IF(AND(OR(L101="AA",L101="L"),OR(S101="Penata Muda Tk. I Golongan III/b",S101="Penata Golongan III/c"),DATEDIF(Q101,TODAY(),"m")&gt;=23,ISBLANK(Z101),C101="Aktif"),"Nominasi Serdos","-")</f>
        <v>-</v>
      </c>
      <c r="Y101" s="281"/>
      <c r="Z101" s="297"/>
      <c r="AA101" s="297"/>
      <c r="AB101" s="295" t="s">
        <v>30</v>
      </c>
      <c r="AC101" s="297" t="s">
        <v>511</v>
      </c>
      <c r="AD101" s="281" t="s">
        <v>30</v>
      </c>
      <c r="AE101" s="281" t="s">
        <v>30</v>
      </c>
      <c r="AF101" s="281" t="s">
        <v>30</v>
      </c>
      <c r="AG101" s="281" t="s">
        <v>30</v>
      </c>
      <c r="AH101" s="281" t="s">
        <v>854</v>
      </c>
      <c r="AI101" s="295" t="s">
        <v>30</v>
      </c>
      <c r="AJ101" s="295" t="s">
        <v>30</v>
      </c>
      <c r="AK101" s="295" t="s">
        <v>30</v>
      </c>
      <c r="AM101" s="286">
        <v>45170</v>
      </c>
      <c r="AN101" s="287" t="str">
        <f ca="1">DATEDIF(AM101,TODAY(),"y")&amp;" tahun "&amp;DATEDIF(AM101,TODAY(),"ym")&amp;" bulan "</f>
        <v xml:space="preserve">2 tahun 4 bulan </v>
      </c>
      <c r="AO101" s="281" t="s">
        <v>858</v>
      </c>
      <c r="AP101" s="281" t="s">
        <v>859</v>
      </c>
      <c r="AQ101" s="281" t="s">
        <v>1267</v>
      </c>
      <c r="AR101" s="281" t="s">
        <v>79</v>
      </c>
      <c r="AS101" s="281">
        <v>81223566959</v>
      </c>
      <c r="AT101" s="281" t="s">
        <v>80</v>
      </c>
      <c r="AU101" s="281" t="s">
        <v>30</v>
      </c>
      <c r="AV101" s="281"/>
      <c r="AW101" s="281" t="str">
        <f>VLOOKUP(B101,Sheet2!A107:I224,9,FALSE)</f>
        <v>Krisnayanti Aditasari, S.M., M.MT.</v>
      </c>
      <c r="AX101" s="281" t="s">
        <v>902</v>
      </c>
      <c r="AY101" s="281" t="str">
        <f>VLOOKUP(B101,Sheet2!A107:C224,2,FALSE)</f>
        <v>Surabaya</v>
      </c>
      <c r="AZ101" s="288">
        <f>VLOOKUP(B101,Sheet2!A107:C224,3,FALSE)</f>
        <v>36315</v>
      </c>
      <c r="BA101" s="281">
        <f ca="1">DATEDIF(AZ101, TODAY(),"y")</f>
        <v>26</v>
      </c>
      <c r="BB101" s="281"/>
      <c r="BC101" s="281"/>
      <c r="BD101" s="281"/>
      <c r="BE101" s="295"/>
      <c r="BF101" s="289"/>
      <c r="BG101" s="289"/>
      <c r="BH101" s="289"/>
      <c r="BI101" s="289"/>
      <c r="BJ101" s="289"/>
      <c r="BK101" s="289"/>
      <c r="BL101" s="288" t="str">
        <f>VLOOKUP(B101,Sheet2!A107:D224,4,FALSE)</f>
        <v>Dosen</v>
      </c>
      <c r="BM101" s="281"/>
      <c r="BN101" s="281"/>
      <c r="BO101" s="281"/>
      <c r="BP101" s="281"/>
      <c r="BQ101" s="281"/>
      <c r="BR101" s="288" t="str">
        <f>VLOOKUP(B101,Sheet2!A107:E224,5,FALSE)</f>
        <v>Strategy, Human, Entrepreneurship &amp; Economy (SHEE)</v>
      </c>
      <c r="BS101" s="288" t="str">
        <f>VLOOKUP(B101,Sheet2!A107:F224,6,FALSE)</f>
        <v>KNY</v>
      </c>
      <c r="BT101" s="288" t="str">
        <f>VLOOKUP(B101,Sheet2!A107:G224,7,FALSE)</f>
        <v>Fakultas Ekonomi dan Bisnis</v>
      </c>
      <c r="BU101" s="288" t="str">
        <f>VLOOKUP(B101,Sheet2!A107:H224,8,FALSE)</f>
        <v>krisnaaditasari@telkomuniversity.ac.id</v>
      </c>
      <c r="BV101" s="280">
        <f>COUNTIFS('Join TPA Dosen'!B:B,Dosen!B107)</f>
        <v>1</v>
      </c>
      <c r="BW101" s="273" t="str">
        <f>DATEDIF(AM101,DATE(2026,1,1),"y")&amp;" tahun "&amp;DATEDIF(AM101,DATE(2026,1,1),"ym")&amp;" bulan "</f>
        <v xml:space="preserve">2 tahun 4 bulan </v>
      </c>
      <c r="BX101" s="280" t="str">
        <f>VLOOKUP($B101,Sheet1!$A:$G,2,FALSE)</f>
        <v>ITS</v>
      </c>
      <c r="BY101" s="280" t="str">
        <f>VLOOKUP($B101,Sheet1!$A:$G,3,FALSE)</f>
        <v>Manajemen Bisnis</v>
      </c>
      <c r="BZ101" s="280" t="str">
        <f>VLOOKUP($B101,Sheet1!$A:$G,4,FALSE)</f>
        <v>ITS</v>
      </c>
      <c r="CA101" s="280" t="str">
        <f>VLOOKUP($B101,Sheet1!$A:$G,5,FALSE)</f>
        <v>Manajemen Teknologi</v>
      </c>
      <c r="CB101" s="280">
        <f>VLOOKUP($B101,Sheet1!$A:$G,6,FALSE)</f>
        <v>0</v>
      </c>
      <c r="CC101" s="280">
        <f>VLOOKUP($B101,Sheet1!$A:$G,7,FALSE)</f>
        <v>0</v>
      </c>
      <c r="CD101" s="280" t="s">
        <v>871</v>
      </c>
      <c r="CE101" s="280" t="s">
        <v>863</v>
      </c>
    </row>
    <row r="102" spans="1:83" ht="19.5">
      <c r="A102" s="281">
        <v>107</v>
      </c>
      <c r="B102" s="281" t="s">
        <v>147</v>
      </c>
      <c r="C102" s="281" t="s">
        <v>20</v>
      </c>
      <c r="D102" s="281" t="s">
        <v>107</v>
      </c>
      <c r="E102" s="281">
        <v>23950016</v>
      </c>
      <c r="F102" s="291" t="s">
        <v>1268</v>
      </c>
      <c r="G102" s="296" t="s">
        <v>148</v>
      </c>
      <c r="H102" s="291" t="s">
        <v>884</v>
      </c>
      <c r="I102" s="295" t="s">
        <v>30</v>
      </c>
      <c r="J102" s="281" t="s">
        <v>57</v>
      </c>
      <c r="K102" s="281" t="s">
        <v>917</v>
      </c>
      <c r="L102" s="281" t="s">
        <v>918</v>
      </c>
      <c r="M102" s="283" t="str">
        <f>IF(L102="NJAD","AA",IF(L102="AA","L",IF(L102="L","LK","GB")))</f>
        <v>AA</v>
      </c>
      <c r="N102" s="282" t="s">
        <v>511</v>
      </c>
      <c r="O102" s="281">
        <v>0</v>
      </c>
      <c r="P102" s="281" t="s">
        <v>30</v>
      </c>
      <c r="Q102" s="284">
        <v>45170</v>
      </c>
      <c r="R102" s="281" t="str">
        <f ca="1">DATEDIF(Q102,TODAY(), "Y") &amp; " Tahun " &amp; DATEDIF(Q102, TODAY(), "YM") &amp; " Bulan"</f>
        <v>2 Tahun 4 Bulan</v>
      </c>
      <c r="S102" s="282" t="s">
        <v>511</v>
      </c>
      <c r="T102" s="282" t="s">
        <v>511</v>
      </c>
      <c r="U102" s="281" t="e">
        <f ca="1">DATEDIF(T102,TODAY(), "Y") &amp; " Tahun " &amp; DATEDIF(T102, TODAY(), "YM") &amp; " Bulan"</f>
        <v>#VALUE!</v>
      </c>
      <c r="V102" s="281" t="s">
        <v>1026</v>
      </c>
      <c r="W102" s="281" t="s">
        <v>851</v>
      </c>
      <c r="X102" s="283" t="str">
        <f ca="1">IF(AND(OR(L102="AA",L102="L"),OR(S102="Penata Muda Tk. I Golongan III/b",S102="Penata Golongan III/c"),DATEDIF(Q102,TODAY(),"m")&gt;=23,ISBLANK(Z102),C102="Aktif"),"Nominasi Serdos","-")</f>
        <v>-</v>
      </c>
      <c r="Y102" s="281"/>
      <c r="Z102" s="297"/>
      <c r="AA102" s="297"/>
      <c r="AB102" s="295" t="s">
        <v>30</v>
      </c>
      <c r="AC102" s="297" t="s">
        <v>511</v>
      </c>
      <c r="AD102" s="281" t="s">
        <v>30</v>
      </c>
      <c r="AE102" s="281" t="s">
        <v>30</v>
      </c>
      <c r="AF102" s="281" t="s">
        <v>30</v>
      </c>
      <c r="AG102" s="281" t="s">
        <v>30</v>
      </c>
      <c r="AH102" s="281" t="s">
        <v>854</v>
      </c>
      <c r="AI102" s="295" t="s">
        <v>30</v>
      </c>
      <c r="AJ102" s="295" t="s">
        <v>30</v>
      </c>
      <c r="AK102" s="295" t="s">
        <v>30</v>
      </c>
      <c r="AM102" s="286">
        <v>45170</v>
      </c>
      <c r="AN102" s="287" t="str">
        <f ca="1">DATEDIF(AM102,TODAY(),"y")&amp;" tahun "&amp;DATEDIF(AM102,TODAY(),"ym")&amp;" bulan "</f>
        <v xml:space="preserve">2 tahun 4 bulan </v>
      </c>
      <c r="AO102" s="281" t="s">
        <v>858</v>
      </c>
      <c r="AP102" s="281" t="s">
        <v>962</v>
      </c>
      <c r="AQ102" s="281" t="s">
        <v>1269</v>
      </c>
      <c r="AR102" s="281" t="s">
        <v>149</v>
      </c>
      <c r="AS102" s="281">
        <v>85236699663</v>
      </c>
      <c r="AT102" s="281" t="s">
        <v>150</v>
      </c>
      <c r="AU102" s="281" t="s">
        <v>30</v>
      </c>
      <c r="AV102" s="281"/>
      <c r="AW102" s="281" t="str">
        <f>VLOOKUP(B102,Sheet2!A108:I225,9,FALSE)</f>
        <v>Pima Hani Safitri, S.Kom., M.Kom.</v>
      </c>
      <c r="AX102" s="281" t="s">
        <v>902</v>
      </c>
      <c r="AY102" s="281" t="str">
        <f>VLOOKUP(B102,Sheet2!A108:C225,2,FALSE)</f>
        <v>Madiun</v>
      </c>
      <c r="AZ102" s="288">
        <f>VLOOKUP(B102,Sheet2!A108:C225,3,FALSE)</f>
        <v>34761</v>
      </c>
      <c r="BA102" s="281">
        <f ca="1">DATEDIF(AZ102, TODAY(),"y")</f>
        <v>30</v>
      </c>
      <c r="BB102" s="281"/>
      <c r="BC102" s="281"/>
      <c r="BD102" s="281"/>
      <c r="BE102" s="295"/>
      <c r="BF102" s="289"/>
      <c r="BG102" s="289"/>
      <c r="BH102" s="289"/>
      <c r="BI102" s="289"/>
      <c r="BJ102" s="289"/>
      <c r="BK102" s="289"/>
      <c r="BL102" s="288" t="str">
        <f>VLOOKUP(B102,Sheet2!A108:D225,4,FALSE)</f>
        <v>Dosen</v>
      </c>
      <c r="BM102" s="281"/>
      <c r="BN102" s="281"/>
      <c r="BO102" s="281"/>
      <c r="BP102" s="281"/>
      <c r="BQ102" s="281"/>
      <c r="BR102" s="288" t="str">
        <f>VLOOKUP(B102,Sheet2!A108:E225,5,FALSE)</f>
        <v>Data Science and Intelligent Systems (DSIS)</v>
      </c>
      <c r="BS102" s="288" t="str">
        <f>VLOOKUP(B102,Sheet2!A108:F225,6,FALSE)</f>
        <v>PIM</v>
      </c>
      <c r="BT102" s="288" t="str">
        <f>VLOOKUP(B102,Sheet2!A108:G225,7,FALSE)</f>
        <v>Fakultas Informatika</v>
      </c>
      <c r="BU102" s="288" t="str">
        <f>VLOOKUP(B102,Sheet2!A108:H225,8,FALSE)</f>
        <v>phanisafitri@telkomuniversity.ac.id</v>
      </c>
      <c r="BV102" s="280">
        <f>COUNTIFS('Join TPA Dosen'!B:B,Dosen!B108)</f>
        <v>1</v>
      </c>
      <c r="BW102" s="273" t="str">
        <f>DATEDIF(AM102,DATE(2026,1,1),"y")&amp;" tahun "&amp;DATEDIF(AM102,DATE(2026,1,1),"ym")&amp;" bulan "</f>
        <v xml:space="preserve">2 tahun 4 bulan </v>
      </c>
      <c r="BX102" s="280" t="str">
        <f>VLOOKUP($B102,Sheet1!$A:$G,2,FALSE)</f>
        <v>Tel-U</v>
      </c>
      <c r="BY102" s="280" t="str">
        <f>VLOOKUP($B102,Sheet1!$A:$G,3,FALSE)</f>
        <v>Teknik Informatika</v>
      </c>
      <c r="BZ102" s="280" t="str">
        <f>VLOOKUP($B102,Sheet1!$A:$G,4,FALSE)</f>
        <v>ITS</v>
      </c>
      <c r="CA102" s="280" t="str">
        <f>VLOOKUP($B102,Sheet1!$A:$G,5,FALSE)</f>
        <v>Teknik Informatika</v>
      </c>
      <c r="CB102" s="280">
        <f>VLOOKUP($B102,Sheet1!$A:$G,6,FALSE)</f>
        <v>0</v>
      </c>
      <c r="CC102" s="280">
        <f>VLOOKUP($B102,Sheet1!$A:$G,7,FALSE)</f>
        <v>0</v>
      </c>
      <c r="CD102" s="280" t="s">
        <v>882</v>
      </c>
      <c r="CE102" s="280" t="s">
        <v>903</v>
      </c>
    </row>
    <row r="103" spans="1:83" ht="18.95">
      <c r="A103" s="281">
        <v>60</v>
      </c>
      <c r="B103" s="281" t="s">
        <v>432</v>
      </c>
      <c r="C103" s="281" t="s">
        <v>46</v>
      </c>
      <c r="D103" s="281" t="s">
        <v>413</v>
      </c>
      <c r="E103" s="281">
        <v>23910011</v>
      </c>
      <c r="F103" s="281" t="s">
        <v>1270</v>
      </c>
      <c r="G103" s="281"/>
      <c r="H103" s="291" t="s">
        <v>884</v>
      </c>
      <c r="I103" s="281" t="s">
        <v>30</v>
      </c>
      <c r="J103" s="281" t="s">
        <v>354</v>
      </c>
      <c r="K103" s="281" t="s">
        <v>846</v>
      </c>
      <c r="L103" s="281" t="s">
        <v>847</v>
      </c>
      <c r="M103" s="283" t="str">
        <f>IF(L103="NJAD","AA",IF(L103="AA","L",IF(L103="L","LK","GB")))</f>
        <v>L</v>
      </c>
      <c r="N103" s="282" t="s">
        <v>511</v>
      </c>
      <c r="O103" s="281">
        <v>150</v>
      </c>
      <c r="P103" s="281" t="s">
        <v>1271</v>
      </c>
      <c r="Q103" s="284">
        <v>44044</v>
      </c>
      <c r="R103" s="281" t="str">
        <f ca="1">DATEDIF(Q103,TODAY(), "Y") &amp; " Tahun " &amp; DATEDIF(Q103, TODAY(), "YM") &amp; " Bulan"</f>
        <v>5 Tahun 5 Bulan</v>
      </c>
      <c r="S103" s="281" t="s">
        <v>849</v>
      </c>
      <c r="T103" s="285">
        <v>44256</v>
      </c>
      <c r="U103" s="281" t="str">
        <f ca="1">DATEDIF(T103,TODAY(), "Y") &amp; " Tahun " &amp; DATEDIF(T103, TODAY(), "YM") &amp; " Bulan"</f>
        <v>4 Tahun 10 Bulan</v>
      </c>
      <c r="V103" s="281" t="s">
        <v>938</v>
      </c>
      <c r="W103" s="281" t="s">
        <v>851</v>
      </c>
      <c r="X103" s="283" t="str">
        <f ca="1">IF(AND(OR(L103="AA",L103="L"),OR(S103="Penata Muda Tk. I Golongan III/b",S103="Penata Golongan III/c"),DATEDIF(Q103,TODAY(),"m")&gt;=23,ISBLANK(Z103),C103="Aktif"),"Nominasi Serdos","-")</f>
        <v>-</v>
      </c>
      <c r="Y103" s="281"/>
      <c r="Z103" s="281" t="s">
        <v>852</v>
      </c>
      <c r="AA103" s="290">
        <v>2.41072E+18</v>
      </c>
      <c r="AB103" s="281" t="s">
        <v>1272</v>
      </c>
      <c r="AC103" s="285">
        <v>45351</v>
      </c>
      <c r="AD103" s="281" t="s">
        <v>30</v>
      </c>
      <c r="AE103" s="281" t="s">
        <v>30</v>
      </c>
      <c r="AF103" s="281" t="s">
        <v>30</v>
      </c>
      <c r="AG103" s="281" t="s">
        <v>30</v>
      </c>
      <c r="AH103" s="281" t="s">
        <v>854</v>
      </c>
      <c r="AI103" s="281" t="s">
        <v>30</v>
      </c>
      <c r="AJ103" s="281" t="s">
        <v>30</v>
      </c>
      <c r="AK103" s="281" t="s">
        <v>30</v>
      </c>
      <c r="AM103" s="286">
        <v>44562</v>
      </c>
      <c r="AN103" s="287" t="str">
        <f ca="1">DATEDIF(AM103,TODAY(),"y")&amp;" tahun "&amp;DATEDIF(AM103,TODAY(),"ym")&amp;" bulan "</f>
        <v xml:space="preserve">4 tahun 0 bulan </v>
      </c>
      <c r="AO103" s="281" t="s">
        <v>868</v>
      </c>
      <c r="AP103" s="281" t="s">
        <v>939</v>
      </c>
      <c r="AQ103" s="281" t="s">
        <v>1273</v>
      </c>
      <c r="AR103" s="281" t="s">
        <v>433</v>
      </c>
      <c r="AS103" s="281">
        <v>82143778029</v>
      </c>
      <c r="AT103" s="281" t="s">
        <v>434</v>
      </c>
      <c r="AU103" s="281" t="s">
        <v>30</v>
      </c>
      <c r="AV103" s="281"/>
      <c r="AW103" s="281" t="str">
        <f>VLOOKUP(B103,Sheet2!A61:I178,9,FALSE)</f>
        <v>Aulia Rahma Annisa, S.ST., M.T.</v>
      </c>
      <c r="AX103" s="281" t="s">
        <v>902</v>
      </c>
      <c r="AY103" s="281" t="str">
        <f>VLOOKUP(B103,Sheet2!A61:C178,2,FALSE)</f>
        <v>Surabaya</v>
      </c>
      <c r="AZ103" s="288">
        <f>VLOOKUP(B103,Sheet2!A61:C178,3,FALSE)</f>
        <v>33392</v>
      </c>
      <c r="BA103" s="281">
        <f ca="1">DATEDIF(AZ103, TODAY(),"y")</f>
        <v>34</v>
      </c>
      <c r="BB103" s="281"/>
      <c r="BC103" s="281"/>
      <c r="BD103" s="281"/>
      <c r="BE103" s="281"/>
      <c r="BF103" s="289"/>
      <c r="BG103" s="289"/>
      <c r="BH103" s="289"/>
      <c r="BI103" s="304"/>
      <c r="BJ103" s="304"/>
      <c r="BK103" s="304"/>
      <c r="BL103" s="288" t="str">
        <f>VLOOKUP(B103,Sheet2!A61:D178,4,FALSE)</f>
        <v>Dosen</v>
      </c>
      <c r="BM103" s="281"/>
      <c r="BN103" s="281"/>
      <c r="BO103" s="281"/>
      <c r="BP103" s="281"/>
      <c r="BQ103" s="281"/>
      <c r="BR103" s="288" t="str">
        <f>VLOOKUP(B103,Sheet2!A61:E178,5,FALSE)</f>
        <v>Control, Elektronics, and Intelligent Systems (CEIS)</v>
      </c>
      <c r="BS103" s="288" t="str">
        <f>VLOOKUP(B103,Sheet2!A61:F178,6,FALSE)</f>
        <v>AUV</v>
      </c>
      <c r="BT103" s="288" t="str">
        <f>VLOOKUP(B103,Sheet2!A61:G178,7,FALSE)</f>
        <v>Fakultas Teknik Elektro</v>
      </c>
      <c r="BU103" s="288" t="str">
        <f>VLOOKUP(B103,Sheet2!A61:H178,8,FALSE)</f>
        <v>auliannisa@telkomuniversity.ac.id</v>
      </c>
      <c r="BV103" s="280">
        <f>COUNTIFS('Join TPA Dosen'!B:B,Dosen!B61)</f>
        <v>1</v>
      </c>
      <c r="BW103" s="273" t="str">
        <f>DATEDIF(AM103,DATE(2026,1,1),"y")&amp;" tahun "&amp;DATEDIF(AM103,DATE(2026,1,1),"ym")&amp;" bulan "</f>
        <v xml:space="preserve">4 tahun 0 bulan </v>
      </c>
      <c r="BX103" s="280" t="str">
        <f>VLOOKUP($B103,Sheet1!$A:$G,2,FALSE)</f>
        <v>PENS</v>
      </c>
      <c r="BY103" s="280" t="str">
        <f>VLOOKUP($B103,Sheet1!$A:$G,3,FALSE)</f>
        <v>Teknik Elektronika</v>
      </c>
      <c r="BZ103" s="280" t="str">
        <f>VLOOKUP($B103,Sheet1!$A:$G,4,FALSE)</f>
        <v>ITS</v>
      </c>
      <c r="CA103" s="280" t="str">
        <f>VLOOKUP($B103,Sheet1!$A:$G,5,FALSE)</f>
        <v>Teknik Elektro</v>
      </c>
      <c r="CB103" s="280" t="str">
        <f>VLOOKUP($B103,Sheet1!$A:$G,6,FALSE)</f>
        <v>-</v>
      </c>
      <c r="CC103" s="280">
        <f>VLOOKUP($B103,Sheet1!$A:$G,7,FALSE)</f>
        <v>0</v>
      </c>
      <c r="CD103" s="280" t="e">
        <v>#N/A</v>
      </c>
      <c r="CE103" s="280" t="e">
        <v>#N/A</v>
      </c>
    </row>
    <row r="104" spans="1:83" ht="18.95">
      <c r="A104" s="281">
        <v>77</v>
      </c>
      <c r="B104" s="281" t="s">
        <v>435</v>
      </c>
      <c r="C104" s="281" t="s">
        <v>46</v>
      </c>
      <c r="D104" s="281" t="s">
        <v>413</v>
      </c>
      <c r="E104" s="302">
        <v>22930046</v>
      </c>
      <c r="F104" s="302" t="s">
        <v>1274</v>
      </c>
      <c r="G104" s="302"/>
      <c r="H104" s="291" t="s">
        <v>884</v>
      </c>
      <c r="I104" s="302" t="s">
        <v>30</v>
      </c>
      <c r="J104" s="302" t="s">
        <v>176</v>
      </c>
      <c r="K104" s="302" t="s">
        <v>846</v>
      </c>
      <c r="L104" s="302" t="s">
        <v>847</v>
      </c>
      <c r="M104" s="283" t="str">
        <f>IF(L104="NJAD","AA",IF(L104="AA","L",IF(L104="L","LK","GB")))</f>
        <v>L</v>
      </c>
      <c r="N104" s="309" t="s">
        <v>511</v>
      </c>
      <c r="O104" s="302">
        <v>150</v>
      </c>
      <c r="P104" s="302" t="s">
        <v>30</v>
      </c>
      <c r="Q104" s="310">
        <v>44349</v>
      </c>
      <c r="R104" s="281" t="str">
        <f ca="1">DATEDIF(Q104,TODAY(), "Y") &amp; " Tahun " &amp; DATEDIF(Q104, TODAY(), "YM") &amp; " Bulan"</f>
        <v>4 Tahun 7 Bulan</v>
      </c>
      <c r="S104" s="311" t="s">
        <v>511</v>
      </c>
      <c r="T104" s="311" t="s">
        <v>511</v>
      </c>
      <c r="U104" s="281" t="e">
        <f ca="1">DATEDIF(T104,TODAY(), "Y") &amp; " Tahun " &amp; DATEDIF(T104, TODAY(), "YM") &amp; " Bulan"</f>
        <v>#VALUE!</v>
      </c>
      <c r="V104" s="302" t="s">
        <v>938</v>
      </c>
      <c r="W104" s="302" t="s">
        <v>851</v>
      </c>
      <c r="X104" s="283" t="str">
        <f ca="1">IF(AND(OR(L104="AA",L104="L"),OR(S104="Penata Muda Tk. I Golongan III/b",S104="Penata Golongan III/c"),DATEDIF(Q104,TODAY(),"m")&gt;=23,ISBLANK(Z104),C104="Aktif"),"Nominasi Serdos","-")</f>
        <v>-</v>
      </c>
      <c r="Y104" s="281"/>
      <c r="Z104" s="311"/>
      <c r="AA104" s="302"/>
      <c r="AB104" s="302" t="s">
        <v>30</v>
      </c>
      <c r="AC104" s="311" t="s">
        <v>511</v>
      </c>
      <c r="AD104" s="302" t="s">
        <v>30</v>
      </c>
      <c r="AE104" s="302" t="s">
        <v>30</v>
      </c>
      <c r="AF104" s="302" t="s">
        <v>30</v>
      </c>
      <c r="AG104" s="302" t="s">
        <v>30</v>
      </c>
      <c r="AH104" s="302" t="s">
        <v>854</v>
      </c>
      <c r="AI104" s="302" t="s">
        <v>30</v>
      </c>
      <c r="AJ104" s="302" t="s">
        <v>30</v>
      </c>
      <c r="AK104" s="302" t="s">
        <v>30</v>
      </c>
      <c r="AM104" s="303">
        <v>44832</v>
      </c>
      <c r="AN104" s="287" t="str">
        <f ca="1">DATEDIF(AM104,TODAY(),"y")&amp;" tahun "&amp;DATEDIF(AM104,TODAY(),"ym")&amp;" bulan "</f>
        <v xml:space="preserve">3 tahun 3 bulan </v>
      </c>
      <c r="AO104" s="302" t="s">
        <v>868</v>
      </c>
      <c r="AP104" s="302" t="s">
        <v>939</v>
      </c>
      <c r="AQ104" s="302" t="s">
        <v>1275</v>
      </c>
      <c r="AR104" s="302" t="s">
        <v>436</v>
      </c>
      <c r="AS104" s="302">
        <v>82137220958</v>
      </c>
      <c r="AT104" s="302" t="s">
        <v>437</v>
      </c>
      <c r="AU104" s="302" t="s">
        <v>30</v>
      </c>
      <c r="AV104" s="295"/>
      <c r="AW104" s="281" t="str">
        <f>VLOOKUP(B104,Sheet2!A78:I195,9,FALSE)</f>
        <v>Nanda Iryani, S.T., M.T.</v>
      </c>
      <c r="AX104" s="281" t="s">
        <v>902</v>
      </c>
      <c r="AY104" s="281" t="str">
        <f>VLOOKUP(B104,Sheet2!A78:C195,2,FALSE)</f>
        <v>Probolinggo</v>
      </c>
      <c r="AZ104" s="288">
        <f>VLOOKUP(B104,Sheet2!A78:C195,3,FALSE)</f>
        <v>34093</v>
      </c>
      <c r="BA104" s="281">
        <f ca="1">DATEDIF(AZ104, TODAY(),"y")</f>
        <v>32</v>
      </c>
      <c r="BB104" s="281"/>
      <c r="BC104" s="281"/>
      <c r="BD104" s="281"/>
      <c r="BE104" s="295"/>
      <c r="BF104" s="289"/>
      <c r="BG104" s="289"/>
      <c r="BH104" s="289"/>
      <c r="BI104" s="289"/>
      <c r="BJ104" s="289"/>
      <c r="BK104" s="289"/>
      <c r="BL104" s="288" t="str">
        <f>VLOOKUP(B104,Sheet2!A78:D195,4,FALSE)</f>
        <v>Dosen</v>
      </c>
      <c r="BM104" s="281"/>
      <c r="BN104" s="281"/>
      <c r="BO104" s="281"/>
      <c r="BP104" s="281"/>
      <c r="BQ104" s="281"/>
      <c r="BR104" s="288" t="e">
        <f>VLOOKUP(B104,Sheet2!A78:E195,5,FALSE)</f>
        <v>#N/A</v>
      </c>
      <c r="BS104" s="288" t="str">
        <f>VLOOKUP(B104,Sheet2!A78:F195,6,FALSE)</f>
        <v>NDZ</v>
      </c>
      <c r="BT104" s="288" t="str">
        <f>VLOOKUP(B104,Sheet2!A78:G195,7,FALSE)</f>
        <v>Fakultas Teknik Elektro</v>
      </c>
      <c r="BU104" s="288"/>
      <c r="BV104" s="280">
        <f>COUNTIFS('Join TPA Dosen'!B:B,Dosen!B78)</f>
        <v>1</v>
      </c>
      <c r="BW104" s="273" t="str">
        <f>DATEDIF(AM104,DATE(2026,1,1),"y")&amp;" tahun "&amp;DATEDIF(AM104,DATE(2026,1,1),"ym")&amp;" bulan "</f>
        <v xml:space="preserve">3 tahun 3 bulan </v>
      </c>
      <c r="BX104" s="280" t="str">
        <f>VLOOKUP($B104,Sheet1!$A:$G,2,FALSE)</f>
        <v>Tel-U</v>
      </c>
      <c r="BY104" s="280" t="str">
        <f>VLOOKUP($B104,Sheet1!$A:$G,3,FALSE)</f>
        <v>Sistem Komputer</v>
      </c>
      <c r="BZ104" s="280" t="str">
        <f>VLOOKUP($B104,Sheet1!$A:$G,4,FALSE)</f>
        <v>Universitas Mercu Buana</v>
      </c>
      <c r="CA104" s="280" t="str">
        <f>VLOOKUP($B104,Sheet1!$A:$G,5,FALSE)</f>
        <v>Teknik Elektro</v>
      </c>
      <c r="CB104" s="280" t="str">
        <f>VLOOKUP($B104,Sheet1!$A:$G,6,FALSE)</f>
        <v>-</v>
      </c>
      <c r="CC104" s="280">
        <f>VLOOKUP($B104,Sheet1!$A:$G,7,FALSE)</f>
        <v>0</v>
      </c>
      <c r="CD104" s="280" t="e">
        <v>#N/A</v>
      </c>
      <c r="CE104" s="280" t="e">
        <v>#N/A</v>
      </c>
    </row>
    <row r="105" spans="1:83" ht="39.75">
      <c r="A105" s="281">
        <v>108</v>
      </c>
      <c r="B105" s="281" t="s">
        <v>151</v>
      </c>
      <c r="C105" s="281" t="s">
        <v>20</v>
      </c>
      <c r="D105" s="281" t="s">
        <v>107</v>
      </c>
      <c r="E105" s="281">
        <v>23980024</v>
      </c>
      <c r="F105" s="291" t="s">
        <v>1276</v>
      </c>
      <c r="G105" s="296" t="s">
        <v>152</v>
      </c>
      <c r="H105" s="291" t="s">
        <v>884</v>
      </c>
      <c r="I105" s="281" t="s">
        <v>189</v>
      </c>
      <c r="J105" s="281" t="s">
        <v>57</v>
      </c>
      <c r="K105" s="283" t="s">
        <v>937</v>
      </c>
      <c r="L105" s="281" t="s">
        <v>918</v>
      </c>
      <c r="M105" s="283" t="str">
        <f>IF(L105="NJAD","AA",IF(L105="AA","L",IF(L105="L","LK","GB")))</f>
        <v>AA</v>
      </c>
      <c r="N105" s="282" t="s">
        <v>511</v>
      </c>
      <c r="O105" s="281">
        <v>0</v>
      </c>
      <c r="P105" s="281" t="s">
        <v>30</v>
      </c>
      <c r="Q105" s="284">
        <v>45170</v>
      </c>
      <c r="R105" s="281" t="str">
        <f ca="1">DATEDIF(Q105,TODAY(), "Y") &amp; " Tahun " &amp; DATEDIF(Q105, TODAY(), "YM") &amp; " Bulan"</f>
        <v>2 Tahun 4 Bulan</v>
      </c>
      <c r="S105" s="282" t="s">
        <v>511</v>
      </c>
      <c r="T105" s="282" t="s">
        <v>511</v>
      </c>
      <c r="U105" s="281" t="e">
        <f ca="1">DATEDIF(T105,TODAY(), "Y") &amp; " Tahun " &amp; DATEDIF(T105, TODAY(), "YM") &amp; " Bulan"</f>
        <v>#VALUE!</v>
      </c>
      <c r="V105" s="281" t="s">
        <v>1026</v>
      </c>
      <c r="W105" s="281" t="s">
        <v>851</v>
      </c>
      <c r="X105" s="283" t="str">
        <f ca="1">IF(AND(OR(L105="AA",L105="L"),OR(S105="Penata Muda Tk. I Golongan III/b",S105="Penata Golongan III/c"),DATEDIF(Q105,TODAY(),"m")&gt;=23,ISBLANK(Z105),C105="Aktif"),"Nominasi Serdos","-")</f>
        <v>-</v>
      </c>
      <c r="Y105" s="281"/>
      <c r="Z105" s="297"/>
      <c r="AA105" s="297"/>
      <c r="AB105" s="295" t="s">
        <v>30</v>
      </c>
      <c r="AC105" s="297" t="s">
        <v>511</v>
      </c>
      <c r="AD105" s="281" t="s">
        <v>30</v>
      </c>
      <c r="AE105" s="281" t="s">
        <v>30</v>
      </c>
      <c r="AF105" s="281" t="s">
        <v>30</v>
      </c>
      <c r="AG105" s="281" t="s">
        <v>30</v>
      </c>
      <c r="AH105" s="281" t="s">
        <v>879</v>
      </c>
      <c r="AI105" s="295" t="s">
        <v>30</v>
      </c>
      <c r="AJ105" s="295" t="s">
        <v>30</v>
      </c>
      <c r="AK105" s="295" t="s">
        <v>30</v>
      </c>
      <c r="AM105" s="286">
        <v>45170</v>
      </c>
      <c r="AN105" s="287" t="str">
        <f ca="1">DATEDIF(AM105,TODAY(),"y")&amp;" tahun "&amp;DATEDIF(AM105,TODAY(),"ym")&amp;" bulan "</f>
        <v xml:space="preserve">2 tahun 4 bulan </v>
      </c>
      <c r="AO105" s="281" t="s">
        <v>858</v>
      </c>
      <c r="AP105" s="281" t="s">
        <v>962</v>
      </c>
      <c r="AQ105" s="281" t="s">
        <v>1277</v>
      </c>
      <c r="AR105" s="281" t="s">
        <v>153</v>
      </c>
      <c r="AS105" s="281">
        <v>85171711408</v>
      </c>
      <c r="AT105" s="281" t="s">
        <v>154</v>
      </c>
      <c r="AU105" s="281" t="s">
        <v>30</v>
      </c>
      <c r="AV105" s="281"/>
      <c r="AW105" s="281" t="str">
        <f>VLOOKUP(B105,Sheet2!A109:I226,9,FALSE)</f>
        <v>Tanzilal Mustaqim, S.Kom., M.Kom.</v>
      </c>
      <c r="AX105" s="281" t="s">
        <v>861</v>
      </c>
      <c r="AY105" s="281" t="str">
        <f>VLOOKUP(B105,Sheet2!A109:C226,2,FALSE)</f>
        <v>Sragen</v>
      </c>
      <c r="AZ105" s="288">
        <f>VLOOKUP(B105,Sheet2!A109:C226,3,FALSE)</f>
        <v>36021</v>
      </c>
      <c r="BA105" s="281">
        <f ca="1">DATEDIF(AZ105, TODAY(),"y")</f>
        <v>27</v>
      </c>
      <c r="BB105" s="281"/>
      <c r="BC105" s="281"/>
      <c r="BD105" s="281"/>
      <c r="BE105" s="281"/>
      <c r="BF105" s="289"/>
      <c r="BG105" s="289"/>
      <c r="BH105" s="289"/>
      <c r="BI105" s="289"/>
      <c r="BJ105" s="289"/>
      <c r="BK105" s="289"/>
      <c r="BL105" s="288" t="str">
        <f>VLOOKUP(B105,Sheet2!A109:D226,4,FALSE)</f>
        <v>Dosen</v>
      </c>
      <c r="BM105" s="281"/>
      <c r="BN105" s="281"/>
      <c r="BO105" s="281"/>
      <c r="BP105" s="281"/>
      <c r="BQ105" s="281"/>
      <c r="BR105" s="288" t="str">
        <f>VLOOKUP(B105,Sheet2!A109:E226,5,FALSE)</f>
        <v>Data Science and Intelligent Systems (DSIS)</v>
      </c>
      <c r="BS105" s="288" t="str">
        <f>VLOOKUP(B105,Sheet2!A109:F226,6,FALSE)</f>
        <v>TZL</v>
      </c>
      <c r="BT105" s="288" t="str">
        <f>VLOOKUP(B105,Sheet2!A109:G226,7,FALSE)</f>
        <v>Fakultas Informatika</v>
      </c>
      <c r="BU105" s="288" t="str">
        <f>VLOOKUP(B105,Sheet2!A109:H226,8,FALSE)</f>
        <v>tanzilal@telkomuniversity.ac.id</v>
      </c>
      <c r="BV105" s="280">
        <f>COUNTIFS('Join TPA Dosen'!B:B,Dosen!B109)</f>
        <v>1</v>
      </c>
      <c r="BW105" s="273" t="str">
        <f>DATEDIF(AM105,DATE(2026,1,1),"y")&amp;" tahun "&amp;DATEDIF(AM105,DATE(2026,1,1),"ym")&amp;" bulan "</f>
        <v xml:space="preserve">2 tahun 4 bulan </v>
      </c>
      <c r="BX105" s="280" t="str">
        <f>VLOOKUP($B105,Sheet1!$A:$G,2,FALSE)</f>
        <v>UNNES</v>
      </c>
      <c r="BY105" s="280" t="str">
        <f>VLOOKUP($B105,Sheet1!$A:$G,3,FALSE)</f>
        <v>Teknik Informatika</v>
      </c>
      <c r="BZ105" s="280" t="str">
        <f>VLOOKUP($B105,Sheet1!$A:$G,4,FALSE)</f>
        <v>ITS</v>
      </c>
      <c r="CA105" s="280" t="str">
        <f>VLOOKUP($B105,Sheet1!$A:$G,5,FALSE)</f>
        <v>Teknik Informatika</v>
      </c>
      <c r="CB105" s="280" t="str">
        <f>VLOOKUP($B105,Sheet1!$A:$G,6,FALSE)</f>
        <v>ITS</v>
      </c>
      <c r="CC105" s="280" t="str">
        <f>VLOOKUP($B105,Sheet1!$A:$G,7,FALSE)</f>
        <v>Ilmu Komputer</v>
      </c>
      <c r="CD105" s="280" t="s">
        <v>882</v>
      </c>
      <c r="CE105" s="280" t="s">
        <v>903</v>
      </c>
    </row>
    <row r="106" spans="1:83" ht="19.5">
      <c r="A106" s="281">
        <v>109</v>
      </c>
      <c r="B106" s="281" t="s">
        <v>568</v>
      </c>
      <c r="C106" s="281" t="s">
        <v>20</v>
      </c>
      <c r="D106" s="281" t="s">
        <v>524</v>
      </c>
      <c r="E106" s="281">
        <v>22970009</v>
      </c>
      <c r="F106" s="281" t="s">
        <v>1278</v>
      </c>
      <c r="G106" s="282" t="s">
        <v>569</v>
      </c>
      <c r="H106" s="291" t="s">
        <v>845</v>
      </c>
      <c r="I106" s="281" t="s">
        <v>30</v>
      </c>
      <c r="J106" s="281" t="s">
        <v>47</v>
      </c>
      <c r="K106" s="281" t="s">
        <v>917</v>
      </c>
      <c r="L106" s="281" t="s">
        <v>918</v>
      </c>
      <c r="M106" s="283" t="str">
        <f>IF(L106="NJAD","AA",IF(L106="AA","L",IF(L106="L","LK","GB")))</f>
        <v>AA</v>
      </c>
      <c r="N106" s="282" t="s">
        <v>511</v>
      </c>
      <c r="O106" s="281">
        <v>0</v>
      </c>
      <c r="P106" s="281" t="s">
        <v>30</v>
      </c>
      <c r="Q106" s="284">
        <v>45170</v>
      </c>
      <c r="R106" s="281" t="str">
        <f ca="1">DATEDIF(Q106,TODAY(), "Y") &amp; " Tahun " &amp; DATEDIF(Q106, TODAY(), "YM") &amp; " Bulan"</f>
        <v>2 Tahun 4 Bulan</v>
      </c>
      <c r="S106" s="281" t="s">
        <v>511</v>
      </c>
      <c r="T106" s="285" t="s">
        <v>511</v>
      </c>
      <c r="U106" s="281" t="e">
        <f ca="1">DATEDIF(T106,TODAY(), "Y") &amp; " Tahun " &amp; DATEDIF(T106, TODAY(), "YM") &amp; " Bulan"</f>
        <v>#VALUE!</v>
      </c>
      <c r="V106" s="281" t="s">
        <v>1279</v>
      </c>
      <c r="W106" s="281" t="s">
        <v>851</v>
      </c>
      <c r="X106" s="283" t="str">
        <f ca="1">IF(AND(OR(L106="AA",L106="L"),OR(S106="Penata Muda Tk. I Golongan III/b",S106="Penata Golongan III/c"),DATEDIF(Q106,TODAY(),"m")&gt;=23,ISBLANK(Z106),C106="Aktif"),"Nominasi Serdos","-")</f>
        <v>-</v>
      </c>
      <c r="Y106" s="281"/>
      <c r="Z106" s="282"/>
      <c r="AA106" s="295"/>
      <c r="AB106" s="281" t="s">
        <v>30</v>
      </c>
      <c r="AC106" s="282" t="s">
        <v>511</v>
      </c>
      <c r="AD106" s="281" t="s">
        <v>30</v>
      </c>
      <c r="AE106" s="281" t="s">
        <v>30</v>
      </c>
      <c r="AF106" s="281" t="s">
        <v>30</v>
      </c>
      <c r="AG106" s="281" t="s">
        <v>30</v>
      </c>
      <c r="AH106" s="281" t="s">
        <v>854</v>
      </c>
      <c r="AI106" s="281" t="s">
        <v>30</v>
      </c>
      <c r="AJ106" s="281" t="s">
        <v>30</v>
      </c>
      <c r="AK106" s="281" t="s">
        <v>30</v>
      </c>
      <c r="AM106" s="286">
        <v>45170</v>
      </c>
      <c r="AN106" s="287" t="str">
        <f ca="1">DATEDIF(AM106,TODAY(),"y")&amp;" tahun "&amp;DATEDIF(AM106,TODAY(),"ym")&amp;" bulan "</f>
        <v xml:space="preserve">2 tahun 4 bulan </v>
      </c>
      <c r="AO106" s="281" t="s">
        <v>858</v>
      </c>
      <c r="AP106" s="281" t="s">
        <v>900</v>
      </c>
      <c r="AQ106" s="281" t="s">
        <v>1280</v>
      </c>
      <c r="AR106" s="281" t="s">
        <v>570</v>
      </c>
      <c r="AS106" s="281">
        <v>82217002454</v>
      </c>
      <c r="AT106" s="281" t="s">
        <v>571</v>
      </c>
      <c r="AU106" s="281" t="s">
        <v>30</v>
      </c>
      <c r="AV106" s="281"/>
      <c r="AW106" s="281" t="str">
        <f>VLOOKUP(B106,Sheet2!A110:I227,9,FALSE)</f>
        <v>Mastuty Ayu Ningtyas, S.Kom., M.MT.</v>
      </c>
      <c r="AX106" s="281" t="s">
        <v>902</v>
      </c>
      <c r="AY106" s="281" t="str">
        <f>VLOOKUP(B106,Sheet2!A110:C227,2,FALSE)</f>
        <v>Nganjuk</v>
      </c>
      <c r="AZ106" s="288">
        <f>VLOOKUP(B106,Sheet2!A110:C227,3,FALSE)</f>
        <v>35592</v>
      </c>
      <c r="BA106" s="281">
        <f ca="1">DATEDIF(AZ106, TODAY(),"y")</f>
        <v>28</v>
      </c>
      <c r="BB106" s="281"/>
      <c r="BC106" s="281"/>
      <c r="BD106" s="281"/>
      <c r="BE106" s="281"/>
      <c r="BF106" s="289"/>
      <c r="BG106" s="289"/>
      <c r="BH106" s="289"/>
      <c r="BI106" s="289"/>
      <c r="BJ106" s="289"/>
      <c r="BK106" s="289"/>
      <c r="BL106" s="288" t="str">
        <f>VLOOKUP(B106,Sheet2!A110:D227,4,FALSE)</f>
        <v>Kepala Urusan</v>
      </c>
      <c r="BM106" s="281"/>
      <c r="BN106" s="281"/>
      <c r="BO106" s="281"/>
      <c r="BP106" s="281"/>
      <c r="BQ106" s="281"/>
      <c r="BR106" s="288" t="str">
        <f>VLOOKUP(B106,Sheet2!A110:E227,5,FALSE)</f>
        <v>Software Engineering and Algorithm (SEAL)</v>
      </c>
      <c r="BS106" s="288" t="str">
        <f>VLOOKUP(B106,Sheet2!A110:F227,6,FALSE)</f>
        <v>MUN</v>
      </c>
      <c r="BT106" s="288" t="str">
        <f>VLOOKUP(B106,Sheet2!A110:G227,7,FALSE)</f>
        <v>Fakultas Informatika</v>
      </c>
      <c r="BU106" s="288" t="str">
        <f>VLOOKUP(B106,Sheet2!A110:H227,8,FALSE)</f>
        <v>mastutyayu@telkomuniversity.ac.id</v>
      </c>
      <c r="BV106" s="280">
        <f>COUNTIFS('Join TPA Dosen'!B:B,Dosen!B110)</f>
        <v>1</v>
      </c>
      <c r="BW106" s="273" t="str">
        <f>DATEDIF(AM106,DATE(2026,1,1),"y")&amp;" tahun "&amp;DATEDIF(AM106,DATE(2026,1,1),"ym")&amp;" bulan "</f>
        <v xml:space="preserve">2 tahun 4 bulan </v>
      </c>
      <c r="BX106" s="280" t="str">
        <f>VLOOKUP($B106,Sheet1!$A:$G,2,FALSE)</f>
        <v>UISI</v>
      </c>
      <c r="BY106" s="280" t="str">
        <f>VLOOKUP($B106,Sheet1!$A:$G,3,FALSE)</f>
        <v>Sistem Informasi</v>
      </c>
      <c r="BZ106" s="280" t="str">
        <f>VLOOKUP($B106,Sheet1!$A:$G,4,FALSE)</f>
        <v>ITS</v>
      </c>
      <c r="CA106" s="280" t="str">
        <f>VLOOKUP($B106,Sheet1!$A:$G,5,FALSE)</f>
        <v>Manajemen Teknologi</v>
      </c>
      <c r="CB106" s="280">
        <f>VLOOKUP($B106,Sheet1!$A:$G,6,FALSE)</f>
        <v>0</v>
      </c>
      <c r="CC106" s="280">
        <f>VLOOKUP($B106,Sheet1!$A:$G,7,FALSE)</f>
        <v>0</v>
      </c>
      <c r="CD106" s="280" t="s">
        <v>862</v>
      </c>
      <c r="CE106" s="280" t="s">
        <v>903</v>
      </c>
    </row>
    <row r="107" spans="1:83" ht="19.5">
      <c r="A107" s="281">
        <v>110</v>
      </c>
      <c r="B107" s="281" t="s">
        <v>402</v>
      </c>
      <c r="C107" s="281" t="s">
        <v>20</v>
      </c>
      <c r="D107" s="281" t="s">
        <v>370</v>
      </c>
      <c r="E107" s="281">
        <v>22950019</v>
      </c>
      <c r="F107" s="291" t="s">
        <v>1281</v>
      </c>
      <c r="G107" s="296" t="s">
        <v>403</v>
      </c>
      <c r="H107" s="281" t="s">
        <v>845</v>
      </c>
      <c r="I107" s="295" t="s">
        <v>30</v>
      </c>
      <c r="J107" s="281" t="s">
        <v>176</v>
      </c>
      <c r="K107" s="281" t="s">
        <v>917</v>
      </c>
      <c r="L107" s="281" t="s">
        <v>918</v>
      </c>
      <c r="M107" s="283" t="str">
        <f>IF(L107="NJAD","AA",IF(L107="AA","L",IF(L107="L","LK","GB")))</f>
        <v>AA</v>
      </c>
      <c r="N107" s="282" t="s">
        <v>511</v>
      </c>
      <c r="O107" s="281">
        <v>0</v>
      </c>
      <c r="P107" s="281" t="s">
        <v>30</v>
      </c>
      <c r="Q107" s="284">
        <v>45170</v>
      </c>
      <c r="R107" s="281" t="str">
        <f ca="1">DATEDIF(Q107,TODAY(), "Y") &amp; " Tahun " &amp; DATEDIF(Q107, TODAY(), "YM") &amp; " Bulan"</f>
        <v>2 Tahun 4 Bulan</v>
      </c>
      <c r="S107" s="282" t="s">
        <v>511</v>
      </c>
      <c r="T107" s="282" t="s">
        <v>511</v>
      </c>
      <c r="U107" s="281" t="e">
        <f ca="1">DATEDIF(T107,TODAY(), "Y") &amp; " Tahun " &amp; DATEDIF(T107, TODAY(), "YM") &amp; " Bulan"</f>
        <v>#VALUE!</v>
      </c>
      <c r="V107" s="281" t="s">
        <v>1282</v>
      </c>
      <c r="W107" s="281" t="s">
        <v>851</v>
      </c>
      <c r="X107" s="283" t="str">
        <f ca="1">IF(AND(OR(L107="AA",L107="L"),OR(S107="Penata Muda Tk. I Golongan III/b",S107="Penata Golongan III/c"),DATEDIF(Q107,TODAY(),"m")&gt;=23,ISBLANK(Z107),C107="Aktif"),"Nominasi Serdos","-")</f>
        <v>-</v>
      </c>
      <c r="Y107" s="281"/>
      <c r="Z107" s="297"/>
      <c r="AA107" s="297"/>
      <c r="AB107" s="295" t="s">
        <v>30</v>
      </c>
      <c r="AC107" s="297" t="s">
        <v>511</v>
      </c>
      <c r="AD107" s="281" t="s">
        <v>30</v>
      </c>
      <c r="AE107" s="281" t="s">
        <v>30</v>
      </c>
      <c r="AF107" s="281" t="s">
        <v>30</v>
      </c>
      <c r="AG107" s="281" t="s">
        <v>30</v>
      </c>
      <c r="AH107" s="281" t="s">
        <v>854</v>
      </c>
      <c r="AI107" s="281" t="s">
        <v>30</v>
      </c>
      <c r="AJ107" s="281" t="s">
        <v>30</v>
      </c>
      <c r="AK107" s="281" t="s">
        <v>30</v>
      </c>
      <c r="AM107" s="286">
        <v>45170</v>
      </c>
      <c r="AN107" s="287" t="str">
        <f ca="1">DATEDIF(AM107,TODAY(),"y")&amp;" tahun "&amp;DATEDIF(AM107,TODAY(),"ym")&amp;" bulan "</f>
        <v xml:space="preserve">2 tahun 4 bulan </v>
      </c>
      <c r="AO107" s="281" t="s">
        <v>868</v>
      </c>
      <c r="AP107" s="281" t="s">
        <v>968</v>
      </c>
      <c r="AQ107" s="281" t="s">
        <v>1283</v>
      </c>
      <c r="AR107" s="281" t="s">
        <v>404</v>
      </c>
      <c r="AS107" s="281">
        <v>81295227089</v>
      </c>
      <c r="AT107" s="281" t="s">
        <v>405</v>
      </c>
      <c r="AU107" s="281" t="s">
        <v>30</v>
      </c>
      <c r="AV107" s="281"/>
      <c r="AW107" s="281" t="str">
        <f>VLOOKUP(B107,Sheet2!A111:I228,9,FALSE)</f>
        <v>Paramaditya Arismawati, S.T., M.T.</v>
      </c>
      <c r="AX107" s="281" t="s">
        <v>902</v>
      </c>
      <c r="AY107" s="281" t="str">
        <f>VLOOKUP(B107,Sheet2!A111:C228,2,FALSE)</f>
        <v>Jakarta</v>
      </c>
      <c r="AZ107" s="288">
        <f>VLOOKUP(B107,Sheet2!A111:C228,3,FALSE)</f>
        <v>34705</v>
      </c>
      <c r="BA107" s="281">
        <f ca="1">DATEDIF(AZ107, TODAY(),"y")</f>
        <v>31</v>
      </c>
      <c r="BB107" s="281"/>
      <c r="BC107" s="281"/>
      <c r="BD107" s="281"/>
      <c r="BE107" s="295"/>
      <c r="BF107" s="289"/>
      <c r="BG107" s="289"/>
      <c r="BH107" s="289"/>
      <c r="BI107" s="289"/>
      <c r="BJ107" s="289"/>
      <c r="BK107" s="289"/>
      <c r="BL107" s="288" t="str">
        <f>VLOOKUP(B107,Sheet2!A111:D228,4,FALSE)</f>
        <v>Kabag</v>
      </c>
      <c r="BM107" s="281"/>
      <c r="BN107" s="281"/>
      <c r="BO107" s="281"/>
      <c r="BP107" s="281"/>
      <c r="BQ107" s="281"/>
      <c r="BR107" s="288" t="str">
        <f>VLOOKUP(B107,Sheet2!A111:E228,5,FALSE)</f>
        <v>Enterprise and Industrial System (EINS)</v>
      </c>
      <c r="BS107" s="288" t="str">
        <f>VLOOKUP(B107,Sheet2!A111:F228,6,FALSE)</f>
        <v>PAM</v>
      </c>
      <c r="BT107" s="288" t="str">
        <f>VLOOKUP(B107,Sheet2!A111:G228,7,FALSE)</f>
        <v>Fakultas Rekayasa Industri</v>
      </c>
      <c r="BU107" s="288" t="str">
        <f>VLOOKUP(B107,Sheet2!A111:H228,8,FALSE)</f>
        <v>paramadityaars@telkomuniversity.ac.id</v>
      </c>
      <c r="BV107" s="280">
        <f>COUNTIFS('Join TPA Dosen'!B:B,Dosen!B111)</f>
        <v>1</v>
      </c>
      <c r="BW107" s="273" t="str">
        <f>DATEDIF(AM107,DATE(2026,1,1),"y")&amp;" tahun "&amp;DATEDIF(AM107,DATE(2026,1,1),"ym")&amp;" bulan "</f>
        <v xml:space="preserve">2 tahun 4 bulan </v>
      </c>
      <c r="BX107" s="280" t="str">
        <f>VLOOKUP($B107,Sheet1!$A:$G,2,FALSE)</f>
        <v>Tel-U</v>
      </c>
      <c r="BY107" s="280" t="str">
        <f>VLOOKUP($B107,Sheet1!$A:$G,3,FALSE)</f>
        <v>Teknik Industri</v>
      </c>
      <c r="BZ107" s="280" t="str">
        <f>VLOOKUP($B107,Sheet1!$A:$G,4,FALSE)</f>
        <v>ITS</v>
      </c>
      <c r="CA107" s="280" t="str">
        <f>VLOOKUP($B107,Sheet1!$A:$G,5,FALSE)</f>
        <v>Teknik Industri</v>
      </c>
      <c r="CB107" s="280">
        <f>VLOOKUP($B107,Sheet1!$A:$G,6,FALSE)</f>
        <v>0</v>
      </c>
      <c r="CC107" s="280">
        <f>VLOOKUP($B107,Sheet1!$A:$G,7,FALSE)</f>
        <v>0</v>
      </c>
      <c r="CD107" s="280" t="s">
        <v>871</v>
      </c>
      <c r="CE107" s="280" t="s">
        <v>863</v>
      </c>
    </row>
    <row r="108" spans="1:83" ht="18.95">
      <c r="A108" s="281">
        <v>55</v>
      </c>
      <c r="B108" s="281" t="s">
        <v>457</v>
      </c>
      <c r="C108" s="281" t="s">
        <v>46</v>
      </c>
      <c r="D108" s="281" t="s">
        <v>448</v>
      </c>
      <c r="E108" s="302">
        <v>20940045</v>
      </c>
      <c r="F108" s="302" t="s">
        <v>1284</v>
      </c>
      <c r="G108" s="302"/>
      <c r="H108" s="291" t="s">
        <v>884</v>
      </c>
      <c r="I108" s="302" t="s">
        <v>30</v>
      </c>
      <c r="J108" s="302" t="s">
        <v>458</v>
      </c>
      <c r="K108" s="302" t="s">
        <v>917</v>
      </c>
      <c r="L108" s="302" t="s">
        <v>918</v>
      </c>
      <c r="M108" s="283" t="str">
        <f>IF(L108="NJAD","AA",IF(L108="AA","L",IF(L108="L","LK","GB")))</f>
        <v>AA</v>
      </c>
      <c r="N108" s="311" t="s">
        <v>511</v>
      </c>
      <c r="O108" s="302">
        <v>0</v>
      </c>
      <c r="P108" s="302" t="s">
        <v>30</v>
      </c>
      <c r="Q108" s="310">
        <v>44166</v>
      </c>
      <c r="R108" s="281" t="str">
        <f ca="1">DATEDIF(Q108,TODAY(), "Y") &amp; " Tahun " &amp; DATEDIF(Q108, TODAY(), "YM") &amp; " Bulan"</f>
        <v>5 Tahun 1 Bulan</v>
      </c>
      <c r="S108" s="311" t="s">
        <v>511</v>
      </c>
      <c r="T108" s="311" t="s">
        <v>511</v>
      </c>
      <c r="U108" s="281" t="e">
        <f ca="1">DATEDIF(T108,TODAY(), "Y") &amp; " Tahun " &amp; DATEDIF(T108, TODAY(), "YM") &amp; " Bulan"</f>
        <v>#VALUE!</v>
      </c>
      <c r="V108" s="302" t="s">
        <v>1047</v>
      </c>
      <c r="W108" s="302" t="s">
        <v>851</v>
      </c>
      <c r="X108" s="283" t="str">
        <f ca="1">IF(AND(OR(L108="AA",L108="L"),OR(S108="Penata Muda Tk. I Golongan III/b",S108="Penata Golongan III/c"),DATEDIF(Q108,TODAY(),"m")&gt;=23,ISBLANK(Z108),C108="Aktif"),"Nominasi Serdos","-")</f>
        <v>-</v>
      </c>
      <c r="Y108" s="302"/>
      <c r="Z108" s="311"/>
      <c r="AA108" s="302"/>
      <c r="AB108" s="302" t="s">
        <v>30</v>
      </c>
      <c r="AC108" s="311" t="s">
        <v>511</v>
      </c>
      <c r="AD108" s="302" t="s">
        <v>30</v>
      </c>
      <c r="AE108" s="302" t="s">
        <v>30</v>
      </c>
      <c r="AF108" s="302" t="s">
        <v>30</v>
      </c>
      <c r="AG108" s="302" t="s">
        <v>30</v>
      </c>
      <c r="AH108" s="302" t="s">
        <v>854</v>
      </c>
      <c r="AI108" s="302" t="s">
        <v>855</v>
      </c>
      <c r="AJ108" s="302" t="s">
        <v>897</v>
      </c>
      <c r="AK108" s="281" t="s">
        <v>898</v>
      </c>
      <c r="AL108" s="302" t="s">
        <v>899</v>
      </c>
      <c r="AM108" s="303">
        <v>44166</v>
      </c>
      <c r="AN108" s="287" t="str">
        <f ca="1">DATEDIF(AM108,TODAY(),"y")&amp;" tahun "&amp;DATEDIF(AM108,TODAY(),"ym")&amp;" bulan "</f>
        <v xml:space="preserve">5 tahun 1 bulan </v>
      </c>
      <c r="AO108" s="302" t="s">
        <v>868</v>
      </c>
      <c r="AP108" s="302" t="s">
        <v>980</v>
      </c>
      <c r="AQ108" s="302" t="s">
        <v>1285</v>
      </c>
      <c r="AR108" s="302" t="s">
        <v>459</v>
      </c>
      <c r="AS108" s="302">
        <v>81325336037</v>
      </c>
      <c r="AT108" s="302" t="s">
        <v>460</v>
      </c>
      <c r="AU108" s="302" t="s">
        <v>30</v>
      </c>
      <c r="AV108" s="295"/>
      <c r="AW108" s="281" t="str">
        <f>VLOOKUP(B108,Sheet2!A56:I173,9,FALSE)</f>
        <v>Ahmad Faisal Dahlan, S.T., M.Eng.</v>
      </c>
      <c r="AX108" s="281" t="s">
        <v>861</v>
      </c>
      <c r="AY108" s="281" t="str">
        <f>VLOOKUP(B108,Sheet2!A56:C173,2,FALSE)</f>
        <v>Malang</v>
      </c>
      <c r="AZ108" s="288">
        <f>VLOOKUP(B108,Sheet2!A56:C173,3,FALSE)</f>
        <v>34358</v>
      </c>
      <c r="BA108" s="281">
        <f ca="1">DATEDIF(AZ108, TODAY(),"y")</f>
        <v>31</v>
      </c>
      <c r="BB108" s="281"/>
      <c r="BC108" s="281"/>
      <c r="BD108" s="281"/>
      <c r="BE108" s="295"/>
      <c r="BF108" s="289"/>
      <c r="BG108" s="289"/>
      <c r="BH108" s="289"/>
      <c r="BI108" s="289"/>
      <c r="BJ108" s="289"/>
      <c r="BK108" s="289"/>
      <c r="BL108" s="288" t="str">
        <f>VLOOKUP(B108,Sheet2!A56:D173,4,FALSE)</f>
        <v>Dosen</v>
      </c>
      <c r="BM108" s="281"/>
      <c r="BN108" s="281"/>
      <c r="BO108" s="281"/>
      <c r="BP108" s="281"/>
      <c r="BQ108" s="281"/>
      <c r="BR108" s="288" t="str">
        <f>VLOOKUP(B108,Sheet2!A56:E173,5,FALSE)</f>
        <v>-</v>
      </c>
      <c r="BS108" s="288" t="str">
        <f>VLOOKUP(B108,Sheet2!A56:F173,6,FALSE)</f>
        <v>AFX</v>
      </c>
      <c r="BT108" s="288" t="str">
        <f>VLOOKUP(B108,Sheet2!A56:G173,7,FALSE)</f>
        <v>Fakultas Rekayasa Industri</v>
      </c>
      <c r="BU108" s="288"/>
      <c r="BV108" s="280">
        <f>COUNTIFS('Join TPA Dosen'!B:B,Dosen!B56)</f>
        <v>1</v>
      </c>
      <c r="BW108" s="273" t="str">
        <f>DATEDIF(AM108,DATE(2026,1,1),"y")&amp;" tahun "&amp;DATEDIF(AM108,DATE(2026,1,1),"ym")&amp;" bulan "</f>
        <v xml:space="preserve">5 tahun 1 bulan </v>
      </c>
      <c r="BX108" s="280" t="str">
        <f>VLOOKUP($B108,Sheet1!$A:$G,2,FALSE)</f>
        <v>Ma Chung Univ</v>
      </c>
      <c r="BY108" s="280" t="str">
        <f>VLOOKUP($B108,Sheet1!$A:$G,3,FALSE)</f>
        <v>Sains dan Teknologi/Teknik Industri</v>
      </c>
      <c r="BZ108" s="280" t="str">
        <f>VLOOKUP($B108,Sheet1!$A:$G,4,FALSE)</f>
        <v>Mahidol Univ</v>
      </c>
      <c r="CA108" s="280" t="str">
        <f>VLOOKUP($B108,Sheet1!$A:$G,5,FALSE)</f>
        <v>Engineering/ Industrial Engineering</v>
      </c>
      <c r="CB108" s="280" t="str">
        <f>VLOOKUP($B108,Sheet1!$A:$G,6,FALSE)</f>
        <v>King Mongkut's University of Technology Thonburi</v>
      </c>
      <c r="CC108" s="280" t="str">
        <f>VLOOKUP($B108,Sheet1!$A:$G,7,FALSE)</f>
        <v>Engineering/ Industrial Engineering</v>
      </c>
      <c r="CD108" s="280" t="e">
        <v>#N/A</v>
      </c>
      <c r="CE108" s="280" t="e">
        <v>#N/A</v>
      </c>
    </row>
    <row r="109" spans="1:83" ht="19.5">
      <c r="A109" s="281">
        <v>114</v>
      </c>
      <c r="B109" s="281" t="s">
        <v>155</v>
      </c>
      <c r="C109" s="281" t="s">
        <v>20</v>
      </c>
      <c r="D109" s="281" t="s">
        <v>107</v>
      </c>
      <c r="E109" s="281">
        <v>23900006</v>
      </c>
      <c r="F109" s="291" t="s">
        <v>156</v>
      </c>
      <c r="G109" s="291" t="s">
        <v>157</v>
      </c>
      <c r="H109" s="291" t="s">
        <v>884</v>
      </c>
      <c r="I109" s="295" t="s">
        <v>30</v>
      </c>
      <c r="J109" s="281" t="s">
        <v>57</v>
      </c>
      <c r="K109" s="281" t="s">
        <v>917</v>
      </c>
      <c r="L109" s="281" t="s">
        <v>918</v>
      </c>
      <c r="M109" s="283" t="str">
        <f>IF(L109="NJAD","AA",IF(L109="AA","L",IF(L109="L","LK","GB")))</f>
        <v>AA</v>
      </c>
      <c r="N109" s="282" t="s">
        <v>511</v>
      </c>
      <c r="O109" s="281">
        <v>0</v>
      </c>
      <c r="P109" s="281" t="s">
        <v>30</v>
      </c>
      <c r="Q109" s="284">
        <v>45170</v>
      </c>
      <c r="R109" s="281" t="str">
        <f ca="1">DATEDIF(Q109,TODAY(), "Y") &amp; " Tahun " &amp; DATEDIF(Q109, TODAY(), "YM") &amp; " Bulan"</f>
        <v>2 Tahun 4 Bulan</v>
      </c>
      <c r="S109" s="282" t="s">
        <v>511</v>
      </c>
      <c r="T109" s="282" t="s">
        <v>511</v>
      </c>
      <c r="U109" s="281" t="e">
        <f ca="1">DATEDIF(T109,TODAY(), "Y") &amp; " Tahun " &amp; DATEDIF(T109, TODAY(), "YM") &amp; " Bulan"</f>
        <v>#VALUE!</v>
      </c>
      <c r="V109" s="281" t="s">
        <v>1026</v>
      </c>
      <c r="W109" s="281" t="s">
        <v>851</v>
      </c>
      <c r="X109" s="283" t="str">
        <f ca="1">IF(AND(OR(L109="AA",L109="L"),OR(S109="Penata Muda Tk. I Golongan III/b",S109="Penata Golongan III/c"),DATEDIF(Q109,TODAY(),"m")&gt;=23,ISBLANK(Z109),C109="Aktif"),"Nominasi Serdos","-")</f>
        <v>-</v>
      </c>
      <c r="Y109" s="281"/>
      <c r="Z109" s="297"/>
      <c r="AA109" s="297"/>
      <c r="AB109" s="295" t="s">
        <v>30</v>
      </c>
      <c r="AC109" s="297" t="s">
        <v>511</v>
      </c>
      <c r="AD109" s="281" t="s">
        <v>30</v>
      </c>
      <c r="AE109" s="281" t="s">
        <v>30</v>
      </c>
      <c r="AF109" s="281" t="s">
        <v>30</v>
      </c>
      <c r="AG109" s="281" t="s">
        <v>30</v>
      </c>
      <c r="AH109" s="281" t="s">
        <v>854</v>
      </c>
      <c r="AI109" s="281" t="s">
        <v>855</v>
      </c>
      <c r="AJ109" s="281" t="s">
        <v>897</v>
      </c>
      <c r="AK109" s="281" t="s">
        <v>898</v>
      </c>
      <c r="AL109" s="281" t="s">
        <v>899</v>
      </c>
      <c r="AM109" s="286">
        <v>45170</v>
      </c>
      <c r="AN109" s="287" t="str">
        <f ca="1">DATEDIF(AM109,TODAY(),"y")&amp;" tahun "&amp;DATEDIF(AM109,TODAY(),"ym")&amp;" bulan "</f>
        <v xml:space="preserve">2 tahun 4 bulan </v>
      </c>
      <c r="AO109" s="281" t="s">
        <v>858</v>
      </c>
      <c r="AP109" s="281" t="s">
        <v>962</v>
      </c>
      <c r="AQ109" s="281" t="s">
        <v>1286</v>
      </c>
      <c r="AR109" s="281" t="s">
        <v>158</v>
      </c>
      <c r="AS109" s="281">
        <v>85175442445</v>
      </c>
      <c r="AT109" s="281" t="s">
        <v>159</v>
      </c>
      <c r="AU109" s="281" t="s">
        <v>30</v>
      </c>
      <c r="AV109" s="281"/>
      <c r="AW109" s="281" t="str">
        <f>VLOOKUP(B109,Sheet2!A115:I232,9,FALSE)</f>
        <v>Fandisya Rahman, S.Kom., M.Kom.</v>
      </c>
      <c r="AX109" s="281" t="s">
        <v>861</v>
      </c>
      <c r="AY109" s="281" t="str">
        <f>VLOOKUP(B109,Sheet2!A115:C232,2,FALSE)</f>
        <v>Malang</v>
      </c>
      <c r="AZ109" s="288">
        <f>VLOOKUP(B109,Sheet2!A115:C232,3,FALSE)</f>
        <v>33004</v>
      </c>
      <c r="BA109" s="281">
        <f ca="1">DATEDIF(AZ109, TODAY(),"y")</f>
        <v>35</v>
      </c>
      <c r="BB109" s="281"/>
      <c r="BC109" s="281"/>
      <c r="BD109" s="281"/>
      <c r="BE109" s="281"/>
      <c r="BF109" s="289"/>
      <c r="BG109" s="289"/>
      <c r="BH109" s="289"/>
      <c r="BI109" s="289"/>
      <c r="BJ109" s="304"/>
      <c r="BK109" s="304"/>
      <c r="BL109" s="288" t="str">
        <f>VLOOKUP(B109,Sheet2!A115:D232,4,FALSE)</f>
        <v>Dosen</v>
      </c>
      <c r="BM109" s="281"/>
      <c r="BN109" s="286"/>
      <c r="BO109" s="281"/>
      <c r="BP109" s="281"/>
      <c r="BQ109" s="281"/>
      <c r="BR109" s="288" t="str">
        <f>VLOOKUP(B109,Sheet2!A115:E232,5,FALSE)</f>
        <v>Communication and Information Technology Infrastructure (CITI)</v>
      </c>
      <c r="BS109" s="288" t="str">
        <f>VLOOKUP(B109,Sheet2!A115:F232,6,FALSE)</f>
        <v>FND</v>
      </c>
      <c r="BT109" s="288" t="str">
        <f>VLOOKUP(B109,Sheet2!A115:G232,7,FALSE)</f>
        <v>Fakultas Informatika</v>
      </c>
      <c r="BU109" s="288" t="str">
        <f>VLOOKUP(B109,Sheet2!A115:H232,8,FALSE)</f>
        <v>fandisya@telkomuniversity.ac.id</v>
      </c>
      <c r="BV109" s="280">
        <f>COUNTIFS('Join TPA Dosen'!B:B,Dosen!B115)</f>
        <v>1</v>
      </c>
      <c r="BW109" s="273" t="str">
        <f>DATEDIF(AM109,DATE(2026,1,1),"y")&amp;" tahun "&amp;DATEDIF(AM109,DATE(2026,1,1),"ym")&amp;" bulan "</f>
        <v xml:space="preserve">2 tahun 4 bulan </v>
      </c>
      <c r="BX109" s="280" t="str">
        <f>VLOOKUP($B109,Sheet1!$A:$G,2,FALSE)</f>
        <v>UB</v>
      </c>
      <c r="BY109" s="280" t="str">
        <f>VLOOKUP($B109,Sheet1!$A:$G,3,FALSE)</f>
        <v>Teknik Informatika</v>
      </c>
      <c r="BZ109" s="280" t="str">
        <f>VLOOKUP($B109,Sheet1!$A:$G,4,FALSE)</f>
        <v>UB</v>
      </c>
      <c r="CA109" s="280" t="str">
        <f>VLOOKUP($B109,Sheet1!$A:$G,5,FALSE)</f>
        <v>Ilmu Komputer</v>
      </c>
      <c r="CB109" s="280" t="str">
        <f>VLOOKUP($B109,Sheet1!$A:$G,6,FALSE)</f>
        <v>ITS</v>
      </c>
      <c r="CC109" s="280" t="str">
        <f>VLOOKUP($B109,Sheet1!$A:$G,7,FALSE)</f>
        <v>Ilmu Komputer</v>
      </c>
      <c r="CD109" s="280" t="s">
        <v>882</v>
      </c>
      <c r="CE109" s="280" t="s">
        <v>903</v>
      </c>
    </row>
    <row r="110" spans="1:83" ht="39.75">
      <c r="A110" s="281">
        <v>116</v>
      </c>
      <c r="B110" s="281" t="s">
        <v>84</v>
      </c>
      <c r="C110" s="281" t="s">
        <v>20</v>
      </c>
      <c r="D110" s="281" t="s">
        <v>22</v>
      </c>
      <c r="E110" s="281">
        <v>24970010</v>
      </c>
      <c r="F110" s="291"/>
      <c r="G110" s="291" t="s">
        <v>85</v>
      </c>
      <c r="H110" s="291" t="s">
        <v>884</v>
      </c>
      <c r="I110" s="281" t="s">
        <v>189</v>
      </c>
      <c r="J110" s="281" t="s">
        <v>86</v>
      </c>
      <c r="K110" s="283" t="s">
        <v>937</v>
      </c>
      <c r="L110" s="281" t="s">
        <v>918</v>
      </c>
      <c r="M110" s="283" t="str">
        <f>IF(L110="NJAD","AA",IF(L110="AA","L",IF(L110="L","LK","GB")))</f>
        <v>AA</v>
      </c>
      <c r="N110" s="282" t="s">
        <v>511</v>
      </c>
      <c r="O110" s="281">
        <v>0</v>
      </c>
      <c r="P110" s="281" t="s">
        <v>30</v>
      </c>
      <c r="Q110" s="284">
        <v>45536</v>
      </c>
      <c r="R110" s="281" t="str">
        <f ca="1">DATEDIF(Q110,TODAY(), "Y") &amp; " Tahun " &amp; DATEDIF(Q110, TODAY(), "YM") &amp; " Bulan"</f>
        <v>1 Tahun 4 Bulan</v>
      </c>
      <c r="S110" s="282" t="s">
        <v>511</v>
      </c>
      <c r="T110" s="282" t="s">
        <v>511</v>
      </c>
      <c r="U110" s="281" t="e">
        <f ca="1">DATEDIF(T110,TODAY(), "Y") &amp; " Tahun " &amp; DATEDIF(T110, TODAY(), "YM") &amp; " Bulan"</f>
        <v>#VALUE!</v>
      </c>
      <c r="V110" s="281" t="s">
        <v>850</v>
      </c>
      <c r="W110" s="281" t="s">
        <v>851</v>
      </c>
      <c r="X110" s="283" t="str">
        <f ca="1">IF(AND(OR(L110="AA",L110="L"),OR(S110="Penata Muda Tk. I Golongan III/b",S110="Penata Golongan III/c"),DATEDIF(Q110,TODAY(),"m")&gt;=23,ISBLANK(Z110),C110="Aktif"),"Nominasi Serdos","-")</f>
        <v>-</v>
      </c>
      <c r="Y110" s="281"/>
      <c r="Z110" s="297"/>
      <c r="AA110" s="297"/>
      <c r="AB110" s="295" t="s">
        <v>30</v>
      </c>
      <c r="AC110" s="297" t="s">
        <v>511</v>
      </c>
      <c r="AD110" s="281" t="s">
        <v>30</v>
      </c>
      <c r="AE110" s="281" t="s">
        <v>30</v>
      </c>
      <c r="AF110" s="281" t="s">
        <v>30</v>
      </c>
      <c r="AG110" s="281" t="s">
        <v>30</v>
      </c>
      <c r="AH110" s="281" t="s">
        <v>879</v>
      </c>
      <c r="AI110" s="281" t="s">
        <v>855</v>
      </c>
      <c r="AJ110" s="281" t="s">
        <v>897</v>
      </c>
      <c r="AK110" s="281" t="s">
        <v>898</v>
      </c>
      <c r="AL110" s="281" t="s">
        <v>899</v>
      </c>
      <c r="AM110" s="286">
        <v>45536</v>
      </c>
      <c r="AN110" s="287" t="str">
        <f ca="1">DATEDIF(AM110,TODAY(),"y")&amp;" tahun "&amp;DATEDIF(AM110,TODAY(),"ym")&amp;" bulan "</f>
        <v xml:space="preserve">1 tahun 4 bulan </v>
      </c>
      <c r="AO110" s="281" t="s">
        <v>858</v>
      </c>
      <c r="AP110" s="281" t="s">
        <v>859</v>
      </c>
      <c r="AQ110" s="281" t="s">
        <v>30</v>
      </c>
      <c r="AR110" s="281" t="s">
        <v>87</v>
      </c>
      <c r="AS110" s="281">
        <v>82134623762</v>
      </c>
      <c r="AT110" s="281" t="s">
        <v>88</v>
      </c>
      <c r="AU110" s="281"/>
      <c r="AV110" s="281"/>
      <c r="AW110" s="281" t="str">
        <f>VLOOKUP(B110,Sheet2!A117:I234,9,FALSE)</f>
        <v>N. Azizia Gia Mutiarasari, S.M., MBA</v>
      </c>
      <c r="AX110" s="281" t="s">
        <v>902</v>
      </c>
      <c r="AY110" s="281" t="str">
        <f>VLOOKUP(B110,Sheet2!A117:C234,2,FALSE)</f>
        <v>Brebes</v>
      </c>
      <c r="AZ110" s="288">
        <f>VLOOKUP(B110,Sheet2!A117:C234,3,FALSE)</f>
        <v>35659</v>
      </c>
      <c r="BA110" s="281">
        <f ca="1">DATEDIF(AZ110, TODAY(),"y")</f>
        <v>28</v>
      </c>
      <c r="BB110" s="281"/>
      <c r="BC110" s="281"/>
      <c r="BD110" s="281"/>
      <c r="BE110" s="281"/>
      <c r="BF110" s="289"/>
      <c r="BG110" s="289"/>
      <c r="BH110" s="289"/>
      <c r="BI110" s="289"/>
      <c r="BJ110" s="289"/>
      <c r="BK110" s="289"/>
      <c r="BL110" s="288" t="str">
        <f>VLOOKUP(B110,Sheet2!A117:D234,4,FALSE)</f>
        <v>Dosen</v>
      </c>
      <c r="BM110" s="281"/>
      <c r="BN110" s="286"/>
      <c r="BO110" s="281"/>
      <c r="BP110" s="281"/>
      <c r="BQ110" s="281"/>
      <c r="BR110" s="288"/>
      <c r="BS110" s="288" t="str">
        <f>VLOOKUP(B110,Sheet2!A117:F234,6,FALSE)</f>
        <v>AGM</v>
      </c>
      <c r="BT110" s="288" t="str">
        <f>VLOOKUP(B110,Sheet2!A117:G234,7,FALSE)</f>
        <v>Fakultas Ekonomi dan Bisnis</v>
      </c>
      <c r="BU110" s="288" t="str">
        <f>VLOOKUP(B110,Sheet2!A117:H234,8,FALSE)</f>
        <v>naziziagia@telkomuniversity.ac.id</v>
      </c>
      <c r="BV110" s="280">
        <f>COUNTIFS('Join TPA Dosen'!B:B,Dosen!B117)</f>
        <v>1</v>
      </c>
      <c r="BW110" s="273" t="str">
        <f>DATEDIF(AM110,DATE(2026,1,1),"y")&amp;" tahun "&amp;DATEDIF(AM110,DATE(2026,1,1),"ym")&amp;" bulan "</f>
        <v xml:space="preserve">1 tahun 4 bulan </v>
      </c>
      <c r="BX110" s="280">
        <f>VLOOKUP($B110,Sheet1!$A:$G,2,FALSE)</f>
        <v>0</v>
      </c>
      <c r="BY110" s="280">
        <f>VLOOKUP($B110,Sheet1!$A:$G,3,FALSE)</f>
        <v>0</v>
      </c>
      <c r="BZ110" s="280">
        <f>VLOOKUP($B110,Sheet1!$A:$G,4,FALSE)</f>
        <v>0</v>
      </c>
      <c r="CA110" s="280">
        <f>VLOOKUP($B110,Sheet1!$A:$G,5,FALSE)</f>
        <v>0</v>
      </c>
      <c r="CB110" s="280" t="str">
        <f>VLOOKUP($B110,Sheet1!$A:$G,6,FALSE)</f>
        <v>UNAIR</v>
      </c>
      <c r="CC110" s="280">
        <f>VLOOKUP($B110,Sheet1!$A:$G,7,FALSE)</f>
        <v>0</v>
      </c>
      <c r="CD110" s="280" t="s">
        <v>871</v>
      </c>
      <c r="CE110" s="280" t="s">
        <v>863</v>
      </c>
    </row>
    <row r="111" spans="1:83" ht="39.75">
      <c r="A111" s="281">
        <v>117</v>
      </c>
      <c r="B111" s="281" t="s">
        <v>160</v>
      </c>
      <c r="C111" s="281" t="s">
        <v>20</v>
      </c>
      <c r="D111" s="281" t="s">
        <v>107</v>
      </c>
      <c r="E111" s="281">
        <v>24980018</v>
      </c>
      <c r="F111" s="291"/>
      <c r="G111" s="291" t="s">
        <v>161</v>
      </c>
      <c r="H111" s="291" t="s">
        <v>884</v>
      </c>
      <c r="I111" s="295" t="s">
        <v>30</v>
      </c>
      <c r="J111" s="281" t="s">
        <v>1287</v>
      </c>
      <c r="K111" s="283" t="s">
        <v>937</v>
      </c>
      <c r="L111" s="281" t="s">
        <v>918</v>
      </c>
      <c r="M111" s="283" t="str">
        <f>IF(L111="NJAD","AA",IF(L111="AA","L",IF(L111="L","LK","GB")))</f>
        <v>AA</v>
      </c>
      <c r="N111" s="282" t="s">
        <v>511</v>
      </c>
      <c r="O111" s="281">
        <v>0</v>
      </c>
      <c r="P111" s="281" t="s">
        <v>30</v>
      </c>
      <c r="Q111" s="284">
        <v>45536</v>
      </c>
      <c r="R111" s="281" t="str">
        <f ca="1">DATEDIF(Q111,TODAY(), "Y") &amp; " Tahun " &amp; DATEDIF(Q111, TODAY(), "YM") &amp; " Bulan"</f>
        <v>1 Tahun 4 Bulan</v>
      </c>
      <c r="S111" s="282" t="s">
        <v>511</v>
      </c>
      <c r="T111" s="282" t="s">
        <v>511</v>
      </c>
      <c r="U111" s="281" t="e">
        <f ca="1">DATEDIF(T111,TODAY(), "Y") &amp; " Tahun " &amp; DATEDIF(T111, TODAY(), "YM") &amp; " Bulan"</f>
        <v>#VALUE!</v>
      </c>
      <c r="V111" s="281" t="s">
        <v>1026</v>
      </c>
      <c r="W111" s="281" t="s">
        <v>851</v>
      </c>
      <c r="X111" s="283" t="str">
        <f ca="1">IF(AND(OR(L111="AA",L111="L"),OR(S111="Penata Muda Tk. I Golongan III/b",S111="Penata Golongan III/c"),DATEDIF(Q111,TODAY(),"m")&gt;=23,ISBLANK(Z111),C111="Aktif"),"Nominasi Serdos","-")</f>
        <v>-</v>
      </c>
      <c r="Y111" s="281"/>
      <c r="Z111" s="297"/>
      <c r="AA111" s="297"/>
      <c r="AB111" s="295" t="s">
        <v>30</v>
      </c>
      <c r="AC111" s="297" t="s">
        <v>511</v>
      </c>
      <c r="AD111" s="281" t="s">
        <v>30</v>
      </c>
      <c r="AE111" s="281" t="s">
        <v>30</v>
      </c>
      <c r="AF111" s="281" t="s">
        <v>30</v>
      </c>
      <c r="AG111" s="281" t="s">
        <v>30</v>
      </c>
      <c r="AH111" s="281" t="s">
        <v>879</v>
      </c>
      <c r="AI111" s="281"/>
      <c r="AJ111" s="281"/>
      <c r="AK111" s="281"/>
      <c r="AL111" s="281"/>
      <c r="AM111" s="286">
        <v>45536</v>
      </c>
      <c r="AN111" s="287" t="str">
        <f ca="1">DATEDIF(AM111,TODAY(),"y")&amp;" tahun "&amp;DATEDIF(AM111,TODAY(),"ym")&amp;" bulan "</f>
        <v xml:space="preserve">1 tahun 4 bulan </v>
      </c>
      <c r="AO111" s="281" t="s">
        <v>858</v>
      </c>
      <c r="AP111" s="281" t="s">
        <v>962</v>
      </c>
      <c r="AQ111" s="281" t="s">
        <v>30</v>
      </c>
      <c r="AR111" s="281" t="s">
        <v>163</v>
      </c>
      <c r="AS111" s="281">
        <v>81225763073</v>
      </c>
      <c r="AT111" s="281" t="s">
        <v>164</v>
      </c>
      <c r="AU111" s="281" t="s">
        <v>30</v>
      </c>
      <c r="AV111" s="281"/>
      <c r="AW111" s="281" t="str">
        <f>VLOOKUP(B111,Sheet2!A118:I235,9,FALSE)</f>
        <v>Dimas Chaerul Ekty Saputra, S.Kom., M.Sc.</v>
      </c>
      <c r="AX111" s="281" t="s">
        <v>861</v>
      </c>
      <c r="AY111" s="281" t="str">
        <f>VLOOKUP(B111,Sheet2!A118:C235,2,FALSE)</f>
        <v>Yogyakarta</v>
      </c>
      <c r="AZ111" s="288">
        <f>VLOOKUP(B111,Sheet2!A118:C235,3,FALSE)</f>
        <v>35975</v>
      </c>
      <c r="BA111" s="281">
        <f ca="1">DATEDIF(AZ111, TODAY(),"y")</f>
        <v>27</v>
      </c>
      <c r="BB111" s="281"/>
      <c r="BC111" s="281"/>
      <c r="BD111" s="281"/>
      <c r="BE111" s="281"/>
      <c r="BF111" s="289"/>
      <c r="BG111" s="289"/>
      <c r="BH111" s="289"/>
      <c r="BI111" s="289"/>
      <c r="BJ111" s="289"/>
      <c r="BK111" s="289"/>
      <c r="BL111" s="288" t="str">
        <f>VLOOKUP(B111,Sheet2!A118:D235,4,FALSE)</f>
        <v>Dosen</v>
      </c>
      <c r="BM111" s="281"/>
      <c r="BN111" s="286"/>
      <c r="BO111" s="281"/>
      <c r="BP111" s="281"/>
      <c r="BQ111" s="281"/>
      <c r="BR111" s="288"/>
      <c r="BS111" s="288" t="str">
        <f>VLOOKUP(B111,Sheet2!A118:F235,6,FALSE)</f>
        <v>DCE</v>
      </c>
      <c r="BT111" s="288" t="str">
        <f>VLOOKUP(B111,Sheet2!A118:G235,7,FALSE)</f>
        <v>Fakultas Informatika</v>
      </c>
      <c r="BU111" s="288" t="str">
        <f>VLOOKUP(B111,Sheet2!A118:H235,8,FALSE)</f>
        <v>dimaschaerulekty@telkomuniversity.ac.id</v>
      </c>
      <c r="BV111" s="280">
        <f>COUNTIFS('Join TPA Dosen'!B:B,Dosen!B118)</f>
        <v>1</v>
      </c>
      <c r="BW111" s="273" t="str">
        <f>DATEDIF(AM111,DATE(2026,1,1),"y")&amp;" tahun "&amp;DATEDIF(AM111,DATE(2026,1,1),"ym")&amp;" bulan "</f>
        <v xml:space="preserve">1 tahun 4 bulan </v>
      </c>
      <c r="BX111" s="280">
        <f>VLOOKUP($B111,Sheet1!$A:$G,2,FALSE)</f>
        <v>0</v>
      </c>
      <c r="BY111" s="280">
        <f>VLOOKUP($B111,Sheet1!$A:$G,3,FALSE)</f>
        <v>0</v>
      </c>
      <c r="BZ111" s="280">
        <f>VLOOKUP($B111,Sheet1!$A:$G,4,FALSE)</f>
        <v>0</v>
      </c>
      <c r="CA111" s="280">
        <f>VLOOKUP($B111,Sheet1!$A:$G,5,FALSE)</f>
        <v>0</v>
      </c>
      <c r="CB111" s="280">
        <f>VLOOKUP($B111,Sheet1!$A:$G,6,FALSE)</f>
        <v>0</v>
      </c>
      <c r="CC111" s="280">
        <f>VLOOKUP($B111,Sheet1!$A:$G,7,FALSE)</f>
        <v>0</v>
      </c>
      <c r="CD111" s="280" t="s">
        <v>882</v>
      </c>
      <c r="CE111" s="280" t="s">
        <v>903</v>
      </c>
    </row>
    <row r="112" spans="1:83" ht="18.95">
      <c r="A112" s="281">
        <v>112</v>
      </c>
      <c r="B112" s="281" t="s">
        <v>473</v>
      </c>
      <c r="C112" s="281" t="s">
        <v>46</v>
      </c>
      <c r="D112" s="281" t="s">
        <v>448</v>
      </c>
      <c r="E112" s="302">
        <v>20950049</v>
      </c>
      <c r="F112" s="302"/>
      <c r="G112" s="302"/>
      <c r="H112" s="291" t="s">
        <v>884</v>
      </c>
      <c r="I112" s="302" t="s">
        <v>30</v>
      </c>
      <c r="J112" s="302" t="s">
        <v>30</v>
      </c>
      <c r="K112" s="302" t="s">
        <v>30</v>
      </c>
      <c r="L112" s="302" t="s">
        <v>30</v>
      </c>
      <c r="M112" s="283" t="str">
        <f>IF(L112="NJAD","AA",IF(L112="AA","L",IF(L112="L","LK","GB")))</f>
        <v>GB</v>
      </c>
      <c r="N112" s="312" t="s">
        <v>30</v>
      </c>
      <c r="O112" s="302" t="s">
        <v>30</v>
      </c>
      <c r="P112" s="302" t="s">
        <v>30</v>
      </c>
      <c r="Q112" s="313"/>
      <c r="R112" s="281" t="str">
        <f ca="1">DATEDIF(Q112,TODAY(), "Y") &amp; " Tahun " &amp; DATEDIF(Q112, TODAY(), "YM") &amp; " Bulan"</f>
        <v>126 Tahun 0 Bulan</v>
      </c>
      <c r="S112" s="302" t="s">
        <v>30</v>
      </c>
      <c r="T112" s="302" t="s">
        <v>30</v>
      </c>
      <c r="U112" s="281" t="e">
        <f ca="1">DATEDIF(T112,TODAY(), "Y") &amp; " Tahun " &amp; DATEDIF(T112, TODAY(), "YM") &amp; " Bulan"</f>
        <v>#VALUE!</v>
      </c>
      <c r="V112" s="306" t="s">
        <v>30</v>
      </c>
      <c r="W112" s="302" t="s">
        <v>30</v>
      </c>
      <c r="X112" s="283" t="str">
        <f ca="1">IF(AND(OR(L112="AA",L112="L"),OR(S112="Penata Muda Tk. I Golongan III/b",S112="Penata Golongan III/c"),DATEDIF(Q112,TODAY(),"m")&gt;=23,ISBLANK(Z112),C112="Aktif"),"Nominasi Serdos","-")</f>
        <v>-</v>
      </c>
      <c r="Y112" s="281"/>
      <c r="Z112" s="302" t="s">
        <v>30</v>
      </c>
      <c r="AA112" s="302" t="s">
        <v>30</v>
      </c>
      <c r="AB112" s="302" t="s">
        <v>30</v>
      </c>
      <c r="AC112" s="302" t="s">
        <v>30</v>
      </c>
      <c r="AD112" s="302" t="s">
        <v>30</v>
      </c>
      <c r="AE112" s="302" t="s">
        <v>30</v>
      </c>
      <c r="AF112" s="302" t="s">
        <v>30</v>
      </c>
      <c r="AG112" s="302" t="s">
        <v>30</v>
      </c>
      <c r="AH112" s="302" t="s">
        <v>30</v>
      </c>
      <c r="AI112" s="302" t="s">
        <v>30</v>
      </c>
      <c r="AJ112" s="302" t="s">
        <v>30</v>
      </c>
      <c r="AK112" s="302" t="s">
        <v>30</v>
      </c>
      <c r="AM112" s="303">
        <v>44166</v>
      </c>
      <c r="AN112" s="287" t="str">
        <f ca="1">DATEDIF(AM112,TODAY(),"y")&amp;" tahun "&amp;DATEDIF(AM112,TODAY(),"ym")&amp;" bulan "</f>
        <v xml:space="preserve">5 tahun 1 bulan </v>
      </c>
      <c r="AO112" s="302" t="s">
        <v>30</v>
      </c>
      <c r="AP112" s="302" t="s">
        <v>30</v>
      </c>
      <c r="AQ112" s="302" t="s">
        <v>30</v>
      </c>
      <c r="AR112" s="302" t="s">
        <v>30</v>
      </c>
      <c r="AS112" s="302" t="s">
        <v>30</v>
      </c>
      <c r="AT112" s="302" t="s">
        <v>30</v>
      </c>
      <c r="AU112" s="302" t="s">
        <v>30</v>
      </c>
      <c r="AV112" s="281"/>
      <c r="AW112" s="281">
        <f>VLOOKUP(B112,Sheet2!A113:I230,9,FALSE)</f>
        <v>0</v>
      </c>
      <c r="AX112" s="281" t="s">
        <v>861</v>
      </c>
      <c r="AY112" s="281">
        <f>VLOOKUP(B112,Sheet2!A113:C230,2,FALSE)</f>
        <v>0</v>
      </c>
      <c r="AZ112" s="288" t="e">
        <f>VLOOKUP(B112,Sheet2!A113:C230,3,FALSE)</f>
        <v>#N/A</v>
      </c>
      <c r="BA112" s="281" t="e">
        <f ca="1">DATEDIF(AZ112, TODAY(),"y")</f>
        <v>#N/A</v>
      </c>
      <c r="BB112" s="281"/>
      <c r="BC112" s="281"/>
      <c r="BD112" s="281"/>
      <c r="BE112" s="281"/>
      <c r="BF112" s="289"/>
      <c r="BG112" s="289"/>
      <c r="BH112" s="289"/>
      <c r="BI112" s="289"/>
      <c r="BJ112" s="289"/>
      <c r="BK112" s="289"/>
      <c r="BL112" s="288" t="s">
        <v>21</v>
      </c>
      <c r="BM112" s="281"/>
      <c r="BN112" s="281"/>
      <c r="BO112" s="281"/>
      <c r="BP112" s="281"/>
      <c r="BQ112" s="281"/>
      <c r="BR112" s="288" t="e">
        <f>VLOOKUP(B112,Sheet2!A113:E230,5,FALSE)</f>
        <v>#N/A</v>
      </c>
      <c r="BS112" s="288" t="e">
        <f>VLOOKUP(B112,Sheet2!A113:F230,6,FALSE)</f>
        <v>#N/A</v>
      </c>
      <c r="BT112" s="288"/>
      <c r="BU112" s="288" t="str">
        <f>VLOOKUP(B112,Sheet2!A113:H230,8,FALSE)</f>
        <v xml:space="preserve"> </v>
      </c>
      <c r="BV112" s="280">
        <f>COUNTIFS('Join TPA Dosen'!B:B,Dosen!B113)</f>
        <v>1</v>
      </c>
      <c r="BW112" s="273" t="str">
        <f>DATEDIF(AM112,DATE(2026,1,1),"y")&amp;" tahun "&amp;DATEDIF(AM112,DATE(2026,1,1),"ym")&amp;" bulan "</f>
        <v xml:space="preserve">5 tahun 1 bulan </v>
      </c>
      <c r="BX112" s="280">
        <f>VLOOKUP($B112,Sheet1!$A:$G,2,FALSE)</f>
        <v>0</v>
      </c>
      <c r="BY112" s="280">
        <f>VLOOKUP($B112,Sheet1!$A:$G,3,FALSE)</f>
        <v>0</v>
      </c>
      <c r="BZ112" s="280">
        <f>VLOOKUP($B112,Sheet1!$A:$G,4,FALSE)</f>
        <v>0</v>
      </c>
      <c r="CA112" s="280">
        <f>VLOOKUP($B112,Sheet1!$A:$G,5,FALSE)</f>
        <v>0</v>
      </c>
      <c r="CB112" s="280">
        <f>VLOOKUP($B112,Sheet1!$A:$G,6,FALSE)</f>
        <v>0</v>
      </c>
      <c r="CC112" s="280">
        <f>VLOOKUP($B112,Sheet1!$A:$G,7,FALSE)</f>
        <v>0</v>
      </c>
      <c r="CD112" s="280" t="e">
        <v>#N/A</v>
      </c>
      <c r="CE112" s="280" t="e">
        <v>#N/A</v>
      </c>
    </row>
    <row r="113" spans="1:83" ht="19.5">
      <c r="A113" s="281">
        <v>118</v>
      </c>
      <c r="B113" s="281" t="s">
        <v>19</v>
      </c>
      <c r="C113" s="281" t="s">
        <v>20</v>
      </c>
      <c r="D113" s="281" t="s">
        <v>22</v>
      </c>
      <c r="E113" s="281">
        <v>24800005</v>
      </c>
      <c r="F113" s="291" t="s">
        <v>1288</v>
      </c>
      <c r="G113" s="291" t="s">
        <v>23</v>
      </c>
      <c r="H113" s="291" t="s">
        <v>884</v>
      </c>
      <c r="I113" s="281" t="s">
        <v>24</v>
      </c>
      <c r="J113" s="281" t="s">
        <v>25</v>
      </c>
      <c r="K113" s="281" t="s">
        <v>874</v>
      </c>
      <c r="L113" s="281" t="s">
        <v>775</v>
      </c>
      <c r="M113" s="283" t="str">
        <f>IF(L113="NJAD","AA",IF(L113="AA","L",IF(L113="L","LK","GB")))</f>
        <v>LK</v>
      </c>
      <c r="N113" s="282" t="s">
        <v>511</v>
      </c>
      <c r="O113" s="281">
        <v>200</v>
      </c>
      <c r="P113" s="281" t="s">
        <v>1289</v>
      </c>
      <c r="Q113" s="284">
        <v>44090</v>
      </c>
      <c r="R113" s="281" t="str">
        <f ca="1">DATEDIF(Q113,TODAY(), "Y") &amp; " Tahun " &amp; DATEDIF(Q113, TODAY(), "YM") &amp; " Bulan"</f>
        <v>5 Tahun 4 Bulan</v>
      </c>
      <c r="S113" s="281" t="s">
        <v>876</v>
      </c>
      <c r="T113" s="285">
        <v>44197</v>
      </c>
      <c r="U113" s="281" t="str">
        <f ca="1">DATEDIF(T113,TODAY(), "Y") &amp; " Tahun " &amp; DATEDIF(T113, TODAY(), "YM") &amp; " Bulan"</f>
        <v>5 Tahun 0 Bulan</v>
      </c>
      <c r="V113" s="281" t="s">
        <v>850</v>
      </c>
      <c r="W113" s="281" t="s">
        <v>851</v>
      </c>
      <c r="X113" s="283" t="str">
        <f ca="1">IF(AND(OR(L113="AA",L113="L"),OR(S113="Penata Muda Tk. I Golongan III/b",S113="Penata Golongan III/c"),DATEDIF(Q113,TODAY(),"m")&gt;=23,ISBLANK(Z113),C113="Aktif"),"Nominasi Serdos","-")</f>
        <v>-</v>
      </c>
      <c r="Y113" s="281"/>
      <c r="Z113" s="295" t="s">
        <v>852</v>
      </c>
      <c r="AA113" s="295">
        <v>17107107203040</v>
      </c>
      <c r="AB113" s="295" t="s">
        <v>1290</v>
      </c>
      <c r="AC113" s="285">
        <v>42934</v>
      </c>
      <c r="AD113" s="281" t="s">
        <v>30</v>
      </c>
      <c r="AE113" s="281" t="s">
        <v>30</v>
      </c>
      <c r="AF113" s="281" t="s">
        <v>30</v>
      </c>
      <c r="AG113" s="281" t="s">
        <v>30</v>
      </c>
      <c r="AH113" s="281" t="s">
        <v>879</v>
      </c>
      <c r="AI113" s="281" t="s">
        <v>30</v>
      </c>
      <c r="AJ113" s="281" t="s">
        <v>30</v>
      </c>
      <c r="AK113" s="281" t="s">
        <v>30</v>
      </c>
      <c r="AM113" s="286">
        <v>45544</v>
      </c>
      <c r="AN113" s="287" t="str">
        <f ca="1">DATEDIF(AM113,TODAY(),"y")&amp;" tahun "&amp;DATEDIF(AM113,TODAY(),"ym")&amp;" bulan "</f>
        <v xml:space="preserve">1 tahun 4 bulan </v>
      </c>
      <c r="AO113" s="281" t="s">
        <v>858</v>
      </c>
      <c r="AP113" s="281" t="s">
        <v>859</v>
      </c>
      <c r="AQ113" s="281" t="s">
        <v>30</v>
      </c>
      <c r="AR113" s="281" t="s">
        <v>26</v>
      </c>
      <c r="AS113" s="281">
        <v>85235684085</v>
      </c>
      <c r="AT113" s="281" t="s">
        <v>27</v>
      </c>
      <c r="AU113" s="281" t="s">
        <v>30</v>
      </c>
      <c r="AV113" s="281"/>
      <c r="AW113" s="281" t="str">
        <f>VLOOKUP(B113,Sheet2!A119:I236,9,FALSE)</f>
        <v>Dr.M. Bambang Agus Sumantri, S.IP., M.M.</v>
      </c>
      <c r="AX113" s="281" t="s">
        <v>861</v>
      </c>
      <c r="AY113" s="281" t="str">
        <f>VLOOKUP(B113,Sheet2!A119:C236,2,FALSE)</f>
        <v>Kediri</v>
      </c>
      <c r="AZ113" s="288">
        <f>VLOOKUP(B113,Sheet2!A119:C236,3,FALSE)</f>
        <v>29463</v>
      </c>
      <c r="BA113" s="281">
        <f ca="1">DATEDIF(AZ113, TODAY(),"y")</f>
        <v>45</v>
      </c>
      <c r="BB113" s="281"/>
      <c r="BC113" s="281"/>
      <c r="BD113" s="281"/>
      <c r="BE113" s="295"/>
      <c r="BF113" s="289"/>
      <c r="BG113" s="289"/>
      <c r="BH113" s="289"/>
      <c r="BI113" s="289"/>
      <c r="BJ113" s="289"/>
      <c r="BK113" s="289"/>
      <c r="BL113" s="288" t="str">
        <f>VLOOKUP(B113,Sheet2!A119:D236,4,FALSE)</f>
        <v>Dosen</v>
      </c>
      <c r="BM113" s="281"/>
      <c r="BN113" s="286"/>
      <c r="BO113" s="281"/>
      <c r="BP113" s="281"/>
      <c r="BQ113" s="281"/>
      <c r="BR113" s="288"/>
      <c r="BS113" s="288" t="str">
        <f>VLOOKUP(B113,Sheet2!A119:F236,6,FALSE)</f>
        <v>BSG</v>
      </c>
      <c r="BT113" s="288" t="str">
        <f>VLOOKUP(B113,Sheet2!A119:G236,7,FALSE)</f>
        <v>Fakultas Ekonomi dan Bisnis</v>
      </c>
      <c r="BU113" s="288" t="str">
        <f>VLOOKUP(B113,Sheet2!A119:H236,8,FALSE)</f>
        <v>bambangagussumantri@telkomuniversity.ac.id</v>
      </c>
      <c r="BV113" s="280">
        <f>COUNTIFS('Join TPA Dosen'!B:B,Dosen!B7)</f>
        <v>1</v>
      </c>
      <c r="BW113" s="273" t="str">
        <f>DATEDIF(AM113,DATE(2026,1,1),"y")&amp;" tahun "&amp;DATEDIF(AM113,DATE(2026,1,1),"ym")&amp;" bulan "</f>
        <v xml:space="preserve">1 tahun 3 bulan </v>
      </c>
      <c r="BX113" s="280">
        <f>VLOOKUP($B113,Sheet1!$A:$G,2,FALSE)</f>
        <v>0</v>
      </c>
      <c r="BY113" s="280">
        <f>VLOOKUP($B113,Sheet1!$A:$G,3,FALSE)</f>
        <v>0</v>
      </c>
      <c r="BZ113" s="280">
        <f>VLOOKUP($B113,Sheet1!$A:$G,4,FALSE)</f>
        <v>0</v>
      </c>
      <c r="CA113" s="280">
        <f>VLOOKUP($B113,Sheet1!$A:$G,5,FALSE)</f>
        <v>0</v>
      </c>
      <c r="CB113" s="280" t="str">
        <f>VLOOKUP($B113,Sheet1!$A:$G,6,FALSE)</f>
        <v>Universitas Jenderal Soedirman</v>
      </c>
      <c r="CC113" s="280" t="str">
        <f>VLOOKUP($B113,Sheet1!$A:$G,7,FALSE)</f>
        <v>Ilmu Manajemen</v>
      </c>
      <c r="CD113" s="280" t="s">
        <v>871</v>
      </c>
      <c r="CE113" s="280" t="s">
        <v>863</v>
      </c>
    </row>
    <row r="114" spans="1:83" ht="19.5">
      <c r="A114" s="281">
        <v>119</v>
      </c>
      <c r="B114" s="281" t="s">
        <v>453</v>
      </c>
      <c r="C114" s="281" t="s">
        <v>20</v>
      </c>
      <c r="D114" s="281" t="s">
        <v>448</v>
      </c>
      <c r="E114" s="281">
        <v>25820001</v>
      </c>
      <c r="F114" s="291" t="s">
        <v>1291</v>
      </c>
      <c r="G114" s="291" t="s">
        <v>454</v>
      </c>
      <c r="H114" s="291" t="s">
        <v>884</v>
      </c>
      <c r="I114" s="281" t="s">
        <v>189</v>
      </c>
      <c r="J114" s="281" t="s">
        <v>176</v>
      </c>
      <c r="K114" s="281" t="s">
        <v>874</v>
      </c>
      <c r="L114" s="281" t="s">
        <v>775</v>
      </c>
      <c r="M114" s="283" t="str">
        <f>IF(L114="NJAD","AA",IF(L114="AA","L",IF(L114="L","LK","GB")))</f>
        <v>LK</v>
      </c>
      <c r="N114" s="282" t="s">
        <v>511</v>
      </c>
      <c r="O114" s="281">
        <v>200</v>
      </c>
      <c r="P114" s="281" t="s">
        <v>1292</v>
      </c>
      <c r="Q114" s="284">
        <v>41365</v>
      </c>
      <c r="R114" s="281" t="str">
        <f ca="1">DATEDIF(Q114,TODAY(), "Y") &amp; " Tahun " &amp; DATEDIF(Q114, TODAY(), "YM") &amp; " Bulan"</f>
        <v>12 Tahun 9 Bulan</v>
      </c>
      <c r="S114" s="281" t="s">
        <v>876</v>
      </c>
      <c r="T114" s="285">
        <v>45078</v>
      </c>
      <c r="U114" s="281" t="str">
        <f ca="1">DATEDIF(T114,TODAY(), "Y") &amp; " Tahun " &amp; DATEDIF(T114, TODAY(), "YM") &amp; " Bulan"</f>
        <v>2 Tahun 7 Bulan</v>
      </c>
      <c r="V114" s="281" t="s">
        <v>1047</v>
      </c>
      <c r="W114" s="281" t="s">
        <v>851</v>
      </c>
      <c r="X114" s="283" t="str">
        <f ca="1">IF(AND(OR(L114="AA",L114="L"),OR(S114="Penata Muda Tk. I Golongan III/b",S114="Penata Golongan III/c"),DATEDIF(Q114,TODAY(),"m")&gt;=23,ISBLANK(Z114),C114="Aktif"),"Nominasi Serdos","-")</f>
        <v>-</v>
      </c>
      <c r="Y114" s="281"/>
      <c r="Z114" s="295" t="s">
        <v>852</v>
      </c>
      <c r="AA114" s="290">
        <v>15107106601366</v>
      </c>
      <c r="AB114" s="281">
        <v>150010030030</v>
      </c>
      <c r="AC114" s="285">
        <v>42275</v>
      </c>
      <c r="AD114" s="281" t="s">
        <v>30</v>
      </c>
      <c r="AE114" s="281" t="s">
        <v>30</v>
      </c>
      <c r="AF114" s="281" t="s">
        <v>30</v>
      </c>
      <c r="AG114" s="281" t="s">
        <v>30</v>
      </c>
      <c r="AH114" s="281" t="s">
        <v>879</v>
      </c>
      <c r="AI114" s="281" t="s">
        <v>30</v>
      </c>
      <c r="AJ114" s="281" t="s">
        <v>30</v>
      </c>
      <c r="AK114" s="281" t="s">
        <v>30</v>
      </c>
      <c r="AM114" s="286">
        <v>45689</v>
      </c>
      <c r="AN114" s="287" t="str">
        <f ca="1">DATEDIF(AM114,TODAY(),"y")&amp;" tahun "&amp;DATEDIF(AM114,TODAY(),"ym")&amp;" bulan "</f>
        <v xml:space="preserve">0 tahun 11 bulan </v>
      </c>
      <c r="AO114" s="281" t="s">
        <v>868</v>
      </c>
      <c r="AP114" s="281" t="s">
        <v>980</v>
      </c>
      <c r="AQ114" s="281" t="s">
        <v>1293</v>
      </c>
      <c r="AR114" s="281" t="s">
        <v>455</v>
      </c>
      <c r="AS114" s="281">
        <v>82245916300</v>
      </c>
      <c r="AT114" s="281" t="s">
        <v>456</v>
      </c>
      <c r="AU114" s="281" t="s">
        <v>30</v>
      </c>
      <c r="AV114" s="281"/>
      <c r="AW114" s="281" t="s">
        <v>1294</v>
      </c>
      <c r="AX114" s="281" t="s">
        <v>902</v>
      </c>
      <c r="AY114" s="281" t="s">
        <v>1295</v>
      </c>
      <c r="AZ114" s="288">
        <v>30012</v>
      </c>
      <c r="BA114" s="281">
        <f ca="1">DATEDIF(AZ114, TODAY(),"y")</f>
        <v>43</v>
      </c>
      <c r="BB114" s="281"/>
      <c r="BC114" s="281"/>
      <c r="BD114" s="281"/>
      <c r="BE114" s="295"/>
      <c r="BF114" s="289"/>
      <c r="BG114" s="289"/>
      <c r="BH114" s="289"/>
      <c r="BI114" s="289"/>
      <c r="BJ114" s="289"/>
      <c r="BK114" s="289"/>
      <c r="BL114" s="288" t="s">
        <v>21</v>
      </c>
      <c r="BM114" s="281"/>
      <c r="BN114" s="286"/>
      <c r="BO114" s="281"/>
      <c r="BP114" s="281"/>
      <c r="BQ114" s="281"/>
      <c r="BR114" s="288" t="e">
        <f>VLOOKUP(B114,Sheet2!A120:E237,5,FALSE)</f>
        <v>#N/A</v>
      </c>
      <c r="BS114" s="288" t="s">
        <v>1293</v>
      </c>
      <c r="BT114" s="288" t="s">
        <v>1296</v>
      </c>
      <c r="BU114" s="288" t="s">
        <v>1297</v>
      </c>
      <c r="BV114" s="280">
        <f>COUNTIFS('Join TPA Dosen'!B:B,Dosen!B25)</f>
        <v>1</v>
      </c>
      <c r="BW114" s="273" t="str">
        <f>DATEDIF(AM114,DATE(2026,1,1),"y")&amp;" tahun "&amp;DATEDIF(AM114,DATE(2026,1,1),"ym")&amp;" bulan "</f>
        <v xml:space="preserve">0 tahun 11 bulan </v>
      </c>
      <c r="BX114" s="280" t="e">
        <f>VLOOKUP($B114,Sheet1!$A:$G,2,FALSE)</f>
        <v>#N/A</v>
      </c>
      <c r="BY114" s="280" t="e">
        <f>VLOOKUP($B114,Sheet1!$A:$G,3,FALSE)</f>
        <v>#N/A</v>
      </c>
      <c r="BZ114" s="280" t="e">
        <f>VLOOKUP($B114,Sheet1!$A:$G,4,FALSE)</f>
        <v>#N/A</v>
      </c>
      <c r="CA114" s="280" t="e">
        <f>VLOOKUP($B114,Sheet1!$A:$G,5,FALSE)</f>
        <v>#N/A</v>
      </c>
      <c r="CB114" s="280" t="e">
        <f>VLOOKUP($B114,Sheet1!$A:$G,6,FALSE)</f>
        <v>#N/A</v>
      </c>
      <c r="CC114" s="280" t="e">
        <f>VLOOKUP($B114,Sheet1!$A:$G,7,FALSE)</f>
        <v>#N/A</v>
      </c>
      <c r="CD114" s="280" t="s">
        <v>871</v>
      </c>
      <c r="CE114" s="280" t="s">
        <v>863</v>
      </c>
    </row>
    <row r="115" spans="1:83" ht="18.95">
      <c r="A115" s="281">
        <v>7</v>
      </c>
      <c r="B115" s="281" t="s">
        <v>519</v>
      </c>
      <c r="C115" s="281" t="s">
        <v>20</v>
      </c>
      <c r="D115" s="281" t="s">
        <v>475</v>
      </c>
      <c r="E115" s="281">
        <v>19890002</v>
      </c>
      <c r="F115" s="281" t="s">
        <v>1298</v>
      </c>
      <c r="G115" s="282" t="s">
        <v>520</v>
      </c>
      <c r="H115" s="281" t="s">
        <v>845</v>
      </c>
      <c r="I115" s="281" t="s">
        <v>30</v>
      </c>
      <c r="J115" s="281" t="s">
        <v>176</v>
      </c>
      <c r="K115" s="281" t="s">
        <v>846</v>
      </c>
      <c r="L115" s="281" t="s">
        <v>847</v>
      </c>
      <c r="M115" s="283" t="str">
        <f>IF(L115="NJAD","AA",IF(L115="AA","L",IF(L115="L","LK","GB")))</f>
        <v>L</v>
      </c>
      <c r="N115" s="282" t="s">
        <v>511</v>
      </c>
      <c r="O115" s="281">
        <v>150</v>
      </c>
      <c r="P115" s="281" t="s">
        <v>1299</v>
      </c>
      <c r="Q115" s="284">
        <v>44399</v>
      </c>
      <c r="R115" s="281" t="str">
        <f ca="1">DATEDIF(Q115,TODAY(), "Y") &amp; " Tahun " &amp; DATEDIF(Q115, TODAY(), "YM") &amp; " Bulan"</f>
        <v>4 Tahun 5 Bulan</v>
      </c>
      <c r="S115" s="281" t="s">
        <v>849</v>
      </c>
      <c r="T115" s="285">
        <v>44593</v>
      </c>
      <c r="U115" s="281" t="str">
        <f ca="1">DATEDIF(T115,TODAY(), "Y") &amp; " Tahun " &amp; DATEDIF(T115, TODAY(), "YM") &amp; " Bulan"</f>
        <v>3 Tahun 11 Bulan</v>
      </c>
      <c r="V115" s="281" t="s">
        <v>866</v>
      </c>
      <c r="W115" s="281" t="s">
        <v>851</v>
      </c>
      <c r="X115" s="283" t="str">
        <f ca="1">IF(AND(OR(L115="AA",L115="L"),OR(S115="Penata Muda Tk. I Golongan III/b",S115="Penata Golongan III/c"),DATEDIF(Q115,TODAY(),"m")&gt;=23,ISBLANK(Z115),C115="Aktif"),"Nominasi Serdos","-")</f>
        <v>-</v>
      </c>
      <c r="Y115" s="281"/>
      <c r="Z115" s="281" t="s">
        <v>852</v>
      </c>
      <c r="AA115" s="290">
        <v>24107201902087</v>
      </c>
      <c r="AB115" s="281" t="s">
        <v>1300</v>
      </c>
      <c r="AC115" s="285">
        <v>45351</v>
      </c>
      <c r="AD115" s="281" t="s">
        <v>30</v>
      </c>
      <c r="AE115" s="281" t="s">
        <v>30</v>
      </c>
      <c r="AF115" s="281" t="s">
        <v>30</v>
      </c>
      <c r="AG115" s="281" t="s">
        <v>30</v>
      </c>
      <c r="AH115" s="281" t="s">
        <v>854</v>
      </c>
      <c r="AI115" s="281" t="s">
        <v>855</v>
      </c>
      <c r="AJ115" s="281" t="s">
        <v>856</v>
      </c>
      <c r="AK115" s="281" t="s">
        <v>855</v>
      </c>
      <c r="AL115" s="281" t="s">
        <v>857</v>
      </c>
      <c r="AM115" s="286">
        <v>43101</v>
      </c>
      <c r="AN115" s="287" t="str">
        <f ca="1">DATEDIF(AM115,TODAY(),"y")&amp;" tahun "&amp;DATEDIF(AM115,TODAY(),"ym")&amp;" bulan "</f>
        <v xml:space="preserve">8 tahun 0 bulan </v>
      </c>
      <c r="AO115" s="281" t="s">
        <v>868</v>
      </c>
      <c r="AP115" s="281" t="s">
        <v>869</v>
      </c>
      <c r="AQ115" s="281" t="s">
        <v>1301</v>
      </c>
      <c r="AR115" s="281" t="s">
        <v>521</v>
      </c>
      <c r="AS115" s="281">
        <v>8113384848</v>
      </c>
      <c r="AT115" s="281" t="s">
        <v>522</v>
      </c>
      <c r="AU115" s="281" t="s">
        <v>30</v>
      </c>
      <c r="AV115" s="281"/>
      <c r="AW115" s="281" t="str">
        <f>VLOOKUP(B115,Sheet2!A8:I125,9,FALSE)</f>
        <v>Walid Maulana Hadiansyah, S.T., M.T.</v>
      </c>
      <c r="AX115" s="281" t="s">
        <v>861</v>
      </c>
      <c r="AY115" s="281" t="str">
        <f>VLOOKUP(B115,Sheet2!A8:C125,2,FALSE)</f>
        <v>Jember</v>
      </c>
      <c r="AZ115" s="288">
        <f>VLOOKUP(B115,Sheet2!A8:C125,3,FALSE)</f>
        <v>32794</v>
      </c>
      <c r="BA115" s="281">
        <f ca="1">DATEDIF(AZ115, TODAY(),"y")</f>
        <v>36</v>
      </c>
      <c r="BB115" s="281"/>
      <c r="BC115" s="281"/>
      <c r="BD115" s="281"/>
      <c r="BE115" s="281"/>
      <c r="BF115" s="289"/>
      <c r="BG115" s="289"/>
      <c r="BH115" s="289"/>
      <c r="BI115" s="289"/>
      <c r="BJ115" s="289"/>
      <c r="BK115" s="289"/>
      <c r="BL115" s="288" t="str">
        <f>VLOOKUP(B115,Sheet2!A8:D125,4,FALSE)</f>
        <v>Dosen</v>
      </c>
      <c r="BM115" s="281"/>
      <c r="BN115" s="281"/>
      <c r="BO115" s="281"/>
      <c r="BP115" s="281"/>
      <c r="BQ115" s="281"/>
      <c r="BR115" s="288" t="str">
        <f>VLOOKUP(B115,Sheet2!A8:E125,5,FALSE)</f>
        <v>Intelligent Communications and Networks (ICON)</v>
      </c>
      <c r="BS115" s="288" t="str">
        <f>VLOOKUP(B115,Sheet2!A8:F125,6,FALSE)</f>
        <v>WMH</v>
      </c>
      <c r="BT115" s="288" t="str">
        <f>VLOOKUP(B115,Sheet2!A8:G125,7,FALSE)</f>
        <v>Fakultas Teknik Elektro</v>
      </c>
      <c r="BU115" s="288" t="str">
        <f>VLOOKUP(B115,Sheet2!A8:H125,8,FALSE)</f>
        <v>wmhadiansyah@telkomuniversity.ac.id</v>
      </c>
      <c r="BV115" s="280">
        <f>COUNTIFS('Join TPA Dosen'!B:B,Dosen!B120)</f>
        <v>1</v>
      </c>
      <c r="BW115" s="273" t="str">
        <f>DATEDIF(AM115,DATE(2026,1,1),"y")&amp;" tahun "&amp;DATEDIF(AM115,DATE(2026,1,1),"ym")&amp;" bulan "</f>
        <v xml:space="preserve">8 tahun 0 bulan </v>
      </c>
      <c r="BX115" s="280" t="str">
        <f>VLOOKUP($B115,Sheet1!$A:$G,2,FALSE)</f>
        <v>ITS</v>
      </c>
      <c r="BY115" s="280" t="str">
        <f>VLOOKUP($B115,Sheet1!$A:$G,3,FALSE)</f>
        <v>Teknik Elektro - Telekomunikasi Multimedia</v>
      </c>
      <c r="BZ115" s="280" t="str">
        <f>VLOOKUP($B115,Sheet1!$A:$G,4,FALSE)</f>
        <v>ITS</v>
      </c>
      <c r="CA115" s="280" t="str">
        <f>VLOOKUP($B115,Sheet1!$A:$G,5,FALSE)</f>
        <v>Teknik Elektro - Telekomunikasi Multimedia</v>
      </c>
      <c r="CB115" s="280" t="str">
        <f>VLOOKUP($B115,Sheet1!$A:$G,6,FALSE)</f>
        <v>ITS</v>
      </c>
      <c r="CC115" s="280" t="str">
        <f>VLOOKUP($B115,Sheet1!$A:$G,7,FALSE)</f>
        <v>Teknik Elektro</v>
      </c>
      <c r="CD115" s="280" t="s">
        <v>862</v>
      </c>
      <c r="CE115" s="280" t="s">
        <v>872</v>
      </c>
    </row>
    <row r="116" spans="1:83" ht="18.95">
      <c r="A116" s="281">
        <v>16</v>
      </c>
      <c r="B116" s="281" t="s">
        <v>484</v>
      </c>
      <c r="C116" s="281" t="s">
        <v>20</v>
      </c>
      <c r="D116" s="281" t="s">
        <v>475</v>
      </c>
      <c r="E116" s="281">
        <v>19900004</v>
      </c>
      <c r="F116" s="281" t="s">
        <v>1302</v>
      </c>
      <c r="G116" s="282" t="s">
        <v>485</v>
      </c>
      <c r="H116" s="281" t="s">
        <v>845</v>
      </c>
      <c r="I116" s="281" t="s">
        <v>30</v>
      </c>
      <c r="J116" s="281" t="s">
        <v>176</v>
      </c>
      <c r="K116" s="281" t="s">
        <v>846</v>
      </c>
      <c r="L116" s="281" t="s">
        <v>847</v>
      </c>
      <c r="M116" s="283" t="str">
        <f>IF(L116="NJAD","AA",IF(L116="AA","L",IF(L116="L","LK","GB")))</f>
        <v>L</v>
      </c>
      <c r="N116" s="282" t="s">
        <v>511</v>
      </c>
      <c r="O116" s="281">
        <v>150</v>
      </c>
      <c r="P116" s="281" t="s">
        <v>1303</v>
      </c>
      <c r="Q116" s="284">
        <v>44007</v>
      </c>
      <c r="R116" s="281" t="str">
        <f ca="1">DATEDIF(Q116,TODAY(), "Y") &amp; " Tahun " &amp; DATEDIF(Q116, TODAY(), "YM") &amp; " Bulan"</f>
        <v>5 Tahun 6 Bulan</v>
      </c>
      <c r="S116" s="281" t="s">
        <v>849</v>
      </c>
      <c r="T116" s="285">
        <v>44075</v>
      </c>
      <c r="U116" s="281" t="str">
        <f ca="1">DATEDIF(T116,TODAY(), "Y") &amp; " Tahun " &amp; DATEDIF(T116, TODAY(), "YM") &amp; " Bulan"</f>
        <v>5 Tahun 4 Bulan</v>
      </c>
      <c r="V116" s="281" t="s">
        <v>866</v>
      </c>
      <c r="W116" s="281" t="s">
        <v>851</v>
      </c>
      <c r="X116" s="283" t="str">
        <f ca="1">IF(AND(OR(L116="AA",L116="L"),OR(S116="Penata Muda Tk. I Golongan III/b",S116="Penata Golongan III/c"),DATEDIF(Q116,TODAY(),"m")&gt;=23,ISBLANK(Z116),C116="Aktif"),"Nominasi Serdos","-")</f>
        <v>-</v>
      </c>
      <c r="Y116" s="281"/>
      <c r="Z116" s="281" t="s">
        <v>852</v>
      </c>
      <c r="AA116" s="281">
        <v>22107201905190</v>
      </c>
      <c r="AB116" s="281" t="s">
        <v>1304</v>
      </c>
      <c r="AC116" s="285">
        <v>44846</v>
      </c>
      <c r="AD116" s="281" t="s">
        <v>30</v>
      </c>
      <c r="AE116" s="281" t="s">
        <v>30</v>
      </c>
      <c r="AF116" s="281" t="s">
        <v>30</v>
      </c>
      <c r="AG116" s="281" t="s">
        <v>30</v>
      </c>
      <c r="AH116" s="281" t="s">
        <v>854</v>
      </c>
      <c r="AI116" s="293" t="s">
        <v>855</v>
      </c>
      <c r="AJ116" s="293" t="s">
        <v>856</v>
      </c>
      <c r="AK116" s="281" t="s">
        <v>855</v>
      </c>
      <c r="AL116" s="293" t="s">
        <v>857</v>
      </c>
      <c r="AM116" s="286">
        <v>43101</v>
      </c>
      <c r="AN116" s="287" t="str">
        <f ca="1">DATEDIF(AM116,TODAY(),"y")&amp;" tahun "&amp;DATEDIF(AM116,TODAY(),"ym")&amp;" bulan "</f>
        <v xml:space="preserve">8 tahun 0 bulan </v>
      </c>
      <c r="AO116" s="281" t="s">
        <v>868</v>
      </c>
      <c r="AP116" s="281" t="s">
        <v>869</v>
      </c>
      <c r="AQ116" s="281" t="s">
        <v>1305</v>
      </c>
      <c r="AR116" s="281" t="s">
        <v>486</v>
      </c>
      <c r="AS116" s="281">
        <v>85316010070</v>
      </c>
      <c r="AT116" s="281" t="s">
        <v>487</v>
      </c>
      <c r="AU116" s="281" t="s">
        <v>30</v>
      </c>
      <c r="AV116" s="281"/>
      <c r="AW116" s="281" t="str">
        <f>VLOOKUP(B116,Sheet2!A17:I134,9,FALSE)</f>
        <v>Hamzah Ulinuha Mustakim, S.T., M.T.</v>
      </c>
      <c r="AX116" s="281" t="s">
        <v>861</v>
      </c>
      <c r="AY116" s="281" t="str">
        <f>VLOOKUP(B116,Sheet2!A17:C134,2,FALSE)</f>
        <v>Blitar</v>
      </c>
      <c r="AZ116" s="288">
        <f>VLOOKUP(B116,Sheet2!A17:C134,3,FALSE)</f>
        <v>33020</v>
      </c>
      <c r="BA116" s="281">
        <f ca="1">DATEDIF(AZ116, TODAY(),"y")</f>
        <v>35</v>
      </c>
      <c r="BB116" s="281"/>
      <c r="BC116" s="281"/>
      <c r="BD116" s="281"/>
      <c r="BE116" s="281"/>
      <c r="BF116" s="289"/>
      <c r="BG116" s="289"/>
      <c r="BH116" s="289"/>
      <c r="BI116" s="304"/>
      <c r="BJ116" s="304"/>
      <c r="BK116" s="304"/>
      <c r="BL116" s="288" t="str">
        <f>VLOOKUP(B116,Sheet2!A17:D134,4,FALSE)</f>
        <v>Dosen</v>
      </c>
      <c r="BM116" s="281"/>
      <c r="BN116" s="281"/>
      <c r="BO116" s="281"/>
      <c r="BP116" s="281"/>
      <c r="BQ116" s="281"/>
      <c r="BR116" s="288" t="str">
        <f>VLOOKUP(B116,Sheet2!A17:E134,5,FALSE)</f>
        <v>Intelligent Communications and Networks (ICON)</v>
      </c>
      <c r="BS116" s="288" t="str">
        <f>VLOOKUP(B116,Sheet2!A17:F134,6,FALSE)</f>
        <v>ZAH</v>
      </c>
      <c r="BT116" s="288" t="str">
        <f>VLOOKUP(B116,Sheet2!A17:G134,7,FALSE)</f>
        <v>Fakultas Teknik Elektro</v>
      </c>
      <c r="BU116" s="288" t="str">
        <f>VLOOKUP(B116,Sheet2!A17:H134,8,FALSE)</f>
        <v>hamzahmustakim@telkomuniversity.ac.id</v>
      </c>
      <c r="BV116" s="280">
        <f>COUNTIFS('Join TPA Dosen'!B:B,Dosen!B27)</f>
        <v>1</v>
      </c>
      <c r="BW116" s="273" t="str">
        <f>DATEDIF(AM116,DATE(2026,1,1),"y")&amp;" tahun "&amp;DATEDIF(AM116,DATE(2026,1,1),"ym")&amp;" bulan "</f>
        <v xml:space="preserve">8 tahun 0 bulan </v>
      </c>
      <c r="BX116" s="280" t="str">
        <f>VLOOKUP($B116,Sheet1!$A:$G,2,FALSE)</f>
        <v>Tel-U</v>
      </c>
      <c r="BY116" s="280" t="str">
        <f>VLOOKUP($B116,Sheet1!$A:$G,3,FALSE)</f>
        <v>Teknik Telekomunikasi</v>
      </c>
      <c r="BZ116" s="280" t="str">
        <f>VLOOKUP($B116,Sheet1!$A:$G,4,FALSE)</f>
        <v>ITB</v>
      </c>
      <c r="CA116" s="280" t="str">
        <f>VLOOKUP($B116,Sheet1!$A:$G,5,FALSE)</f>
        <v>Teknik Elektro</v>
      </c>
      <c r="CB116" s="280" t="str">
        <f>VLOOKUP($B116,Sheet1!$A:$G,6,FALSE)</f>
        <v>UGM</v>
      </c>
      <c r="CC116" s="280" t="str">
        <f>VLOOKUP($B116,Sheet1!$A:$G,7,FALSE)</f>
        <v>Teknik Elektro</v>
      </c>
      <c r="CD116" s="280" t="s">
        <v>882</v>
      </c>
      <c r="CE116" s="280" t="s">
        <v>872</v>
      </c>
    </row>
    <row r="117" spans="1:83" ht="19.5">
      <c r="A117" s="281">
        <v>120</v>
      </c>
      <c r="B117" s="281" t="s">
        <v>89</v>
      </c>
      <c r="C117" s="281" t="s">
        <v>20</v>
      </c>
      <c r="D117" s="281" t="s">
        <v>22</v>
      </c>
      <c r="E117" s="281">
        <v>25950003</v>
      </c>
      <c r="F117" s="291"/>
      <c r="G117" s="291" t="s">
        <v>90</v>
      </c>
      <c r="H117" s="291" t="s">
        <v>884</v>
      </c>
      <c r="I117" s="281"/>
      <c r="J117" s="281" t="s">
        <v>91</v>
      </c>
      <c r="K117" s="281" t="s">
        <v>917</v>
      </c>
      <c r="L117" s="281" t="s">
        <v>918</v>
      </c>
      <c r="M117" s="283" t="str">
        <f>IF(L117="NJAD","AA",IF(L117="AA","L",IF(L117="L","LK","GB")))</f>
        <v>AA</v>
      </c>
      <c r="N117" s="282" t="s">
        <v>511</v>
      </c>
      <c r="O117" s="281">
        <v>0</v>
      </c>
      <c r="P117" s="281"/>
      <c r="Q117" s="284">
        <v>45689</v>
      </c>
      <c r="R117" s="281" t="str">
        <f ca="1">DATEDIF(Q117,TODAY(), "Y") &amp; " Tahun " &amp; DATEDIF(Q117, TODAY(), "YM") &amp; " Bulan"</f>
        <v>0 Tahun 11 Bulan</v>
      </c>
      <c r="S117" s="282" t="s">
        <v>511</v>
      </c>
      <c r="T117" s="282" t="s">
        <v>511</v>
      </c>
      <c r="U117" s="281" t="e">
        <f ca="1">DATEDIF(T117,TODAY(), "Y") &amp; " Tahun " &amp; DATEDIF(T117, TODAY(), "YM") &amp; " Bulan"</f>
        <v>#VALUE!</v>
      </c>
      <c r="V117" s="281" t="s">
        <v>850</v>
      </c>
      <c r="W117" s="281" t="s">
        <v>851</v>
      </c>
      <c r="X117" s="283" t="str">
        <f ca="1">IF(AND(OR(L117="AA",L117="L"),OR(S117="Penata Muda Tk. I Golongan III/b",S117="Penata Golongan III/c"),DATEDIF(Q117,TODAY(),"m")&gt;=23,ISBLANK(Z117),C117="Aktif"),"Nominasi Serdos","-")</f>
        <v>-</v>
      </c>
      <c r="Y117" s="281"/>
      <c r="Z117" s="295" t="s">
        <v>30</v>
      </c>
      <c r="AA117" s="295" t="s">
        <v>30</v>
      </c>
      <c r="AB117" s="295" t="s">
        <v>30</v>
      </c>
      <c r="AC117" s="295" t="s">
        <v>30</v>
      </c>
      <c r="AD117" s="281" t="s">
        <v>30</v>
      </c>
      <c r="AE117" s="281" t="s">
        <v>30</v>
      </c>
      <c r="AF117" s="281" t="s">
        <v>30</v>
      </c>
      <c r="AG117" s="281" t="s">
        <v>30</v>
      </c>
      <c r="AH117" s="281" t="s">
        <v>854</v>
      </c>
      <c r="AI117" s="281" t="s">
        <v>30</v>
      </c>
      <c r="AJ117" s="281" t="s">
        <v>30</v>
      </c>
      <c r="AK117" s="281" t="s">
        <v>30</v>
      </c>
      <c r="AM117" s="286">
        <v>45689</v>
      </c>
      <c r="AN117" s="287" t="str">
        <f ca="1">DATEDIF(AM117,TODAY(),"y")&amp;" tahun "&amp;DATEDIF(AM117,TODAY(),"ym")&amp;" bulan "</f>
        <v xml:space="preserve">0 tahun 11 bulan </v>
      </c>
      <c r="AO117" s="281" t="s">
        <v>858</v>
      </c>
      <c r="AP117" s="281" t="s">
        <v>859</v>
      </c>
      <c r="AQ117" s="281" t="s">
        <v>1306</v>
      </c>
      <c r="AR117" s="281" t="s">
        <v>92</v>
      </c>
      <c r="AS117" s="281">
        <v>81233838309</v>
      </c>
      <c r="AT117" s="281" t="s">
        <v>93</v>
      </c>
      <c r="AU117" s="281" t="s">
        <v>30</v>
      </c>
      <c r="AV117" s="281"/>
      <c r="AW117" s="281" t="s">
        <v>1307</v>
      </c>
      <c r="AX117" s="281" t="s">
        <v>902</v>
      </c>
      <c r="AY117" s="281" t="s">
        <v>1308</v>
      </c>
      <c r="AZ117" s="288">
        <v>34743</v>
      </c>
      <c r="BA117" s="281">
        <f ca="1">DATEDIF(AZ117, TODAY(),"y")</f>
        <v>30</v>
      </c>
      <c r="BB117" s="281"/>
      <c r="BC117" s="281"/>
      <c r="BD117" s="281"/>
      <c r="BE117" s="295"/>
      <c r="BF117" s="289"/>
      <c r="BG117" s="289"/>
      <c r="BH117" s="289"/>
      <c r="BI117" s="289"/>
      <c r="BJ117" s="289"/>
      <c r="BK117" s="289"/>
      <c r="BL117" s="288" t="s">
        <v>21</v>
      </c>
      <c r="BM117" s="281"/>
      <c r="BN117" s="286"/>
      <c r="BO117" s="281"/>
      <c r="BP117" s="281"/>
      <c r="BQ117" s="281"/>
      <c r="BR117" s="288" t="e">
        <f>VLOOKUP(B117,Sheet2!A121:E238,5,FALSE)</f>
        <v>#N/A</v>
      </c>
      <c r="BS117" s="288" t="s">
        <v>1306</v>
      </c>
      <c r="BT117" s="288" t="s">
        <v>944</v>
      </c>
      <c r="BU117" s="298" t="s">
        <v>1309</v>
      </c>
      <c r="BV117" s="280">
        <f>COUNTIFS('Join TPA Dosen'!B:B,Dosen!B121)</f>
        <v>1</v>
      </c>
      <c r="BW117" s="273" t="str">
        <f>DATEDIF(AM117,DATE(2026,1,1),"y")&amp;" tahun "&amp;DATEDIF(AM117,DATE(2026,1,1),"ym")&amp;" bulan "</f>
        <v xml:space="preserve">0 tahun 11 bulan </v>
      </c>
      <c r="BX117" s="280" t="e">
        <f>VLOOKUP($B117,Sheet1!$A:$G,2,FALSE)</f>
        <v>#N/A</v>
      </c>
      <c r="BY117" s="280" t="e">
        <f>VLOOKUP($B117,Sheet1!$A:$G,3,FALSE)</f>
        <v>#N/A</v>
      </c>
      <c r="BZ117" s="280" t="e">
        <f>VLOOKUP($B117,Sheet1!$A:$G,4,FALSE)</f>
        <v>#N/A</v>
      </c>
      <c r="CA117" s="280" t="e">
        <f>VLOOKUP($B117,Sheet1!$A:$G,5,FALSE)</f>
        <v>#N/A</v>
      </c>
      <c r="CB117" s="280" t="e">
        <f>VLOOKUP($B117,Sheet1!$A:$G,6,FALSE)</f>
        <v>#N/A</v>
      </c>
      <c r="CC117" s="280" t="e">
        <f>VLOOKUP($B117,Sheet1!$A:$G,7,FALSE)</f>
        <v>#N/A</v>
      </c>
      <c r="CD117" s="280" t="s">
        <v>871</v>
      </c>
      <c r="CE117" s="280" t="s">
        <v>863</v>
      </c>
    </row>
    <row r="118" spans="1:83" ht="19.5">
      <c r="A118" s="281">
        <v>122</v>
      </c>
      <c r="B118" s="281" t="s">
        <v>229</v>
      </c>
      <c r="C118" s="281" t="s">
        <v>20</v>
      </c>
      <c r="D118" s="281" t="s">
        <v>201</v>
      </c>
      <c r="E118" s="281">
        <v>25990003</v>
      </c>
      <c r="F118" s="291"/>
      <c r="G118" s="291" t="s">
        <v>230</v>
      </c>
      <c r="H118" s="291" t="s">
        <v>884</v>
      </c>
      <c r="I118" s="281"/>
      <c r="J118" s="281" t="s">
        <v>231</v>
      </c>
      <c r="K118" s="281" t="s">
        <v>917</v>
      </c>
      <c r="L118" s="281" t="s">
        <v>918</v>
      </c>
      <c r="M118" s="283" t="str">
        <f>IF(L118="NJAD","AA",IF(L118="AA","L",IF(L118="L","LK","GB")))</f>
        <v>AA</v>
      </c>
      <c r="N118" s="282" t="s">
        <v>511</v>
      </c>
      <c r="O118" s="281">
        <v>0</v>
      </c>
      <c r="P118" s="281"/>
      <c r="Q118" s="284">
        <v>45689</v>
      </c>
      <c r="R118" s="281" t="str">
        <f ca="1">DATEDIF(Q118,TODAY(), "Y") &amp; " Tahun " &amp; DATEDIF(Q118, TODAY(), "YM") &amp; " Bulan"</f>
        <v>0 Tahun 11 Bulan</v>
      </c>
      <c r="S118" s="282" t="s">
        <v>511</v>
      </c>
      <c r="T118" s="282" t="s">
        <v>511</v>
      </c>
      <c r="U118" s="281" t="e">
        <f ca="1">DATEDIF(T118,TODAY(), "Y") &amp; " Tahun " &amp; DATEDIF(T118, TODAY(), "YM") &amp; " Bulan"</f>
        <v>#VALUE!</v>
      </c>
      <c r="V118" s="281" t="s">
        <v>1034</v>
      </c>
      <c r="W118" s="281" t="s">
        <v>851</v>
      </c>
      <c r="X118" s="283" t="str">
        <f ca="1">IF(AND(OR(L118="AA",L118="L"),OR(S118="Penata Muda Tk. I Golongan III/b",S118="Penata Golongan III/c"),DATEDIF(Q118,TODAY(),"m")&gt;=23,ISBLANK(Z118),C118="Aktif"),"Nominasi Serdos","-")</f>
        <v>-</v>
      </c>
      <c r="Y118" s="281"/>
      <c r="Z118" s="295" t="s">
        <v>30</v>
      </c>
      <c r="AA118" s="295" t="s">
        <v>30</v>
      </c>
      <c r="AB118" s="295" t="s">
        <v>30</v>
      </c>
      <c r="AC118" s="295" t="s">
        <v>30</v>
      </c>
      <c r="AD118" s="281" t="s">
        <v>30</v>
      </c>
      <c r="AE118" s="281" t="s">
        <v>30</v>
      </c>
      <c r="AF118" s="281" t="s">
        <v>30</v>
      </c>
      <c r="AG118" s="281" t="s">
        <v>30</v>
      </c>
      <c r="AH118" s="281" t="s">
        <v>854</v>
      </c>
      <c r="AI118" s="281" t="s">
        <v>855</v>
      </c>
      <c r="AJ118" s="281" t="s">
        <v>897</v>
      </c>
      <c r="AK118" s="281" t="s">
        <v>898</v>
      </c>
      <c r="AL118" s="280" t="s">
        <v>899</v>
      </c>
      <c r="AM118" s="286">
        <v>45658</v>
      </c>
      <c r="AN118" s="287" t="str">
        <f ca="1">DATEDIF(AM118,TODAY(),"y")&amp;" tahun "&amp;DATEDIF(AM118,TODAY(),"ym")&amp;" bulan "</f>
        <v xml:space="preserve">1 tahun 0 bulan </v>
      </c>
      <c r="AO118" s="281" t="s">
        <v>858</v>
      </c>
      <c r="AP118" s="281" t="s">
        <v>1035</v>
      </c>
      <c r="AQ118" s="281" t="s">
        <v>1310</v>
      </c>
      <c r="AR118" s="281" t="s">
        <v>232</v>
      </c>
      <c r="AS118" s="281">
        <v>82146235254</v>
      </c>
      <c r="AT118" s="281" t="s">
        <v>233</v>
      </c>
      <c r="AU118" s="281" t="s">
        <v>30</v>
      </c>
      <c r="AV118" s="281"/>
      <c r="AW118" s="281" t="s">
        <v>1311</v>
      </c>
      <c r="AX118" s="281" t="s">
        <v>861</v>
      </c>
      <c r="AY118" s="281" t="s">
        <v>1312</v>
      </c>
      <c r="AZ118" s="288">
        <v>36408</v>
      </c>
      <c r="BA118" s="281">
        <f ca="1">DATEDIF(AZ118, TODAY(),"y")</f>
        <v>26</v>
      </c>
      <c r="BB118" s="281"/>
      <c r="BC118" s="281"/>
      <c r="BD118" s="281"/>
      <c r="BE118" s="295"/>
      <c r="BF118" s="289"/>
      <c r="BG118" s="289"/>
      <c r="BH118" s="289"/>
      <c r="BI118" s="289"/>
      <c r="BJ118" s="289"/>
      <c r="BK118" s="289"/>
      <c r="BL118" s="288" t="s">
        <v>21</v>
      </c>
      <c r="BM118" s="281"/>
      <c r="BN118" s="286"/>
      <c r="BO118" s="281"/>
      <c r="BP118" s="281"/>
      <c r="BQ118" s="281"/>
      <c r="BR118" s="288" t="e">
        <f>VLOOKUP(B118,Sheet2!A123:E240,5,FALSE)</f>
        <v>#N/A</v>
      </c>
      <c r="BS118" s="288" t="s">
        <v>1310</v>
      </c>
      <c r="BT118" s="288" t="s">
        <v>1096</v>
      </c>
      <c r="BU118" s="288" t="s">
        <v>1313</v>
      </c>
      <c r="BV118" s="280">
        <f>COUNTIFS('Join TPA Dosen'!B:B,Dosen!B123)</f>
        <v>0</v>
      </c>
      <c r="BW118" s="273" t="str">
        <f>DATEDIF(AM118,DATE(2026,1,1),"y")&amp;" tahun "&amp;DATEDIF(AM118,DATE(2026,1,1),"ym")&amp;" bulan "</f>
        <v xml:space="preserve">1 tahun 0 bulan </v>
      </c>
      <c r="BX118" s="280" t="e">
        <f>VLOOKUP($B118,Sheet1!$A:$G,2,FALSE)</f>
        <v>#N/A</v>
      </c>
      <c r="BY118" s="280" t="e">
        <f>VLOOKUP($B118,Sheet1!$A:$G,3,FALSE)</f>
        <v>#N/A</v>
      </c>
      <c r="BZ118" s="280" t="e">
        <f>VLOOKUP($B118,Sheet1!$A:$G,4,FALSE)</f>
        <v>#N/A</v>
      </c>
      <c r="CA118" s="280" t="e">
        <f>VLOOKUP($B118,Sheet1!$A:$G,5,FALSE)</f>
        <v>#N/A</v>
      </c>
      <c r="CB118" s="280" t="e">
        <f>VLOOKUP($B118,Sheet1!$A:$G,6,FALSE)</f>
        <v>#N/A</v>
      </c>
      <c r="CC118" s="280" t="e">
        <f>VLOOKUP($B118,Sheet1!$A:$G,7,FALSE)</f>
        <v>#N/A</v>
      </c>
      <c r="CD118" s="280" t="s">
        <v>862</v>
      </c>
      <c r="CE118" s="280" t="s">
        <v>903</v>
      </c>
    </row>
    <row r="119" spans="1:83" ht="19.5">
      <c r="A119" s="281">
        <v>123</v>
      </c>
      <c r="B119" s="281" t="s">
        <v>98</v>
      </c>
      <c r="C119" s="281" t="s">
        <v>20</v>
      </c>
      <c r="D119" s="281" t="s">
        <v>22</v>
      </c>
      <c r="E119" s="281">
        <v>25010008</v>
      </c>
      <c r="F119" s="291"/>
      <c r="G119" s="291" t="s">
        <v>99</v>
      </c>
      <c r="H119" s="291" t="s">
        <v>884</v>
      </c>
      <c r="I119" s="281"/>
      <c r="J119" s="281" t="s">
        <v>68</v>
      </c>
      <c r="K119" s="281" t="s">
        <v>917</v>
      </c>
      <c r="L119" s="281" t="s">
        <v>918</v>
      </c>
      <c r="M119" s="283" t="str">
        <f>IF(L119="NJAD","AA",IF(L119="AA","L",IF(L119="L","LK","GB")))</f>
        <v>AA</v>
      </c>
      <c r="N119" s="282" t="s">
        <v>511</v>
      </c>
      <c r="O119" s="281">
        <v>0</v>
      </c>
      <c r="P119" s="281"/>
      <c r="Q119" s="284">
        <v>45689</v>
      </c>
      <c r="R119" s="281" t="str">
        <f ca="1">DATEDIF(Q119,TODAY(), "Y") &amp; " Tahun " &amp; DATEDIF(Q119, TODAY(), "YM") &amp; " Bulan"</f>
        <v>0 Tahun 11 Bulan</v>
      </c>
      <c r="S119" s="282" t="s">
        <v>511</v>
      </c>
      <c r="T119" s="282" t="s">
        <v>511</v>
      </c>
      <c r="U119" s="281" t="e">
        <f ca="1">DATEDIF(T119,TODAY(), "Y") &amp; " Tahun " &amp; DATEDIF(T119, TODAY(), "YM") &amp; " Bulan"</f>
        <v>#VALUE!</v>
      </c>
      <c r="V119" s="281" t="s">
        <v>850</v>
      </c>
      <c r="W119" s="281" t="s">
        <v>851</v>
      </c>
      <c r="X119" s="283" t="str">
        <f ca="1">IF(AND(OR(L119="AA",L119="L"),OR(S119="Penata Muda Tk. I Golongan III/b",S119="Penata Golongan III/c"),DATEDIF(Q119,TODAY(),"m")&gt;=23,ISBLANK(Z119),C119="Aktif"),"Nominasi Serdos","-")</f>
        <v>-</v>
      </c>
      <c r="Y119" s="281"/>
      <c r="Z119" s="295"/>
      <c r="AA119" s="295"/>
      <c r="AB119" s="295"/>
      <c r="AC119" s="295"/>
      <c r="AD119" s="281"/>
      <c r="AE119" s="281"/>
      <c r="AF119" s="281"/>
      <c r="AG119" s="281"/>
      <c r="AH119" s="281" t="s">
        <v>854</v>
      </c>
      <c r="AI119" s="281"/>
      <c r="AJ119" s="281"/>
      <c r="AK119" s="281"/>
      <c r="AM119" s="286">
        <v>45689</v>
      </c>
      <c r="AN119" s="287" t="str">
        <f ca="1">DATEDIF(AM119,TODAY(),"y")&amp;" tahun "&amp;DATEDIF(AM119,TODAY(),"ym")&amp;" bulan "</f>
        <v xml:space="preserve">0 tahun 11 bulan </v>
      </c>
      <c r="AO119" s="281" t="s">
        <v>858</v>
      </c>
      <c r="AP119" s="281" t="s">
        <v>859</v>
      </c>
      <c r="AQ119" s="281" t="s">
        <v>1314</v>
      </c>
      <c r="AR119" s="281" t="s">
        <v>100</v>
      </c>
      <c r="AS119" s="281">
        <v>81222871863</v>
      </c>
      <c r="AT119" s="281" t="s">
        <v>101</v>
      </c>
      <c r="AU119" s="281"/>
      <c r="AV119" s="281"/>
      <c r="AW119" s="281" t="s">
        <v>1315</v>
      </c>
      <c r="AX119" s="281" t="s">
        <v>902</v>
      </c>
      <c r="AY119" s="281" t="s">
        <v>1316</v>
      </c>
      <c r="AZ119" s="288">
        <v>36911</v>
      </c>
      <c r="BA119" s="281">
        <f ca="1">DATEDIF(AZ119, TODAY(),"y")</f>
        <v>24</v>
      </c>
      <c r="BB119" s="281"/>
      <c r="BC119" s="281"/>
      <c r="BD119" s="281"/>
      <c r="BE119" s="295"/>
      <c r="BF119" s="289"/>
      <c r="BG119" s="289"/>
      <c r="BH119" s="289"/>
      <c r="BI119" s="289"/>
      <c r="BJ119" s="289"/>
      <c r="BK119" s="289"/>
      <c r="BL119" s="288" t="s">
        <v>21</v>
      </c>
      <c r="BM119" s="281"/>
      <c r="BN119" s="286"/>
      <c r="BO119" s="281"/>
      <c r="BP119" s="281"/>
      <c r="BQ119" s="281"/>
      <c r="BR119" s="288" t="e">
        <f>VLOOKUP(B119,Sheet2!A124:E241,5,FALSE)</f>
        <v>#N/A</v>
      </c>
      <c r="BS119" s="288" t="s">
        <v>1314</v>
      </c>
      <c r="BT119" s="288" t="s">
        <v>944</v>
      </c>
      <c r="BU119" s="288" t="s">
        <v>1317</v>
      </c>
      <c r="BV119" s="280">
        <f>COUNTIFS('Join TPA Dosen'!B:B,Dosen!B124)</f>
        <v>0</v>
      </c>
      <c r="BW119" s="273" t="str">
        <f>DATEDIF(AM119,DATE(2026,1,1),"y")&amp;" tahun "&amp;DATEDIF(AM119,DATE(2026,1,1),"ym")&amp;" bulan "</f>
        <v xml:space="preserve">0 tahun 11 bulan </v>
      </c>
      <c r="BX119" s="280" t="e">
        <f>VLOOKUP($B119,Sheet1!$A:$G,2,FALSE)</f>
        <v>#N/A</v>
      </c>
      <c r="BY119" s="280" t="e">
        <f>VLOOKUP($B119,Sheet1!$A:$G,3,FALSE)</f>
        <v>#N/A</v>
      </c>
      <c r="BZ119" s="280" t="e">
        <f>VLOOKUP($B119,Sheet1!$A:$G,4,FALSE)</f>
        <v>#N/A</v>
      </c>
      <c r="CA119" s="280" t="e">
        <f>VLOOKUP($B119,Sheet1!$A:$G,5,FALSE)</f>
        <v>#N/A</v>
      </c>
      <c r="CB119" s="280" t="e">
        <f>VLOOKUP($B119,Sheet1!$A:$G,6,FALSE)</f>
        <v>#N/A</v>
      </c>
      <c r="CC119" s="280" t="e">
        <f>VLOOKUP($B119,Sheet1!$A:$G,7,FALSE)</f>
        <v>#N/A</v>
      </c>
      <c r="CD119" s="280" t="s">
        <v>871</v>
      </c>
      <c r="CE119" s="280" t="s">
        <v>863</v>
      </c>
    </row>
    <row r="120" spans="1:83" ht="19.5">
      <c r="A120" s="281">
        <v>124</v>
      </c>
      <c r="B120" s="281" t="s">
        <v>102</v>
      </c>
      <c r="C120" s="281" t="s">
        <v>20</v>
      </c>
      <c r="D120" s="281" t="s">
        <v>22</v>
      </c>
      <c r="E120" s="281">
        <v>25900003</v>
      </c>
      <c r="F120" s="299"/>
      <c r="G120" s="282"/>
      <c r="H120" s="291" t="s">
        <v>884</v>
      </c>
      <c r="I120" s="281"/>
      <c r="J120" s="281" t="s">
        <v>103</v>
      </c>
      <c r="K120" s="281" t="s">
        <v>937</v>
      </c>
      <c r="L120" s="281" t="s">
        <v>918</v>
      </c>
      <c r="M120" s="283" t="str">
        <f>IF(L120="NJAD","AA",IF(L120="AA","L",IF(L120="L","LK","GB")))</f>
        <v>AA</v>
      </c>
      <c r="N120" s="282" t="s">
        <v>511</v>
      </c>
      <c r="O120" s="281">
        <v>0</v>
      </c>
      <c r="P120" s="281"/>
      <c r="Q120" s="284">
        <v>45658</v>
      </c>
      <c r="R120" s="281" t="str">
        <f ca="1">DATEDIF(Q120,TODAY(), "Y") &amp; " Tahun " &amp; DATEDIF(Q120, TODAY(), "YM") &amp; " Bulan"</f>
        <v>1 Tahun 0 Bulan</v>
      </c>
      <c r="S120" s="282" t="s">
        <v>511</v>
      </c>
      <c r="T120" s="282" t="s">
        <v>511</v>
      </c>
      <c r="U120" s="281" t="e">
        <f ca="1">DATEDIF(T120,TODAY(), "Y") &amp; " Tahun " &amp; DATEDIF(T120, TODAY(), "YM") &amp; " Bulan"</f>
        <v>#VALUE!</v>
      </c>
      <c r="V120" s="281" t="s">
        <v>1318</v>
      </c>
      <c r="W120" s="281" t="s">
        <v>851</v>
      </c>
      <c r="X120" s="283" t="str">
        <f ca="1">IF(AND(OR(L120="AA",L120="L"),OR(S120="Penata Muda Tk. I Golongan III/b",S120="Penata Golongan III/c"),DATEDIF(Q120,TODAY(),"m")&gt;=23,ISBLANK(Z120),C120="Aktif"),"Nominasi Serdos","-")</f>
        <v>-</v>
      </c>
      <c r="Y120" s="281"/>
      <c r="Z120" s="295"/>
      <c r="AA120" s="295"/>
      <c r="AB120" s="295"/>
      <c r="AC120" s="295"/>
      <c r="AD120" s="281"/>
      <c r="AE120" s="281"/>
      <c r="AF120" s="281"/>
      <c r="AG120" s="281"/>
      <c r="AH120" s="281" t="s">
        <v>879</v>
      </c>
      <c r="AI120" s="281"/>
      <c r="AJ120" s="281"/>
      <c r="AK120" s="281"/>
      <c r="AM120" s="286">
        <v>45658</v>
      </c>
      <c r="AN120" s="287" t="str">
        <f ca="1">DATEDIF(AM120,TODAY(),"y")&amp;" tahun "&amp;DATEDIF(AM120,TODAY(),"ym")&amp;" bulan "</f>
        <v xml:space="preserve">1 tahun 0 bulan </v>
      </c>
      <c r="AO120" s="281" t="s">
        <v>858</v>
      </c>
      <c r="AP120" s="281" t="s">
        <v>859</v>
      </c>
      <c r="AQ120" s="281" t="s">
        <v>1319</v>
      </c>
      <c r="AR120" s="281" t="s">
        <v>104</v>
      </c>
      <c r="AS120" s="281"/>
      <c r="AT120" s="281" t="s">
        <v>105</v>
      </c>
      <c r="AU120" s="281"/>
      <c r="AV120" s="281"/>
      <c r="AW120" s="281" t="s">
        <v>1320</v>
      </c>
      <c r="AX120" s="281" t="s">
        <v>861</v>
      </c>
      <c r="AY120" s="281" t="s">
        <v>1321</v>
      </c>
      <c r="AZ120" s="288">
        <v>32874</v>
      </c>
      <c r="BA120" s="281">
        <f ca="1">DATEDIF(AZ120, TODAY(),"y")</f>
        <v>36</v>
      </c>
      <c r="BB120" s="281"/>
      <c r="BC120" s="281"/>
      <c r="BD120" s="281"/>
      <c r="BE120" s="295"/>
      <c r="BF120" s="289"/>
      <c r="BG120" s="289"/>
      <c r="BH120" s="289"/>
      <c r="BI120" s="289"/>
      <c r="BJ120" s="289"/>
      <c r="BK120" s="289"/>
      <c r="BL120" s="288" t="s">
        <v>21</v>
      </c>
      <c r="BM120" s="281"/>
      <c r="BN120" s="286"/>
      <c r="BO120" s="281"/>
      <c r="BP120" s="281"/>
      <c r="BQ120" s="281"/>
      <c r="BR120" s="288" t="e">
        <f>VLOOKUP(B120,Sheet2!A125:E242,5,FALSE)</f>
        <v>#N/A</v>
      </c>
      <c r="BS120" s="288" t="s">
        <v>1319</v>
      </c>
      <c r="BT120" s="288" t="s">
        <v>944</v>
      </c>
      <c r="BU120" s="288" t="s">
        <v>1322</v>
      </c>
      <c r="BV120" s="280">
        <f>COUNTIFS('Join TPA Dosen'!B:B,Dosen!B125)</f>
        <v>1</v>
      </c>
      <c r="BW120" s="273" t="str">
        <f>DATEDIF(AM120,DATE(2026,1,1),"y")&amp;" tahun "&amp;DATEDIF(AM120,DATE(2026,1,1),"ym")&amp;" bulan "</f>
        <v xml:space="preserve">1 tahun 0 bulan </v>
      </c>
      <c r="BX120" s="280" t="e">
        <f>VLOOKUP($B120,Sheet1!$A:$G,2,FALSE)</f>
        <v>#N/A</v>
      </c>
      <c r="BY120" s="280" t="e">
        <f>VLOOKUP($B120,Sheet1!$A:$G,3,FALSE)</f>
        <v>#N/A</v>
      </c>
      <c r="BZ120" s="280" t="e">
        <f>VLOOKUP($B120,Sheet1!$A:$G,4,FALSE)</f>
        <v>#N/A</v>
      </c>
      <c r="CA120" s="280" t="e">
        <f>VLOOKUP($B120,Sheet1!$A:$G,5,FALSE)</f>
        <v>#N/A</v>
      </c>
      <c r="CB120" s="280" t="e">
        <f>VLOOKUP($B120,Sheet1!$A:$G,6,FALSE)</f>
        <v>#N/A</v>
      </c>
      <c r="CC120" s="280" t="e">
        <f>VLOOKUP($B120,Sheet1!$A:$G,7,FALSE)</f>
        <v>#N/A</v>
      </c>
      <c r="CD120" s="280" t="s">
        <v>871</v>
      </c>
      <c r="CE120" s="280" t="s">
        <v>863</v>
      </c>
    </row>
    <row r="121" spans="1:83" ht="19.5">
      <c r="A121" s="281">
        <v>125</v>
      </c>
      <c r="B121" s="281" t="s">
        <v>165</v>
      </c>
      <c r="C121" s="281" t="s">
        <v>20</v>
      </c>
      <c r="D121" s="281" t="s">
        <v>107</v>
      </c>
      <c r="E121" s="281">
        <v>25989002</v>
      </c>
      <c r="F121" s="299"/>
      <c r="G121" s="291" t="s">
        <v>166</v>
      </c>
      <c r="H121" s="291" t="s">
        <v>884</v>
      </c>
      <c r="J121" s="281" t="s">
        <v>57</v>
      </c>
      <c r="K121" s="281" t="s">
        <v>917</v>
      </c>
      <c r="L121" s="281" t="s">
        <v>918</v>
      </c>
      <c r="M121" s="283" t="str">
        <f>IF(L121="NJAD","AA",IF(L121="AA","L",IF(L121="L","LK","GB")))</f>
        <v>AA</v>
      </c>
      <c r="N121" s="282" t="s">
        <v>511</v>
      </c>
      <c r="O121" s="281">
        <v>0</v>
      </c>
      <c r="Q121" s="284">
        <v>45717</v>
      </c>
      <c r="R121" s="281" t="str">
        <f ca="1">DATEDIF(Q121,TODAY(), "Y") &amp; " Tahun " &amp; DATEDIF(Q121, TODAY(), "YM") &amp; " Bulan"</f>
        <v>0 Tahun 10 Bulan</v>
      </c>
      <c r="S121" s="282" t="s">
        <v>511</v>
      </c>
      <c r="T121" s="282" t="s">
        <v>511</v>
      </c>
      <c r="U121" s="281" t="e">
        <f ca="1">DATEDIF(T121,TODAY(), "Y") &amp; " Tahun " &amp; DATEDIF(T121, TODAY(), "YM") &amp; " Bulan"</f>
        <v>#VALUE!</v>
      </c>
      <c r="V121" s="281" t="s">
        <v>1026</v>
      </c>
      <c r="W121" s="281" t="s">
        <v>851</v>
      </c>
      <c r="X121" s="283" t="str">
        <f ca="1">IF(AND(OR(L121="AA",L121="L"),OR(S121="Penata Muda Tk. I Golongan III/b",S121="Penata Golongan III/c"),DATEDIF(Q121,TODAY(),"m")&gt;=23,ISBLANK(Z121),C121="Aktif"),"Nominasi Serdos","-")</f>
        <v>-</v>
      </c>
      <c r="Y121" s="281"/>
      <c r="Z121" s="281"/>
      <c r="AA121" s="281"/>
      <c r="AB121" s="281"/>
      <c r="AC121" s="281"/>
      <c r="AD121" s="281"/>
      <c r="AE121" s="281"/>
      <c r="AF121" s="281"/>
      <c r="AG121" s="281"/>
      <c r="AH121" s="281" t="s">
        <v>854</v>
      </c>
      <c r="AI121" s="281"/>
      <c r="AJ121" s="281"/>
      <c r="AK121" s="281"/>
      <c r="AL121" s="281"/>
      <c r="AM121" s="286">
        <v>45717</v>
      </c>
      <c r="AN121" s="281" t="str">
        <f ca="1">DATEDIF(AM121,TODAY(),"y")&amp;" tahun "&amp;DATEDIF(AM121,TODAY(),"ym")&amp;" bulan "</f>
        <v xml:space="preserve">0 tahun 10 bulan </v>
      </c>
      <c r="AO121" s="281" t="s">
        <v>858</v>
      </c>
      <c r="AP121" s="281" t="s">
        <v>962</v>
      </c>
      <c r="AQ121" s="281"/>
      <c r="AR121" s="281" t="s">
        <v>167</v>
      </c>
      <c r="AS121" s="281">
        <v>82225333154</v>
      </c>
      <c r="AT121" s="281" t="s">
        <v>168</v>
      </c>
      <c r="AW121" s="281" t="s">
        <v>1323</v>
      </c>
      <c r="AX121" s="281" t="s">
        <v>902</v>
      </c>
      <c r="AY121" s="281" t="s">
        <v>1324</v>
      </c>
      <c r="AZ121" s="288">
        <v>35801</v>
      </c>
      <c r="BA121" s="281">
        <f ca="1">DATEDIF(AZ121, TODAY(),"y")</f>
        <v>28</v>
      </c>
      <c r="BL121" s="288" t="s">
        <v>21</v>
      </c>
      <c r="BS121" s="288" t="s">
        <v>1325</v>
      </c>
      <c r="BT121" s="288" t="s">
        <v>1096</v>
      </c>
      <c r="BU121" s="288" t="s">
        <v>1326</v>
      </c>
      <c r="BV121" s="280">
        <f>COUNTIFS('Join TPA Dosen'!B:B,Dosen!B126)</f>
        <v>0</v>
      </c>
      <c r="BW121" s="273" t="str">
        <f>DATEDIF(AM121,DATE(2026,1,1),"y")&amp;" tahun "&amp;DATEDIF(AM121,DATE(2026,1,1),"ym")&amp;" bulan "</f>
        <v xml:space="preserve">0 tahun 10 bulan </v>
      </c>
      <c r="BX121" s="280" t="e">
        <f>VLOOKUP($B121,Sheet1!$A:$G,2,FALSE)</f>
        <v>#N/A</v>
      </c>
      <c r="BY121" s="280" t="e">
        <f>VLOOKUP($B121,Sheet1!$A:$G,3,FALSE)</f>
        <v>#N/A</v>
      </c>
      <c r="BZ121" s="280" t="e">
        <f>VLOOKUP($B121,Sheet1!$A:$G,4,FALSE)</f>
        <v>#N/A</v>
      </c>
      <c r="CA121" s="280" t="e">
        <f>VLOOKUP($B121,Sheet1!$A:$G,5,FALSE)</f>
        <v>#N/A</v>
      </c>
      <c r="CB121" s="280" t="e">
        <f>VLOOKUP($B121,Sheet1!$A:$G,6,FALSE)</f>
        <v>#N/A</v>
      </c>
      <c r="CC121" s="280" t="e">
        <f>VLOOKUP($B121,Sheet1!$A:$G,7,FALSE)</f>
        <v>#N/A</v>
      </c>
      <c r="CD121" s="280" t="s">
        <v>862</v>
      </c>
      <c r="CE121" s="280" t="s">
        <v>903</v>
      </c>
    </row>
    <row r="122" spans="1:83" ht="18.95">
      <c r="A122" s="281">
        <v>67</v>
      </c>
      <c r="B122" s="281" t="s">
        <v>510</v>
      </c>
      <c r="C122" s="281" t="s">
        <v>46</v>
      </c>
      <c r="D122" s="281" t="s">
        <v>475</v>
      </c>
      <c r="E122" s="302">
        <v>22910003</v>
      </c>
      <c r="F122" s="311"/>
      <c r="G122" s="311"/>
      <c r="H122" s="291" t="s">
        <v>884</v>
      </c>
      <c r="I122" s="302" t="s">
        <v>30</v>
      </c>
      <c r="J122" s="302" t="s">
        <v>395</v>
      </c>
      <c r="K122" s="302" t="s">
        <v>917</v>
      </c>
      <c r="L122" s="302" t="s">
        <v>918</v>
      </c>
      <c r="M122" s="283" t="str">
        <f>IF(L122="NJAD","AA",IF(L122="AA","L",IF(L122="L","LK","GB")))</f>
        <v>AA</v>
      </c>
      <c r="N122" s="311" t="s">
        <v>511</v>
      </c>
      <c r="O122" s="302">
        <v>0</v>
      </c>
      <c r="P122" s="302" t="s">
        <v>30</v>
      </c>
      <c r="Q122" s="310">
        <v>44627</v>
      </c>
      <c r="R122" s="281" t="str">
        <f ca="1">DATEDIF(Q122,TODAY(), "Y") &amp; " Tahun " &amp; DATEDIF(Q122, TODAY(), "YM") &amp; " Bulan"</f>
        <v>3 Tahun 10 Bulan</v>
      </c>
      <c r="S122" s="311" t="s">
        <v>511</v>
      </c>
      <c r="T122" s="311" t="s">
        <v>511</v>
      </c>
      <c r="U122" s="281" t="e">
        <f ca="1">DATEDIF(T122,TODAY(), "Y") &amp; " Tahun " &amp; DATEDIF(T122, TODAY(), "YM") &amp; " Bulan"</f>
        <v>#VALUE!</v>
      </c>
      <c r="V122" s="302" t="s">
        <v>866</v>
      </c>
      <c r="W122" s="302" t="s">
        <v>851</v>
      </c>
      <c r="X122" s="283" t="str">
        <f ca="1">IF(AND(OR(L122="AA",L122="L"),OR(S122="Penata Muda Tk. I Golongan III/b",S122="Penata Golongan III/c"),DATEDIF(Q122,TODAY(),"m")&gt;=23,ISBLANK(Z122),C122="Aktif"),"Nominasi Serdos","-")</f>
        <v>-</v>
      </c>
      <c r="Y122" s="302"/>
      <c r="Z122" s="311"/>
      <c r="AA122" s="302"/>
      <c r="AB122" s="302" t="s">
        <v>30</v>
      </c>
      <c r="AC122" s="311" t="s">
        <v>511</v>
      </c>
      <c r="AD122" s="302" t="s">
        <v>30</v>
      </c>
      <c r="AE122" s="302" t="s">
        <v>30</v>
      </c>
      <c r="AF122" s="302" t="s">
        <v>30</v>
      </c>
      <c r="AG122" s="302" t="s">
        <v>30</v>
      </c>
      <c r="AH122" s="302" t="s">
        <v>854</v>
      </c>
      <c r="AI122" s="302" t="s">
        <v>855</v>
      </c>
      <c r="AJ122" s="302" t="s">
        <v>897</v>
      </c>
      <c r="AK122" s="302" t="s">
        <v>898</v>
      </c>
      <c r="AL122" s="302" t="s">
        <v>857</v>
      </c>
      <c r="AM122" s="303">
        <v>44627</v>
      </c>
      <c r="AN122" s="287" t="str">
        <f ca="1">DATEDIF(AM122,TODAY(),"y")&amp;" tahun "&amp;DATEDIF(AM122,TODAY(),"ym")&amp;" bulan "</f>
        <v xml:space="preserve">3 tahun 10 bulan </v>
      </c>
      <c r="AO122" s="302" t="s">
        <v>868</v>
      </c>
      <c r="AP122" s="302" t="s">
        <v>869</v>
      </c>
      <c r="AQ122" s="302" t="s">
        <v>1327</v>
      </c>
      <c r="AR122" s="302" t="s">
        <v>512</v>
      </c>
      <c r="AS122" s="302">
        <v>8113500343</v>
      </c>
      <c r="AT122" s="302" t="s">
        <v>513</v>
      </c>
      <c r="AU122" s="302" t="s">
        <v>30</v>
      </c>
      <c r="AV122" s="281"/>
      <c r="AW122" s="281" t="str">
        <f>VLOOKUP(B122,Sheet2!A68:I185,9,FALSE)</f>
        <v>Rifa Atul Izza Asyari, S.T., M.Sc.</v>
      </c>
      <c r="AX122" s="281" t="s">
        <v>861</v>
      </c>
      <c r="AY122" s="281" t="str">
        <f>VLOOKUP(B122,Sheet2!A68:C185,2,FALSE)</f>
        <v>Bunyu</v>
      </c>
      <c r="AZ122" s="288">
        <f>VLOOKUP(B122,Sheet2!A68:C185,3,FALSE)</f>
        <v>33598</v>
      </c>
      <c r="BA122" s="281">
        <f ca="1">DATEDIF(AZ122, TODAY(),"y")</f>
        <v>34</v>
      </c>
      <c r="BB122" s="281"/>
      <c r="BC122" s="281"/>
      <c r="BD122" s="281"/>
      <c r="BE122" s="281"/>
      <c r="BF122" s="289"/>
      <c r="BG122" s="289"/>
      <c r="BH122" s="289"/>
      <c r="BI122" s="289"/>
      <c r="BJ122" s="289"/>
      <c r="BK122" s="289"/>
      <c r="BL122" s="288" t="str">
        <f>VLOOKUP(B122,Sheet2!A68:D185,4,FALSE)</f>
        <v>Dosen</v>
      </c>
      <c r="BM122" s="281"/>
      <c r="BN122" s="281"/>
      <c r="BO122" s="281"/>
      <c r="BP122" s="281"/>
      <c r="BQ122" s="281"/>
      <c r="BR122" s="288"/>
      <c r="BS122" s="288" t="str">
        <f>VLOOKUP(B122,Sheet2!A68:F185,6,FALSE)</f>
        <v>RFX</v>
      </c>
      <c r="BT122" s="288" t="str">
        <f>VLOOKUP(B122,Sheet2!A68:G185,7,FALSE)</f>
        <v>Fakultas Teknik Elektro</v>
      </c>
      <c r="BU122" s="288"/>
      <c r="BV122" s="280">
        <f>COUNTIFS('Join TPA Dosen'!B:B,Dosen!B68)</f>
        <v>1</v>
      </c>
      <c r="BW122" s="273" t="str">
        <f>DATEDIF(AM122,DATE(2026,1,1),"y")&amp;" tahun "&amp;DATEDIF(AM122,DATE(2026,1,1),"ym")&amp;" bulan "</f>
        <v xml:space="preserve">3 tahun 9 bulan </v>
      </c>
      <c r="BX122" s="280" t="str">
        <f>VLOOKUP($B122,Sheet1!$A:$G,2,FALSE)</f>
        <v>UII</v>
      </c>
      <c r="BY122" s="280" t="str">
        <f>VLOOKUP($B122,Sheet1!$A:$G,3,FALSE)</f>
        <v>Teknik Elektro</v>
      </c>
      <c r="BZ122" s="280" t="str">
        <f>VLOOKUP($B122,Sheet1!$A:$G,4,FALSE)</f>
        <v>National Sun Yat-Sen Univ</v>
      </c>
      <c r="CA122" s="280" t="str">
        <f>VLOOKUP($B122,Sheet1!$A:$G,5,FALSE)</f>
        <v>Telecomunication Engineering</v>
      </c>
      <c r="CB122" s="280" t="str">
        <f>VLOOKUP($B122,Sheet1!$A:$G,6,FALSE)</f>
        <v>Southern Denmark University</v>
      </c>
      <c r="CC122" s="280" t="str">
        <f>VLOOKUP($B122,Sheet1!$A:$G,7,FALSE)</f>
        <v>Faculty of Engineering/Biomedical Engineering</v>
      </c>
      <c r="CD122" s="280" t="e">
        <v>#N/A</v>
      </c>
      <c r="CE122" s="280" t="e">
        <v>#N/A</v>
      </c>
    </row>
    <row r="123" spans="1:83" ht="19.5">
      <c r="A123" s="281">
        <v>126</v>
      </c>
      <c r="B123" s="281" t="s">
        <v>753</v>
      </c>
      <c r="C123" s="281" t="s">
        <v>20</v>
      </c>
      <c r="D123" s="281" t="s">
        <v>170</v>
      </c>
      <c r="E123" s="281">
        <v>23920006</v>
      </c>
      <c r="F123" s="281" t="s">
        <v>1328</v>
      </c>
      <c r="G123" s="282" t="s">
        <v>1329</v>
      </c>
      <c r="H123" s="291" t="s">
        <v>845</v>
      </c>
      <c r="I123" s="281"/>
      <c r="J123" s="281" t="s">
        <v>57</v>
      </c>
      <c r="K123" s="281" t="s">
        <v>893</v>
      </c>
      <c r="L123" s="281" t="s">
        <v>775</v>
      </c>
      <c r="M123" s="283" t="str">
        <f>IF(L123="NJAD","AA",IF(L123="AA","L",IF(L123="L","LK","GB")))</f>
        <v>LK</v>
      </c>
      <c r="N123" s="282" t="s">
        <v>511</v>
      </c>
      <c r="O123" s="281">
        <v>200</v>
      </c>
      <c r="P123" s="281" t="s">
        <v>1330</v>
      </c>
      <c r="Q123" s="284">
        <v>45261</v>
      </c>
      <c r="R123" s="281" t="str">
        <f ca="1">DATEDIF(Q123,TODAY(), "Y") &amp; " Tahun " &amp; DATEDIF(Q123, TODAY(), "YM") &amp; " Bulan"</f>
        <v>2 Tahun 1 Bulan</v>
      </c>
      <c r="S123" s="281" t="s">
        <v>876</v>
      </c>
      <c r="T123" s="285">
        <v>46023</v>
      </c>
      <c r="U123" s="281" t="str">
        <f ca="1">DATEDIF(T123,TODAY(), "Y") &amp; " Tahun " &amp; DATEDIF(T123, TODAY(), "YM") &amp; " Bulan"</f>
        <v>0 Tahun 0 Bulan</v>
      </c>
      <c r="V123" s="281" t="s">
        <v>955</v>
      </c>
      <c r="W123" s="281" t="s">
        <v>851</v>
      </c>
      <c r="X123" s="283" t="str">
        <f ca="1">IF(AND(OR(L123="AA",L123="L"),OR(S123="Penata Muda Tk. I Golongan III/b",S123="Penata Golongan III/c"),DATEDIF(Q123,TODAY(),"m")&gt;=23,ISBLANK(Z123),C123="Aktif"),"Nominasi Serdos","-")</f>
        <v>-</v>
      </c>
      <c r="Y123" s="281"/>
      <c r="Z123" s="282" t="s">
        <v>852</v>
      </c>
      <c r="AA123" s="295"/>
      <c r="AB123" s="281" t="s">
        <v>1331</v>
      </c>
      <c r="AC123" s="282"/>
      <c r="AD123" s="281"/>
      <c r="AE123" s="281"/>
      <c r="AF123" s="281"/>
      <c r="AG123" s="281"/>
      <c r="AH123" s="281" t="s">
        <v>854</v>
      </c>
      <c r="AI123" s="281"/>
      <c r="AJ123" s="281"/>
      <c r="AK123" s="281"/>
      <c r="AM123" s="286"/>
      <c r="AN123" s="287"/>
      <c r="AO123" s="281"/>
      <c r="AP123" s="281"/>
      <c r="AQ123" s="281" t="s">
        <v>1332</v>
      </c>
      <c r="AR123" s="281" t="s">
        <v>1333</v>
      </c>
      <c r="AS123" s="281">
        <v>81232046239</v>
      </c>
      <c r="AT123" s="281" t="s">
        <v>1334</v>
      </c>
      <c r="AU123" s="281"/>
      <c r="AV123" s="281"/>
      <c r="AW123" s="281" t="str">
        <f>VLOOKUP(B123,Sheet2!A111:I228,9,FALSE)</f>
        <v>Alon Jala Tirta Segara, S.Kom., M.Kom.</v>
      </c>
      <c r="AX123" s="281" t="s">
        <v>861</v>
      </c>
      <c r="AY123" s="281" t="str">
        <f>VLOOKUP(B123,Sheet2!A111:C228,2,FALSE)</f>
        <v>Mojokerto</v>
      </c>
      <c r="AZ123" s="288">
        <f>VLOOKUP(B123,Sheet2!A111:C228,3,FALSE)</f>
        <v>33668</v>
      </c>
      <c r="BA123" s="281">
        <f ca="1">DATEDIF(AZ123, TODAY(),"y")</f>
        <v>33</v>
      </c>
      <c r="BB123" s="281"/>
      <c r="BC123" s="281"/>
      <c r="BD123" s="281"/>
      <c r="BE123" s="281"/>
      <c r="BF123" s="289"/>
      <c r="BG123" s="289"/>
      <c r="BH123" s="289"/>
      <c r="BI123" s="289"/>
      <c r="BJ123" s="289"/>
      <c r="BK123" s="289"/>
      <c r="BL123" s="288" t="s">
        <v>21</v>
      </c>
      <c r="BM123" s="281"/>
      <c r="BN123" s="281"/>
      <c r="BO123" s="281"/>
      <c r="BP123" s="281"/>
      <c r="BQ123" s="281"/>
      <c r="BR123" s="288"/>
      <c r="BS123" s="288" t="str">
        <f>VLOOKUP(B123,Sheet2!A111:F228,6,FALSE)</f>
        <v>AJS</v>
      </c>
      <c r="BT123" s="288" t="str">
        <f>VLOOKUP(B123,Sheet2!A111:G228,7,FALSE)</f>
        <v>Fakultas Informatika</v>
      </c>
      <c r="BU123" s="298" t="s">
        <v>1335</v>
      </c>
      <c r="BW123" s="273"/>
      <c r="BX123" s="280" t="e">
        <f>VLOOKUP($B123,Sheet1!$A:$G,2,FALSE)</f>
        <v>#N/A</v>
      </c>
      <c r="BY123" s="280" t="e">
        <f>VLOOKUP($B123,Sheet1!$A:$G,3,FALSE)</f>
        <v>#N/A</v>
      </c>
      <c r="BZ123" s="280" t="e">
        <f>VLOOKUP($B123,Sheet1!$A:$G,4,FALSE)</f>
        <v>#N/A</v>
      </c>
      <c r="CA123" s="280" t="e">
        <f>VLOOKUP($B123,Sheet1!$A:$G,5,FALSE)</f>
        <v>#N/A</v>
      </c>
      <c r="CB123" s="280" t="e">
        <f>VLOOKUP($B123,Sheet1!$A:$G,6,FALSE)</f>
        <v>#N/A</v>
      </c>
      <c r="CC123" s="280" t="e">
        <f>VLOOKUP($B123,Sheet1!$A:$G,7,FALSE)</f>
        <v>#N/A</v>
      </c>
    </row>
    <row r="124" spans="1:83" ht="39.75">
      <c r="A124" s="281">
        <v>127</v>
      </c>
      <c r="B124" s="283" t="s">
        <v>754</v>
      </c>
      <c r="C124" s="281" t="s">
        <v>20</v>
      </c>
      <c r="D124" s="281" t="s">
        <v>22</v>
      </c>
      <c r="E124" s="281">
        <v>25010028</v>
      </c>
      <c r="F124" s="281"/>
      <c r="G124" s="282" t="s">
        <v>1336</v>
      </c>
      <c r="H124" s="291" t="s">
        <v>884</v>
      </c>
      <c r="I124" s="281"/>
      <c r="J124" s="281" t="s">
        <v>68</v>
      </c>
      <c r="K124" s="281" t="s">
        <v>917</v>
      </c>
      <c r="L124" s="281" t="s">
        <v>918</v>
      </c>
      <c r="M124" s="283" t="str">
        <f>IF(L124="NJAD","AA",IF(L124="AA","L",IF(L124="L","LK","GB")))</f>
        <v>AA</v>
      </c>
      <c r="N124" s="282" t="s">
        <v>511</v>
      </c>
      <c r="O124" s="281">
        <v>0</v>
      </c>
      <c r="P124" s="281"/>
      <c r="Q124" s="284">
        <v>45870</v>
      </c>
      <c r="R124" s="281" t="str">
        <f ca="1">DATEDIF(Q124,TODAY(), "Y") &amp; " Tahun " &amp; DATEDIF(Q124, TODAY(), "YM") &amp; " Bulan"</f>
        <v>0 Tahun 5 Bulan</v>
      </c>
      <c r="S124" s="281" t="s">
        <v>511</v>
      </c>
      <c r="T124" s="282" t="s">
        <v>511</v>
      </c>
      <c r="U124" s="281" t="e">
        <f ca="1">DATEDIF(T124,TODAY(), "Y") &amp; " Tahun " &amp; DATEDIF(T124, TODAY(), "YM") &amp; " Bulan"</f>
        <v>#VALUE!</v>
      </c>
      <c r="V124" s="281" t="s">
        <v>850</v>
      </c>
      <c r="W124" s="281" t="s">
        <v>851</v>
      </c>
      <c r="X124" s="283" t="str">
        <f ca="1">IF(AND(OR(L124="AA",L124="L"),OR(S124="Penata Muda Tk. I Golongan III/b",S124="Penata Golongan III/c"),DATEDIF(Q124,TODAY(),"m")&gt;=23,ISBLANK(Z124),C124="Aktif"),"Nominasi Serdos","-")</f>
        <v>-</v>
      </c>
      <c r="Y124" s="281"/>
      <c r="Z124" s="282"/>
      <c r="AA124" s="295"/>
      <c r="AB124" s="281"/>
      <c r="AC124" s="282"/>
      <c r="AD124" s="281"/>
      <c r="AE124" s="281"/>
      <c r="AF124" s="281"/>
      <c r="AG124" s="281"/>
      <c r="AH124" s="281" t="s">
        <v>854</v>
      </c>
      <c r="AI124" s="281"/>
      <c r="AJ124" s="281"/>
      <c r="AK124" s="281"/>
      <c r="AM124" s="286">
        <v>45870</v>
      </c>
      <c r="AN124" s="287" t="str">
        <f ca="1">DATEDIF(AM124,TODAY(),"y")&amp;" tahun "&amp;DATEDIF(AM124,TODAY(),"ym")&amp;" bulan "</f>
        <v xml:space="preserve">0 tahun 5 bulan </v>
      </c>
      <c r="AO124" s="281"/>
      <c r="AP124" s="281"/>
      <c r="AQ124" s="281" t="s">
        <v>1337</v>
      </c>
      <c r="AR124" s="281" t="s">
        <v>1338</v>
      </c>
      <c r="AS124" s="281">
        <v>82287815600</v>
      </c>
      <c r="AT124" s="281" t="s">
        <v>1339</v>
      </c>
      <c r="AU124" s="281"/>
      <c r="AV124" s="281"/>
      <c r="AW124" s="281" t="str">
        <f>VLOOKUP(B124,Sheet2!A112:I229,9,FALSE)</f>
        <v>Muhammad Farhansyah Mondari, S.M., M.M.</v>
      </c>
      <c r="AX124" s="281" t="s">
        <v>861</v>
      </c>
      <c r="AY124" s="281" t="str">
        <f>VLOOKUP(B124,Sheet2!A112:C229,2,FALSE)</f>
        <v>Padang</v>
      </c>
      <c r="AZ124" s="288">
        <f>VLOOKUP(B124,Sheet2!A112:C229,3,FALSE)</f>
        <v>37014</v>
      </c>
      <c r="BA124" s="281">
        <f ca="1">DATEDIF(AZ124, TODAY(),"y")</f>
        <v>24</v>
      </c>
      <c r="BB124" s="281"/>
      <c r="BC124" s="281"/>
      <c r="BD124" s="281"/>
      <c r="BE124" s="281"/>
      <c r="BF124" s="289"/>
      <c r="BG124" s="289"/>
      <c r="BH124" s="289"/>
      <c r="BI124" s="289"/>
      <c r="BJ124" s="289"/>
      <c r="BK124" s="289"/>
      <c r="BL124" s="288" t="s">
        <v>21</v>
      </c>
      <c r="BM124" s="281"/>
      <c r="BN124" s="281"/>
      <c r="BO124" s="281"/>
      <c r="BP124" s="281"/>
      <c r="BQ124" s="281"/>
      <c r="BR124" s="288"/>
      <c r="BS124" s="288" t="str">
        <f>VLOOKUP(B124,Sheet2!A112:F229,6,FALSE)</f>
        <v>HRH</v>
      </c>
      <c r="BT124" s="288" t="str">
        <f>VLOOKUP(B124,Sheet2!A112:G229,7,FALSE)</f>
        <v>Fakultas Ekonomi dan Bisnis</v>
      </c>
      <c r="BU124" s="288"/>
      <c r="BW124" s="273"/>
    </row>
    <row r="125" spans="1:83" ht="18.95">
      <c r="A125" s="281">
        <v>4</v>
      </c>
      <c r="B125" s="281" t="s">
        <v>544</v>
      </c>
      <c r="C125" s="281" t="s">
        <v>20</v>
      </c>
      <c r="D125" s="281" t="s">
        <v>524</v>
      </c>
      <c r="E125" s="281">
        <v>19920005</v>
      </c>
      <c r="F125" s="281" t="s">
        <v>1340</v>
      </c>
      <c r="G125" s="282" t="s">
        <v>545</v>
      </c>
      <c r="H125" s="281" t="s">
        <v>845</v>
      </c>
      <c r="I125" s="281" t="s">
        <v>30</v>
      </c>
      <c r="J125" s="281" t="s">
        <v>354</v>
      </c>
      <c r="K125" s="281" t="s">
        <v>893</v>
      </c>
      <c r="L125" s="281" t="s">
        <v>775</v>
      </c>
      <c r="M125" s="283" t="str">
        <f>IF(L125="NJAD","AA",IF(L125="AA","L",IF(L125="L","LK","GB")))</f>
        <v>LK</v>
      </c>
      <c r="N125" s="282" t="s">
        <v>511</v>
      </c>
      <c r="O125" s="281">
        <v>300</v>
      </c>
      <c r="P125" s="281" t="s">
        <v>1341</v>
      </c>
      <c r="Q125" s="284">
        <v>44958</v>
      </c>
      <c r="R125" s="281" t="str">
        <f ca="1">DATEDIF(Q125,TODAY(), "Y") &amp; " Tahun " &amp; DATEDIF(Q125, TODAY(), "YM") &amp; " Bulan"</f>
        <v>2 Tahun 11 Bulan</v>
      </c>
      <c r="S125" s="281" t="s">
        <v>876</v>
      </c>
      <c r="T125" s="285">
        <v>45047</v>
      </c>
      <c r="U125" s="281" t="str">
        <f ca="1">DATEDIF(T125,TODAY(), "Y") &amp; " Tahun " &amp; DATEDIF(T125, TODAY(), "YM") &amp; " Bulan"</f>
        <v>2 Tahun 8 Bulan</v>
      </c>
      <c r="V125" s="281" t="s">
        <v>895</v>
      </c>
      <c r="W125" s="281" t="s">
        <v>851</v>
      </c>
      <c r="X125" s="283" t="str">
        <f ca="1">IF(AND(OR(L125="AA",L125="L"),OR(S125="Penata Muda Tk. I Golongan III/b",S125="Penata Golongan III/c"),DATEDIF(Q125,TODAY(),"m")&gt;=23,ISBLANK(Z125),C125="Aktif"),"Nominasi Serdos","-")</f>
        <v>-</v>
      </c>
      <c r="Y125" s="281"/>
      <c r="Z125" s="281" t="s">
        <v>852</v>
      </c>
      <c r="AA125" s="281">
        <v>22107201902508</v>
      </c>
      <c r="AB125" s="281" t="s">
        <v>1342</v>
      </c>
      <c r="AC125" s="285">
        <v>44783</v>
      </c>
      <c r="AD125" s="281" t="s">
        <v>30</v>
      </c>
      <c r="AE125" s="281" t="s">
        <v>30</v>
      </c>
      <c r="AF125" s="281" t="s">
        <v>30</v>
      </c>
      <c r="AG125" s="281" t="s">
        <v>30</v>
      </c>
      <c r="AH125" s="281" t="s">
        <v>854</v>
      </c>
      <c r="AI125" s="281" t="s">
        <v>855</v>
      </c>
      <c r="AJ125" s="281" t="s">
        <v>856</v>
      </c>
      <c r="AK125" s="281" t="s">
        <v>855</v>
      </c>
      <c r="AL125" s="281" t="s">
        <v>857</v>
      </c>
      <c r="AM125" s="286">
        <v>43101</v>
      </c>
      <c r="AN125" s="287" t="str">
        <f ca="1">DATEDIF(AM125,TODAY(),"y")&amp;" tahun "&amp;DATEDIF(AM125,TODAY(),"ym")&amp;" bulan "</f>
        <v xml:space="preserve">8 tahun 0 bulan </v>
      </c>
      <c r="AO125" s="281" t="s">
        <v>858</v>
      </c>
      <c r="AP125" s="281" t="s">
        <v>900</v>
      </c>
      <c r="AQ125" s="281" t="s">
        <v>1343</v>
      </c>
      <c r="AR125" s="300" t="s">
        <v>546</v>
      </c>
      <c r="AS125" s="281">
        <v>8113788188</v>
      </c>
      <c r="AT125" s="281" t="s">
        <v>547</v>
      </c>
      <c r="AU125" s="281" t="s">
        <v>30</v>
      </c>
      <c r="AV125" s="281"/>
      <c r="AW125" s="281" t="str">
        <f>VLOOKUP(B125,Sheet2!A5:I122,9,FALSE)</f>
        <v>Khodijah Amiroh, S.ST., M.T.</v>
      </c>
      <c r="AX125" s="281" t="s">
        <v>902</v>
      </c>
      <c r="AY125" s="281" t="str">
        <f>VLOOKUP(B125,Sheet2!A5:C122,2,FALSE)</f>
        <v>Tangerang</v>
      </c>
      <c r="AZ125" s="288">
        <f>VLOOKUP(B125,Sheet2!A5:C122,3,FALSE)</f>
        <v>33763</v>
      </c>
      <c r="BA125" s="281">
        <f ca="1">DATEDIF(AZ125, TODAY(),"y")</f>
        <v>33</v>
      </c>
      <c r="BB125" s="281"/>
      <c r="BC125" s="281"/>
      <c r="BD125" s="281"/>
      <c r="BE125" s="281"/>
      <c r="BF125" s="289"/>
      <c r="BG125" s="289"/>
      <c r="BH125" s="289"/>
      <c r="BI125" s="304"/>
      <c r="BJ125" s="304"/>
      <c r="BK125" s="304"/>
      <c r="BL125" s="288" t="str">
        <f>VLOOKUP(B125,Sheet2!A5:D122,4,FALSE)</f>
        <v>Dosen</v>
      </c>
      <c r="BM125" s="281"/>
      <c r="BN125" s="281"/>
      <c r="BO125" s="281"/>
      <c r="BP125" s="281"/>
      <c r="BQ125" s="281"/>
      <c r="BR125" s="288" t="str">
        <f>VLOOKUP(B125,Sheet2!A5:E122,5,FALSE)</f>
        <v>Communication and Information Technology Infrastructure (CITI)</v>
      </c>
      <c r="BS125" s="288" t="str">
        <f>VLOOKUP(B125,Sheet2!A5:F122,6,FALSE)</f>
        <v>DIJ</v>
      </c>
      <c r="BT125" s="288" t="str">
        <f>VLOOKUP(B125,Sheet2!A5:G122,7,FALSE)</f>
        <v>Fakultas Informatika</v>
      </c>
      <c r="BU125" s="288" t="str">
        <f>VLOOKUP(B125,Sheet2!A5:H122,8,FALSE)</f>
        <v>dijaamirah@telkomuniversity.ac.id</v>
      </c>
      <c r="BV125" s="280">
        <f>COUNTIFS('Join TPA Dosen'!B:B,Dosen!B32)</f>
        <v>1</v>
      </c>
      <c r="BW125" s="273" t="str">
        <f>DATEDIF(AM125,DATE(2026,1,1),"y")&amp;" tahun "&amp;DATEDIF(AM125,DATE(2026,1,1),"ym")&amp;" bulan "</f>
        <v xml:space="preserve">8 tahun 0 bulan </v>
      </c>
      <c r="BX125" s="280" t="str">
        <f>VLOOKUP($B125,Sheet1!$A:$G,2,FALSE)</f>
        <v>PENS</v>
      </c>
      <c r="BY125" s="280" t="str">
        <f>VLOOKUP($B125,Sheet1!$A:$G,3,FALSE)</f>
        <v>Elektronika</v>
      </c>
      <c r="BZ125" s="280" t="str">
        <f>VLOOKUP($B125,Sheet1!$A:$G,4,FALSE)</f>
        <v>ITS</v>
      </c>
      <c r="CA125" s="280" t="str">
        <f>VLOOKUP($B125,Sheet1!$A:$G,5,FALSE)</f>
        <v>Teknik Elektro</v>
      </c>
      <c r="CB125" s="280" t="str">
        <f>VLOOKUP($B125,Sheet1!$A:$G,6,FALSE)</f>
        <v>UGM</v>
      </c>
      <c r="CC125" s="280" t="str">
        <f>VLOOKUP($B125,Sheet1!$A:$G,7,FALSE)</f>
        <v>Ilmu Komputer</v>
      </c>
      <c r="CD125" s="280" t="s">
        <v>862</v>
      </c>
      <c r="CE125" s="280" t="s">
        <v>903</v>
      </c>
    </row>
    <row r="126" spans="1:83" ht="19.5">
      <c r="A126" s="281">
        <v>128</v>
      </c>
      <c r="B126" s="281" t="s">
        <v>755</v>
      </c>
      <c r="C126" s="281" t="s">
        <v>20</v>
      </c>
      <c r="D126" s="281" t="s">
        <v>235</v>
      </c>
      <c r="E126" s="281">
        <v>25990026</v>
      </c>
      <c r="F126" s="281"/>
      <c r="G126" s="282"/>
      <c r="H126" s="291" t="s">
        <v>884</v>
      </c>
      <c r="I126" s="281"/>
      <c r="J126" s="281" t="s">
        <v>424</v>
      </c>
      <c r="K126" s="281" t="s">
        <v>917</v>
      </c>
      <c r="L126" s="281" t="s">
        <v>918</v>
      </c>
      <c r="M126" s="283" t="str">
        <f>IF(L126="NJAD","AA",IF(L126="AA","L",IF(L126="L","LK","GB")))</f>
        <v>AA</v>
      </c>
      <c r="N126" s="282" t="s">
        <v>511</v>
      </c>
      <c r="O126" s="281">
        <v>0</v>
      </c>
      <c r="P126" s="281"/>
      <c r="Q126" s="284">
        <v>45870</v>
      </c>
      <c r="R126" s="281" t="str">
        <f ca="1">DATEDIF(Q126,TODAY(), "Y") &amp; " Tahun " &amp; DATEDIF(Q126, TODAY(), "YM") &amp; " Bulan"</f>
        <v>0 Tahun 5 Bulan</v>
      </c>
      <c r="S126" s="281" t="s">
        <v>511</v>
      </c>
      <c r="T126" s="282" t="s">
        <v>511</v>
      </c>
      <c r="U126" s="281" t="e">
        <f ca="1">DATEDIF(T126,TODAY(), "Y") &amp; " Tahun " &amp; DATEDIF(T126, TODAY(), "YM") &amp; " Bulan"</f>
        <v>#VALUE!</v>
      </c>
      <c r="V126" s="281" t="s">
        <v>933</v>
      </c>
      <c r="W126" s="281" t="s">
        <v>851</v>
      </c>
      <c r="X126" s="283" t="str">
        <f ca="1">IF(AND(OR(L126="AA",L126="L"),OR(S126="Penata Muda Tk. I Golongan III/b",S126="Penata Golongan III/c"),DATEDIF(Q126,TODAY(),"m")&gt;=23,ISBLANK(Z126),C126="Aktif"),"Nominasi Serdos","-")</f>
        <v>-</v>
      </c>
      <c r="Y126" s="281"/>
      <c r="Z126" s="282"/>
      <c r="AA126" s="295"/>
      <c r="AB126" s="281"/>
      <c r="AC126" s="282"/>
      <c r="AD126" s="281"/>
      <c r="AE126" s="281"/>
      <c r="AF126" s="281"/>
      <c r="AG126" s="281"/>
      <c r="AH126" s="281" t="s">
        <v>854</v>
      </c>
      <c r="AI126" s="281" t="s">
        <v>855</v>
      </c>
      <c r="AJ126" s="281" t="s">
        <v>897</v>
      </c>
      <c r="AK126" s="281" t="s">
        <v>898</v>
      </c>
      <c r="AL126" s="280" t="s">
        <v>899</v>
      </c>
      <c r="AM126" s="286">
        <v>45870</v>
      </c>
      <c r="AN126" s="287" t="str">
        <f ca="1">DATEDIF(AM126,TODAY(),"y")&amp;" tahun "&amp;DATEDIF(AM126,TODAY(),"ym")&amp;" bulan "</f>
        <v xml:space="preserve">0 tahun 5 bulan </v>
      </c>
      <c r="AO126" s="281"/>
      <c r="AP126" s="281"/>
      <c r="AQ126" s="281" t="s">
        <v>1344</v>
      </c>
      <c r="AR126" s="281" t="s">
        <v>1345</v>
      </c>
      <c r="AS126" s="281">
        <v>82146514032</v>
      </c>
      <c r="AT126" s="281" t="s">
        <v>1346</v>
      </c>
      <c r="AU126" s="281"/>
      <c r="AV126" s="281"/>
      <c r="AW126" s="281" t="str">
        <f>VLOOKUP(B126,Sheet2!A113:I230,9,FALSE)</f>
        <v>Rizqi Ramadhan, S.T., M.Kom.</v>
      </c>
      <c r="AX126" s="281" t="s">
        <v>861</v>
      </c>
      <c r="AY126" s="281" t="str">
        <f>VLOOKUP(B126,Sheet2!A113:C230,2,FALSE)</f>
        <v>Banyuwangi</v>
      </c>
      <c r="AZ126" s="288">
        <f>VLOOKUP(B126,Sheet2!A113:C230,3,FALSE)</f>
        <v>36171</v>
      </c>
      <c r="BA126" s="281">
        <f ca="1">DATEDIF(AZ126, TODAY(),"y")</f>
        <v>27</v>
      </c>
      <c r="BB126" s="281"/>
      <c r="BC126" s="281"/>
      <c r="BD126" s="281"/>
      <c r="BE126" s="281"/>
      <c r="BF126" s="289"/>
      <c r="BG126" s="289"/>
      <c r="BH126" s="289"/>
      <c r="BI126" s="289"/>
      <c r="BJ126" s="289"/>
      <c r="BK126" s="289"/>
      <c r="BL126" s="288" t="s">
        <v>21</v>
      </c>
      <c r="BM126" s="281"/>
      <c r="BN126" s="281"/>
      <c r="BO126" s="281"/>
      <c r="BP126" s="281"/>
      <c r="BQ126" s="281"/>
      <c r="BR126" s="288"/>
      <c r="BS126" s="288" t="str">
        <f>VLOOKUP(B126,Sheet2!A113:F230,6,FALSE)</f>
        <v>ZQI</v>
      </c>
      <c r="BT126" s="288" t="str">
        <f>VLOOKUP(B126,Sheet2!A113:G230,7,FALSE)</f>
        <v>Fakultas Rekayasa Industri</v>
      </c>
      <c r="BU126" s="288" t="s">
        <v>1347</v>
      </c>
      <c r="BW126" s="273"/>
    </row>
    <row r="127" spans="1:83" ht="19.5" customHeight="1">
      <c r="A127" s="281">
        <v>129</v>
      </c>
      <c r="B127" s="281" t="s">
        <v>756</v>
      </c>
      <c r="C127" s="281" t="s">
        <v>694</v>
      </c>
      <c r="D127" s="281" t="s">
        <v>413</v>
      </c>
      <c r="E127" s="281">
        <v>25000022</v>
      </c>
      <c r="F127" s="281"/>
      <c r="G127" s="282"/>
      <c r="H127" s="291" t="s">
        <v>884</v>
      </c>
      <c r="I127" s="281"/>
      <c r="J127" s="281" t="s">
        <v>1348</v>
      </c>
      <c r="K127" s="281" t="s">
        <v>917</v>
      </c>
      <c r="L127" s="281" t="s">
        <v>918</v>
      </c>
      <c r="M127" s="283" t="str">
        <f>IF(L127="NJAD","AA",IF(L127="AA","L",IF(L127="L","LK","GB")))</f>
        <v>AA</v>
      </c>
      <c r="N127" s="282" t="s">
        <v>511</v>
      </c>
      <c r="O127" s="281">
        <v>0</v>
      </c>
      <c r="P127" s="281"/>
      <c r="Q127" s="284">
        <v>45870</v>
      </c>
      <c r="R127" s="281" t="str">
        <f ca="1">DATEDIF(Q127,TODAY(), "Y") &amp; " Tahun " &amp; DATEDIF(Q127, TODAY(), "YM") &amp; " Bulan"</f>
        <v>0 Tahun 5 Bulan</v>
      </c>
      <c r="S127" s="281" t="s">
        <v>511</v>
      </c>
      <c r="T127" s="282" t="s">
        <v>511</v>
      </c>
      <c r="U127" s="281" t="e">
        <f ca="1">DATEDIF(T127,TODAY(), "Y") &amp; " Tahun " &amp; DATEDIF(T127, TODAY(), "YM") &amp; " Bulan"</f>
        <v>#VALUE!</v>
      </c>
      <c r="V127" s="281" t="s">
        <v>1254</v>
      </c>
      <c r="W127" s="281" t="s">
        <v>851</v>
      </c>
      <c r="X127" s="283" t="str">
        <f ca="1">IF(AND(OR(L127="AA",L127="L"),OR(S127="Penata Muda Tk. I Golongan III/b",S127="Penata Golongan III/c"),DATEDIF(Q127,TODAY(),"m")&gt;=23,ISBLANK(Z127),C127="Aktif"),"Nominasi Serdos","-")</f>
        <v>-</v>
      </c>
      <c r="Y127" s="281"/>
      <c r="Z127" s="282"/>
      <c r="AA127" s="295"/>
      <c r="AB127" s="281"/>
      <c r="AC127" s="282"/>
      <c r="AD127" s="281"/>
      <c r="AE127" s="281"/>
      <c r="AF127" s="281"/>
      <c r="AG127" s="281"/>
      <c r="AH127" s="281" t="s">
        <v>854</v>
      </c>
      <c r="AI127" s="281"/>
      <c r="AJ127" s="281"/>
      <c r="AK127" s="281"/>
      <c r="AM127" s="286">
        <v>45870</v>
      </c>
      <c r="AN127" s="287" t="str">
        <f ca="1">DATEDIF(AM127,TODAY(),"y")&amp;" tahun "&amp;DATEDIF(AM127,TODAY(),"ym")&amp;" bulan "</f>
        <v xml:space="preserve">0 tahun 5 bulan </v>
      </c>
      <c r="AO127" s="281"/>
      <c r="AP127" s="281"/>
      <c r="AQ127" s="281" t="s">
        <v>1349</v>
      </c>
      <c r="AR127" s="281" t="s">
        <v>1350</v>
      </c>
      <c r="AS127" s="281">
        <v>85899591792</v>
      </c>
      <c r="AT127" s="281" t="s">
        <v>1351</v>
      </c>
      <c r="AU127" s="281"/>
      <c r="AV127" s="281"/>
      <c r="AW127" s="281" t="str">
        <f>VLOOKUP(B127,Sheet2!A114:I231,9,FALSE)</f>
        <v>Rohmah Hidayah, S.Tr.T., M.T.</v>
      </c>
      <c r="AX127" s="281" t="s">
        <v>902</v>
      </c>
      <c r="AY127" s="281" t="str">
        <f>VLOOKUP(B127,Sheet2!A114:C231,2,FALSE)</f>
        <v>Tuban</v>
      </c>
      <c r="AZ127" s="288">
        <f>VLOOKUP(B127,Sheet2!A114:C231,3,FALSE)</f>
        <v>36534</v>
      </c>
      <c r="BA127" s="281">
        <f ca="1">DATEDIF(AZ127, TODAY(),"y")</f>
        <v>26</v>
      </c>
      <c r="BB127" s="281"/>
      <c r="BC127" s="281"/>
      <c r="BD127" s="281"/>
      <c r="BE127" s="281"/>
      <c r="BF127" s="289"/>
      <c r="BG127" s="289"/>
      <c r="BH127" s="289"/>
      <c r="BI127" s="289"/>
      <c r="BJ127" s="289"/>
      <c r="BK127" s="289"/>
      <c r="BL127" s="288" t="s">
        <v>21</v>
      </c>
      <c r="BM127" s="281"/>
      <c r="BN127" s="281"/>
      <c r="BO127" s="281"/>
      <c r="BP127" s="281"/>
      <c r="BQ127" s="281"/>
      <c r="BR127" s="288"/>
      <c r="BS127" s="288" t="str">
        <f>VLOOKUP(B127,Sheet2!A114:F231,6,FALSE)</f>
        <v>HYH</v>
      </c>
      <c r="BT127" s="288" t="str">
        <f>VLOOKUP(B127,Sheet2!A114:G231,7,FALSE)</f>
        <v>Fakultas Teknik Elektro</v>
      </c>
      <c r="BU127" s="288" t="s">
        <v>1352</v>
      </c>
      <c r="BW127" s="273"/>
    </row>
    <row r="128" spans="1:83" ht="19.5" customHeight="1">
      <c r="A128" s="281">
        <v>130</v>
      </c>
      <c r="B128" s="281" t="s">
        <v>757</v>
      </c>
      <c r="C128" s="281" t="s">
        <v>20</v>
      </c>
      <c r="D128" s="281" t="s">
        <v>370</v>
      </c>
      <c r="E128" s="281">
        <v>25010029</v>
      </c>
      <c r="F128" s="281"/>
      <c r="G128" s="296" t="s">
        <v>1353</v>
      </c>
      <c r="H128" s="291" t="s">
        <v>884</v>
      </c>
      <c r="I128" s="281"/>
      <c r="J128" s="281" t="s">
        <v>176</v>
      </c>
      <c r="K128" s="281" t="s">
        <v>917</v>
      </c>
      <c r="L128" s="281" t="s">
        <v>918</v>
      </c>
      <c r="M128" s="283" t="str">
        <f>IF(L128="NJAD","AA",IF(L128="AA","L",IF(L128="L","LK","GB")))</f>
        <v>AA</v>
      </c>
      <c r="N128" s="282" t="s">
        <v>511</v>
      </c>
      <c r="O128" s="281">
        <v>0</v>
      </c>
      <c r="P128" s="281"/>
      <c r="Q128" s="284">
        <v>45870</v>
      </c>
      <c r="R128" s="281" t="str">
        <f ca="1">DATEDIF(Q128,TODAY(), "Y") &amp; " Tahun " &amp; DATEDIF(Q128, TODAY(), "YM") &amp; " Bulan"</f>
        <v>0 Tahun 5 Bulan</v>
      </c>
      <c r="S128" s="281" t="s">
        <v>511</v>
      </c>
      <c r="T128" s="282" t="s">
        <v>511</v>
      </c>
      <c r="U128" s="281" t="e">
        <f ca="1">DATEDIF(T128,TODAY(), "Y") &amp; " Tahun " &amp; DATEDIF(T128, TODAY(), "YM") &amp; " Bulan"</f>
        <v>#VALUE!</v>
      </c>
      <c r="V128" s="281" t="s">
        <v>966</v>
      </c>
      <c r="W128" s="281" t="s">
        <v>851</v>
      </c>
      <c r="X128" s="283" t="str">
        <f ca="1">IF(AND(OR(L128="AA",L128="L"),OR(S128="Penata Muda Tk. I Golongan III/b",S128="Penata Golongan III/c"),DATEDIF(Q128,TODAY(),"m")&gt;=23,ISBLANK(Z128),C128="Aktif"),"Nominasi Serdos","-")</f>
        <v>-</v>
      </c>
      <c r="Y128" s="281"/>
      <c r="Z128" s="282"/>
      <c r="AA128" s="295"/>
      <c r="AB128" s="281"/>
      <c r="AC128" s="282"/>
      <c r="AD128" s="281"/>
      <c r="AE128" s="281"/>
      <c r="AF128" s="281"/>
      <c r="AG128" s="281"/>
      <c r="AH128" s="281" t="s">
        <v>854</v>
      </c>
      <c r="AI128" s="281"/>
      <c r="AJ128" s="281"/>
      <c r="AK128" s="281"/>
      <c r="AM128" s="286">
        <v>45870</v>
      </c>
      <c r="AN128" s="287" t="str">
        <f ca="1">DATEDIF(AM128,TODAY(),"y")&amp;" tahun "&amp;DATEDIF(AM128,TODAY(),"ym")&amp;" bulan "</f>
        <v xml:space="preserve">0 tahun 5 bulan </v>
      </c>
      <c r="AO128" s="281"/>
      <c r="AP128" s="281"/>
      <c r="AQ128" s="281" t="s">
        <v>1354</v>
      </c>
      <c r="AR128" s="281" t="s">
        <v>1355</v>
      </c>
      <c r="AS128" s="281">
        <v>85321790627</v>
      </c>
      <c r="AT128" s="281" t="s">
        <v>1356</v>
      </c>
      <c r="AU128" s="281"/>
      <c r="AV128" s="281"/>
      <c r="AW128" s="281" t="str">
        <f>VLOOKUP(B128,Sheet2!A115:I232,9,FALSE)</f>
        <v>Salsabila Putri Indah Sari, S.T., M.T.</v>
      </c>
      <c r="AX128" s="281" t="s">
        <v>902</v>
      </c>
      <c r="AY128" s="281" t="str">
        <f>VLOOKUP(B128,Sheet2!A115:C232,2,FALSE)</f>
        <v>Cirebon</v>
      </c>
      <c r="AZ128" s="288">
        <f>VLOOKUP(B128,Sheet2!A115:C232,3,FALSE)</f>
        <v>36985</v>
      </c>
      <c r="BA128" s="281">
        <f ca="1">DATEDIF(AZ128, TODAY(),"y")</f>
        <v>24</v>
      </c>
      <c r="BB128" s="281"/>
      <c r="BC128" s="281"/>
      <c r="BD128" s="281"/>
      <c r="BE128" s="281"/>
      <c r="BF128" s="289"/>
      <c r="BG128" s="289"/>
      <c r="BH128" s="289"/>
      <c r="BI128" s="289"/>
      <c r="BJ128" s="289"/>
      <c r="BK128" s="289"/>
      <c r="BL128" s="288" t="s">
        <v>21</v>
      </c>
      <c r="BM128" s="281"/>
      <c r="BN128" s="281"/>
      <c r="BO128" s="281"/>
      <c r="BP128" s="281"/>
      <c r="BQ128" s="281"/>
      <c r="BR128" s="288"/>
      <c r="BS128" s="288" t="str">
        <f>VLOOKUP(B128,Sheet2!A115:F232,6,FALSE)</f>
        <v>SSP</v>
      </c>
      <c r="BT128" s="288" t="str">
        <f>VLOOKUP(B128,Sheet2!A115:G232,7,FALSE)</f>
        <v>Fakultas Rekayasa Industri</v>
      </c>
      <c r="BU128" s="288" t="s">
        <v>1357</v>
      </c>
      <c r="BW128" s="273"/>
    </row>
    <row r="129" spans="1:83" ht="19.5" customHeight="1">
      <c r="A129" s="281">
        <v>20</v>
      </c>
      <c r="B129" s="281" t="s">
        <v>533</v>
      </c>
      <c r="C129" s="281" t="s">
        <v>46</v>
      </c>
      <c r="D129" s="281" t="s">
        <v>524</v>
      </c>
      <c r="E129" s="302">
        <v>19910003</v>
      </c>
      <c r="F129" s="302" t="s">
        <v>1358</v>
      </c>
      <c r="G129" s="302"/>
      <c r="H129" s="281" t="s">
        <v>845</v>
      </c>
      <c r="I129" s="302" t="s">
        <v>30</v>
      </c>
      <c r="J129" s="302" t="s">
        <v>176</v>
      </c>
      <c r="K129" s="302" t="s">
        <v>846</v>
      </c>
      <c r="L129" s="302" t="s">
        <v>847</v>
      </c>
      <c r="M129" s="283" t="str">
        <f>IF(L129="NJAD","AA",IF(L129="AA","L",IF(L129="L","LK","GB")))</f>
        <v>L</v>
      </c>
      <c r="N129" s="309" t="s">
        <v>511</v>
      </c>
      <c r="O129" s="302">
        <v>150</v>
      </c>
      <c r="P129" s="302" t="s">
        <v>30</v>
      </c>
      <c r="Q129" s="310">
        <v>44195</v>
      </c>
      <c r="R129" s="281" t="str">
        <f ca="1">DATEDIF(Q129,TODAY(), "Y") &amp; " Tahun " &amp; DATEDIF(Q129, TODAY(), "YM") &amp; " Bulan"</f>
        <v>5 Tahun 0 Bulan</v>
      </c>
      <c r="S129" s="302" t="s">
        <v>849</v>
      </c>
      <c r="T129" s="315">
        <v>44348</v>
      </c>
      <c r="U129" s="281" t="str">
        <f ca="1">DATEDIF(T129,TODAY(), "Y") &amp; " Tahun " &amp; DATEDIF(T129, TODAY(), "YM") &amp; " Bulan"</f>
        <v>4 Tahun 7 Bulan</v>
      </c>
      <c r="V129" s="302" t="s">
        <v>895</v>
      </c>
      <c r="W129" s="302" t="s">
        <v>851</v>
      </c>
      <c r="X129" s="283" t="str">
        <f ca="1">IF(AND(OR(L129="AA",L129="L"),OR(S129="Penata Muda Tk. I Golongan III/b",S129="Penata Golongan III/c"),DATEDIF(Q129,TODAY(),"m")&gt;=23,ISBLANK(Z129),C129="Aktif"),"Nominasi Serdos","-")</f>
        <v>-</v>
      </c>
      <c r="Y129" s="281"/>
      <c r="Z129" s="311"/>
      <c r="AA129" s="302"/>
      <c r="AB129" s="302" t="s">
        <v>30</v>
      </c>
      <c r="AC129" s="311" t="s">
        <v>511</v>
      </c>
      <c r="AD129" s="302" t="s">
        <v>30</v>
      </c>
      <c r="AE129" s="302" t="s">
        <v>30</v>
      </c>
      <c r="AF129" s="302" t="s">
        <v>30</v>
      </c>
      <c r="AG129" s="302" t="s">
        <v>30</v>
      </c>
      <c r="AH129" s="302" t="s">
        <v>854</v>
      </c>
      <c r="AI129" s="302" t="s">
        <v>30</v>
      </c>
      <c r="AJ129" s="302" t="s">
        <v>30</v>
      </c>
      <c r="AK129" s="302" t="s">
        <v>30</v>
      </c>
      <c r="AM129" s="303">
        <v>43101</v>
      </c>
      <c r="AN129" s="287" t="str">
        <f ca="1">DATEDIF(AM129,TODAY(),"y")&amp;" tahun "&amp;DATEDIF(AM129,TODAY(),"ym")&amp;" bulan "</f>
        <v xml:space="preserve">8 tahun 0 bulan </v>
      </c>
      <c r="AO129" s="302" t="s">
        <v>858</v>
      </c>
      <c r="AP129" s="302" t="s">
        <v>900</v>
      </c>
      <c r="AQ129" s="302" t="s">
        <v>1359</v>
      </c>
      <c r="AR129" s="302" t="s">
        <v>534</v>
      </c>
      <c r="AS129" s="302">
        <v>81322295542</v>
      </c>
      <c r="AT129" s="302" t="s">
        <v>535</v>
      </c>
      <c r="AU129" s="302" t="s">
        <v>30</v>
      </c>
      <c r="AV129" s="281"/>
      <c r="AW129" s="281" t="str">
        <f>VLOOKUP(B129,Sheet2!A21:I138,9,FALSE)</f>
        <v>Arliyanti Nurdin, S.T., M.T.</v>
      </c>
      <c r="AX129" s="281" t="s">
        <v>902</v>
      </c>
      <c r="AY129" s="281" t="str">
        <f>VLOOKUP(B129,Sheet2!A21:C138,2,FALSE)</f>
        <v>Benteng</v>
      </c>
      <c r="AZ129" s="288">
        <f>VLOOKUP(B129,Sheet2!A21:C138,3,FALSE)</f>
        <v>33408</v>
      </c>
      <c r="BA129" s="281">
        <f ca="1">DATEDIF(AZ129, TODAY(),"y")</f>
        <v>34</v>
      </c>
      <c r="BB129" s="281"/>
      <c r="BC129" s="281"/>
      <c r="BD129" s="281"/>
      <c r="BE129" s="281"/>
      <c r="BF129" s="289"/>
      <c r="BG129" s="289"/>
      <c r="BH129" s="289"/>
      <c r="BI129" s="289"/>
      <c r="BJ129" s="289"/>
      <c r="BK129" s="289"/>
      <c r="BL129" s="288" t="str">
        <f>VLOOKUP(B129,Sheet2!A21:D138,4,FALSE)</f>
        <v>Dosen</v>
      </c>
      <c r="BM129" s="281"/>
      <c r="BN129" s="281"/>
      <c r="BO129" s="281"/>
      <c r="BP129" s="281"/>
      <c r="BQ129" s="281"/>
      <c r="BR129" s="288" t="e">
        <f>VLOOKUP(B129,Sheet2!A21:E138,5,FALSE)</f>
        <v>#N/A</v>
      </c>
      <c r="BS129" s="288" t="e">
        <f>VLOOKUP(B129,Sheet2!A21:F138,6,FALSE)</f>
        <v>#N/A</v>
      </c>
      <c r="BT129" s="288" t="str">
        <f>VLOOKUP(B129,Sheet2!A21:G138,7,FALSE)</f>
        <v>Fakultas Informatika</v>
      </c>
      <c r="BU129" s="288"/>
      <c r="BV129" s="280">
        <f>COUNTIFS('Join TPA Dosen'!B:B,Dosen!B21)</f>
        <v>1</v>
      </c>
      <c r="BW129" s="273" t="str">
        <f>DATEDIF(AM129,DATE(2026,1,1),"y")&amp;" tahun "&amp;DATEDIF(AM129,DATE(2026,1,1),"ym")&amp;" bulan "</f>
        <v xml:space="preserve">8 tahun 0 bulan </v>
      </c>
      <c r="BX129" s="280" t="str">
        <f>VLOOKUP($B129,Sheet1!$A:$G,2,FALSE)</f>
        <v>UNHAS</v>
      </c>
      <c r="BY129" s="280" t="str">
        <f>VLOOKUP($B129,Sheet1!$A:$G,3,FALSE)</f>
        <v>Teknik Informatika</v>
      </c>
      <c r="BZ129" s="280" t="str">
        <f>VLOOKUP($B129,Sheet1!$A:$G,4,FALSE)</f>
        <v>ITB</v>
      </c>
      <c r="CA129" s="280" t="str">
        <f>VLOOKUP($B129,Sheet1!$A:$G,5,FALSE)</f>
        <v>Teknik Informatika</v>
      </c>
      <c r="CB129" s="280" t="str">
        <f>VLOOKUP($B129,Sheet1!$A:$G,6,FALSE)</f>
        <v>UGM</v>
      </c>
      <c r="CC129" s="280" t="str">
        <f>VLOOKUP($B129,Sheet1!$A:$G,7,FALSE)</f>
        <v>Ilmu Komputer</v>
      </c>
      <c r="CD129" s="280" t="e">
        <v>#N/A</v>
      </c>
      <c r="CE129" s="280" t="e">
        <v>#N/A</v>
      </c>
    </row>
    <row r="130" spans="1:83" ht="19.5" customHeight="1">
      <c r="A130" s="281">
        <v>25</v>
      </c>
      <c r="B130" s="281" t="s">
        <v>548</v>
      </c>
      <c r="C130" s="281" t="s">
        <v>20</v>
      </c>
      <c r="D130" s="281" t="s">
        <v>524</v>
      </c>
      <c r="E130" s="281">
        <v>19900006</v>
      </c>
      <c r="F130" s="281" t="s">
        <v>1360</v>
      </c>
      <c r="G130" s="282" t="s">
        <v>549</v>
      </c>
      <c r="H130" s="281" t="s">
        <v>845</v>
      </c>
      <c r="I130" s="281" t="s">
        <v>30</v>
      </c>
      <c r="J130" s="281" t="s">
        <v>176</v>
      </c>
      <c r="K130" s="281" t="s">
        <v>846</v>
      </c>
      <c r="L130" s="281" t="s">
        <v>847</v>
      </c>
      <c r="M130" s="283" t="str">
        <f>IF(L130="NJAD","AA",IF(L130="AA","L",IF(L130="L","LK","GB")))</f>
        <v>L</v>
      </c>
      <c r="N130" s="282" t="s">
        <v>511</v>
      </c>
      <c r="O130" s="281">
        <v>150</v>
      </c>
      <c r="P130" s="281" t="s">
        <v>1361</v>
      </c>
      <c r="Q130" s="284">
        <v>44116</v>
      </c>
      <c r="R130" s="281" t="str">
        <f ca="1">DATEDIF(Q130,TODAY(), "Y") &amp; " Tahun " &amp; DATEDIF(Q130, TODAY(), "YM") &amp; " Bulan"</f>
        <v>5 Tahun 3 Bulan</v>
      </c>
      <c r="S130" s="281" t="s">
        <v>849</v>
      </c>
      <c r="T130" s="285">
        <v>44256</v>
      </c>
      <c r="U130" s="281" t="str">
        <f ca="1">DATEDIF(T130,TODAY(), "Y") &amp; " Tahun " &amp; DATEDIF(T130, TODAY(), "YM") &amp; " Bulan"</f>
        <v>4 Tahun 10 Bulan</v>
      </c>
      <c r="V130" s="281" t="s">
        <v>1362</v>
      </c>
      <c r="W130" s="281" t="s">
        <v>851</v>
      </c>
      <c r="X130" s="283" t="str">
        <f ca="1">IF(AND(OR(L130="AA",L130="L"),OR(S130="Penata Muda Tk. I Golongan III/b",S130="Penata Golongan III/c"),DATEDIF(Q130,TODAY(),"m")&gt;=23,ISBLANK(Z130),C130="Aktif"),"Nominasi Serdos","-")</f>
        <v>-</v>
      </c>
      <c r="Y130" s="281"/>
      <c r="Z130" s="281" t="s">
        <v>852</v>
      </c>
      <c r="AA130" s="281">
        <v>23107201902963</v>
      </c>
      <c r="AB130" s="281" t="s">
        <v>1363</v>
      </c>
      <c r="AC130" s="285">
        <v>45085</v>
      </c>
      <c r="AD130" s="281" t="s">
        <v>30</v>
      </c>
      <c r="AE130" s="281" t="s">
        <v>30</v>
      </c>
      <c r="AF130" s="281" t="s">
        <v>30</v>
      </c>
      <c r="AG130" s="281" t="s">
        <v>30</v>
      </c>
      <c r="AH130" s="281" t="s">
        <v>854</v>
      </c>
      <c r="AI130" s="281" t="s">
        <v>855</v>
      </c>
      <c r="AJ130" s="281" t="s">
        <v>856</v>
      </c>
      <c r="AK130" s="281" t="s">
        <v>855</v>
      </c>
      <c r="AL130" s="281" t="s">
        <v>857</v>
      </c>
      <c r="AM130" s="286">
        <v>43101</v>
      </c>
      <c r="AN130" s="287" t="str">
        <f ca="1">DATEDIF(AM130,TODAY(),"y")&amp;" tahun "&amp;DATEDIF(AM130,TODAY(),"ym")&amp;" bulan "</f>
        <v xml:space="preserve">8 tahun 0 bulan </v>
      </c>
      <c r="AO130" s="281" t="s">
        <v>858</v>
      </c>
      <c r="AP130" s="281" t="s">
        <v>900</v>
      </c>
      <c r="AQ130" s="281" t="s">
        <v>1364</v>
      </c>
      <c r="AR130" s="281" t="s">
        <v>550</v>
      </c>
      <c r="AS130" s="281">
        <v>85218885269</v>
      </c>
      <c r="AT130" s="281" t="s">
        <v>551</v>
      </c>
      <c r="AU130" s="281" t="s">
        <v>30</v>
      </c>
      <c r="AV130" s="281"/>
      <c r="AW130" s="281" t="str">
        <f>VLOOKUP(B130,Sheet2!A26:I143,9,FALSE)</f>
        <v>Oktavia Ayu Permata, S.T., M.T.</v>
      </c>
      <c r="AX130" s="281" t="s">
        <v>902</v>
      </c>
      <c r="AY130" s="281" t="str">
        <f>VLOOKUP(B130,Sheet2!A26:C143,2,FALSE)</f>
        <v>Kediri</v>
      </c>
      <c r="AZ130" s="288">
        <f>VLOOKUP(B130,Sheet2!A26:C143,3,FALSE)</f>
        <v>33151</v>
      </c>
      <c r="BA130" s="281">
        <f ca="1">DATEDIF(AZ130, TODAY(),"y")</f>
        <v>35</v>
      </c>
      <c r="BB130" s="281"/>
      <c r="BC130" s="281"/>
      <c r="BD130" s="281"/>
      <c r="BE130" s="281"/>
      <c r="BF130" s="289"/>
      <c r="BG130" s="289"/>
      <c r="BH130" s="289"/>
      <c r="BI130" s="289"/>
      <c r="BJ130" s="289"/>
      <c r="BK130" s="289"/>
      <c r="BL130" s="288" t="str">
        <f>VLOOKUP(B130,Sheet2!A26:D143,4,FALSE)</f>
        <v>Dosen</v>
      </c>
      <c r="BM130" s="281"/>
      <c r="BN130" s="281"/>
      <c r="BO130" s="281"/>
      <c r="BP130" s="281"/>
      <c r="BQ130" s="281"/>
      <c r="BR130" s="288" t="str">
        <f>VLOOKUP(B130,Sheet2!A26:E143,5,FALSE)</f>
        <v>Communication and Information Technology Infrastructure (CITI)</v>
      </c>
      <c r="BS130" s="288" t="str">
        <f>VLOOKUP(B130,Sheet2!A26:F143,6,FALSE)</f>
        <v>OAP</v>
      </c>
      <c r="BT130" s="288" t="str">
        <f>VLOOKUP(B130,Sheet2!A26:G143,7,FALSE)</f>
        <v>Fakultas Informatika</v>
      </c>
      <c r="BU130" s="288" t="str">
        <f>VLOOKUP(B130,Sheet2!A26:H143,8,FALSE)</f>
        <v>oktapermata@telkomuniversity.ac.id</v>
      </c>
      <c r="BV130" s="280">
        <f>COUNTIFS('Join TPA Dosen'!B:B,Dosen!B39)</f>
        <v>1</v>
      </c>
      <c r="BW130" s="273" t="str">
        <f>DATEDIF(AM130,DATE(2026,1,1),"y")&amp;" tahun "&amp;DATEDIF(AM130,DATE(2026,1,1),"ym")&amp;" bulan "</f>
        <v xml:space="preserve">8 tahun 0 bulan </v>
      </c>
      <c r="BX130" s="280" t="str">
        <f>VLOOKUP($B130,Sheet1!$A:$G,2,FALSE)</f>
        <v>ITS</v>
      </c>
      <c r="BY130" s="280" t="str">
        <f>VLOOKUP($B130,Sheet1!$A:$G,3,FALSE)</f>
        <v>Teknik Elektro - Telekomunikasi Multimedia</v>
      </c>
      <c r="BZ130" s="280" t="str">
        <f>VLOOKUP($B130,Sheet1!$A:$G,4,FALSE)</f>
        <v>ITS</v>
      </c>
      <c r="CA130" s="280" t="str">
        <f>VLOOKUP($B130,Sheet1!$A:$G,5,FALSE)</f>
        <v>Teknik Elektro</v>
      </c>
      <c r="CB130" s="280" t="str">
        <f>VLOOKUP($B130,Sheet1!$A:$G,6,FALSE)</f>
        <v>UGM</v>
      </c>
      <c r="CC130" s="280" t="str">
        <f>VLOOKUP($B130,Sheet1!$A:$G,7,FALSE)</f>
        <v>Ilmu Komputer</v>
      </c>
      <c r="CD130" s="280" t="s">
        <v>862</v>
      </c>
      <c r="CE130" s="280" t="s">
        <v>903</v>
      </c>
    </row>
    <row r="131" spans="1:83" ht="19.5" customHeight="1">
      <c r="A131" s="281">
        <v>131</v>
      </c>
      <c r="B131" s="281" t="s">
        <v>1365</v>
      </c>
      <c r="C131" s="281" t="s">
        <v>20</v>
      </c>
      <c r="D131" s="281" t="s">
        <v>524</v>
      </c>
      <c r="E131" s="281">
        <v>25970019</v>
      </c>
      <c r="F131" s="281"/>
      <c r="G131" s="282" t="s">
        <v>1366</v>
      </c>
      <c r="H131" s="291" t="s">
        <v>884</v>
      </c>
      <c r="I131" s="281"/>
      <c r="J131" s="281" t="s">
        <v>1367</v>
      </c>
      <c r="K131" s="281" t="s">
        <v>846</v>
      </c>
      <c r="L131" s="281" t="s">
        <v>847</v>
      </c>
      <c r="M131" s="283" t="str">
        <f>IF(L131="NJAD","AA",IF(L131="AA","L",IF(L131="L","LK","GB")))</f>
        <v>L</v>
      </c>
      <c r="N131" s="282" t="s">
        <v>511</v>
      </c>
      <c r="O131" s="281">
        <v>0</v>
      </c>
      <c r="P131" s="281"/>
      <c r="Q131" s="284">
        <v>45901</v>
      </c>
      <c r="R131" s="281" t="str">
        <f ca="1">DATEDIF(Q131,TODAY(), "Y") &amp; " Tahun " &amp; DATEDIF(Q131, TODAY(), "YM") &amp; " Bulan"</f>
        <v>0 Tahun 4 Bulan</v>
      </c>
      <c r="S131" s="281" t="s">
        <v>511</v>
      </c>
      <c r="T131" s="282" t="s">
        <v>511</v>
      </c>
      <c r="U131" s="281" t="e">
        <f ca="1">DATEDIF(T131,TODAY(), "Y") &amp; " Tahun " &amp; DATEDIF(T131, TODAY(), "YM") &amp; " Bulan"</f>
        <v>#VALUE!</v>
      </c>
      <c r="V131" s="281" t="s">
        <v>895</v>
      </c>
      <c r="W131" s="281" t="s">
        <v>851</v>
      </c>
      <c r="X131" s="283" t="str">
        <f ca="1">IF(AND(OR(L131="AA",L131="L"),OR(S131="Penata Muda Tk. I Golongan III/b",S131="Penata Golongan III/c"),DATEDIF(Q131,TODAY(),"m")&gt;=23,ISBLANK(Z131),C131="Aktif"),"Nominasi Serdos","-")</f>
        <v>-</v>
      </c>
      <c r="Y131" s="281"/>
      <c r="Z131" s="282"/>
      <c r="AA131" s="295"/>
      <c r="AB131" s="281"/>
      <c r="AC131" s="282"/>
      <c r="AD131" s="281"/>
      <c r="AE131" s="281"/>
      <c r="AF131" s="281"/>
      <c r="AG131" s="281"/>
      <c r="AH131" s="281" t="s">
        <v>854</v>
      </c>
      <c r="AI131" s="281"/>
      <c r="AJ131" s="281"/>
      <c r="AK131" s="281"/>
      <c r="AM131" s="286">
        <v>45901</v>
      </c>
      <c r="AN131" s="287" t="str">
        <f ca="1">DATEDIF(AM131,TODAY(),"y")&amp;" tahun "&amp;DATEDIF(AM131,TODAY(),"ym")&amp;" bulan "</f>
        <v xml:space="preserve">0 tahun 4 bulan </v>
      </c>
      <c r="AO131" s="281"/>
      <c r="AP131" s="281"/>
      <c r="AQ131" s="281" t="s">
        <v>1368</v>
      </c>
      <c r="AR131" s="281"/>
      <c r="AS131" s="281">
        <v>82230310223</v>
      </c>
      <c r="AT131" s="281" t="s">
        <v>1369</v>
      </c>
      <c r="AU131" s="281"/>
      <c r="AV131" s="281"/>
      <c r="AW131" s="281" t="str">
        <f>VLOOKUP(B131,Sheet2!A116:I233,9,FALSE)</f>
        <v>Qori Afiata Fiddina, S.Mat., M.Mat.</v>
      </c>
      <c r="AX131" s="281" t="s">
        <v>902</v>
      </c>
      <c r="AY131" s="281" t="str">
        <f>VLOOKUP(B131,Sheet2!A116:C233,2,FALSE)</f>
        <v>Kediri</v>
      </c>
      <c r="AZ131" s="288">
        <f>VLOOKUP(B131,Sheet2!A116:C233,3,FALSE)</f>
        <v>35641</v>
      </c>
      <c r="BA131" s="281">
        <f ca="1">DATEDIF(AZ131, TODAY(),"y")</f>
        <v>28</v>
      </c>
      <c r="BB131" s="281"/>
      <c r="BC131" s="281"/>
      <c r="BD131" s="281"/>
      <c r="BE131" s="281"/>
      <c r="BF131" s="289"/>
      <c r="BG131" s="289"/>
      <c r="BH131" s="289"/>
      <c r="BI131" s="289"/>
      <c r="BJ131" s="289"/>
      <c r="BK131" s="289"/>
      <c r="BL131" s="288" t="s">
        <v>21</v>
      </c>
      <c r="BM131" s="281"/>
      <c r="BN131" s="281"/>
      <c r="BO131" s="281"/>
      <c r="BP131" s="281"/>
      <c r="BQ131" s="281"/>
      <c r="BR131" s="288"/>
      <c r="BS131" s="281" t="s">
        <v>1368</v>
      </c>
      <c r="BT131" s="288" t="str">
        <f>VLOOKUP(B131,Sheet2!A111:G228,7,FALSE)</f>
        <v>Fakultas Informatika</v>
      </c>
      <c r="BU131" s="288" t="str">
        <f>VLOOKUP(B131,Sheet2!A46:H163,8,FALSE)</f>
        <v>qoriafiatafiddina@telkomuniversity.ac.id</v>
      </c>
      <c r="BV131" s="280">
        <f>COUNTIFS('Join TPA Dosen'!B:B,Dosen!B111)</f>
        <v>1</v>
      </c>
      <c r="BW131" s="273" t="str">
        <f>DATEDIF(AM131,DATE(2026,1,1),"y")&amp;" tahun "&amp;DATEDIF(AM131,DATE(2026,1,1),"ym")&amp;" bulan "</f>
        <v xml:space="preserve">0 tahun 4 bulan </v>
      </c>
    </row>
    <row r="132" spans="1:83" ht="19.5" customHeight="1">
      <c r="A132" s="281">
        <v>132</v>
      </c>
      <c r="B132" s="281" t="s">
        <v>1370</v>
      </c>
      <c r="C132" s="281" t="s">
        <v>20</v>
      </c>
      <c r="D132" s="281" t="s">
        <v>201</v>
      </c>
      <c r="E132" s="281">
        <v>25980022</v>
      </c>
      <c r="F132" s="281"/>
      <c r="G132" s="282" t="s">
        <v>1371</v>
      </c>
      <c r="H132" s="291" t="s">
        <v>884</v>
      </c>
      <c r="I132" s="281"/>
      <c r="J132" s="281" t="s">
        <v>1372</v>
      </c>
      <c r="K132" s="281" t="s">
        <v>917</v>
      </c>
      <c r="L132" s="281" t="s">
        <v>918</v>
      </c>
      <c r="M132" s="283" t="str">
        <f>IF(L132="NJAD","AA",IF(L132="AA","L",IF(L132="L","LK","GB")))</f>
        <v>AA</v>
      </c>
      <c r="N132" s="282"/>
      <c r="O132" s="281"/>
      <c r="P132" s="281"/>
      <c r="Q132" s="284">
        <v>45901</v>
      </c>
      <c r="R132" s="281" t="str">
        <f ca="1">DATEDIF(Q132,TODAY(), "Y") &amp; " Tahun " &amp; DATEDIF(Q132, TODAY(), "YM") &amp; " Bulan"</f>
        <v>0 Tahun 4 Bulan</v>
      </c>
      <c r="S132" s="281"/>
      <c r="T132" s="282"/>
      <c r="U132" s="281"/>
      <c r="V132" s="281" t="s">
        <v>1373</v>
      </c>
      <c r="W132" s="281" t="s">
        <v>851</v>
      </c>
      <c r="X132" s="283"/>
      <c r="Y132" s="281"/>
      <c r="Z132" s="282"/>
      <c r="AA132" s="295"/>
      <c r="AB132" s="281"/>
      <c r="AC132" s="282"/>
      <c r="AD132" s="281"/>
      <c r="AE132" s="281"/>
      <c r="AF132" s="281"/>
      <c r="AG132" s="281"/>
      <c r="AH132" s="281" t="s">
        <v>854</v>
      </c>
      <c r="AI132" s="281"/>
      <c r="AJ132" s="281"/>
      <c r="AK132" s="281"/>
      <c r="AM132" s="286">
        <v>45901</v>
      </c>
      <c r="AN132" s="287" t="str">
        <f ca="1">DATEDIF(AM132,TODAY(),"y")&amp;" tahun "&amp;DATEDIF(AM132,TODAY(),"ym")&amp;" bulan "</f>
        <v xml:space="preserve">0 tahun 4 bulan </v>
      </c>
      <c r="AO132" s="281" t="s">
        <v>858</v>
      </c>
      <c r="AP132" s="281" t="s">
        <v>1035</v>
      </c>
      <c r="AQ132" s="281" t="s">
        <v>1374</v>
      </c>
      <c r="AR132" s="281"/>
      <c r="AS132" s="281">
        <v>82333010705</v>
      </c>
      <c r="AT132" s="281" t="s">
        <v>1375</v>
      </c>
      <c r="AU132" s="281"/>
      <c r="AV132" s="281"/>
      <c r="AW132" s="281" t="str">
        <f>VLOOKUP(B132,Sheet2!A73:I190,9,FALSE)</f>
        <v>Nuchaila Ainiyah, S.Mat., M.Mat.</v>
      </c>
      <c r="AX132" s="281" t="s">
        <v>902</v>
      </c>
      <c r="AY132" s="281" t="str">
        <f>VLOOKUP(B132,Sheet2!A73:C190,2,FALSE)</f>
        <v>Malang</v>
      </c>
      <c r="AZ132" s="288">
        <f>VLOOKUP(B132,Sheet2!A73:C190,3,FALSE)</f>
        <v>36008</v>
      </c>
      <c r="BA132" s="281">
        <f ca="1">DATEDIF(AZ132, TODAY(),"y")</f>
        <v>27</v>
      </c>
      <c r="BB132" s="281"/>
      <c r="BC132" s="281"/>
      <c r="BD132" s="281"/>
      <c r="BE132" s="281"/>
      <c r="BF132" s="289"/>
      <c r="BG132" s="289"/>
      <c r="BH132" s="289"/>
      <c r="BI132" s="289"/>
      <c r="BJ132" s="289"/>
      <c r="BK132" s="289"/>
      <c r="BL132" s="288" t="s">
        <v>21</v>
      </c>
      <c r="BM132" s="281"/>
      <c r="BN132" s="281"/>
      <c r="BO132" s="281"/>
      <c r="BP132" s="281"/>
      <c r="BQ132" s="281"/>
      <c r="BR132" s="288"/>
      <c r="BS132" s="281" t="s">
        <v>1374</v>
      </c>
      <c r="BT132" s="288" t="str">
        <f>VLOOKUP(B132,Sheet2!A70:G187,7,FALSE)</f>
        <v>Fakultas Informatika</v>
      </c>
      <c r="BU132" s="288" t="str">
        <f>VLOOKUP(B132,Sheet2!A73:H190,8,FALSE)</f>
        <v>nuchailaainiyah@telkomuniversity.ac.id</v>
      </c>
      <c r="BV132" s="280">
        <f>COUNTIFS('Join TPA Dosen'!B:B,Dosen!B124)</f>
        <v>0</v>
      </c>
      <c r="BW132" s="273" t="str">
        <f>DATEDIF(AM132,DATE(2026,1,1),"y")&amp;" tahun "&amp;DATEDIF(AM132,DATE(2026,1,1),"ym")&amp;" bulan "</f>
        <v xml:space="preserve">0 tahun 4 bulan </v>
      </c>
    </row>
    <row r="133" spans="1:83" ht="18.95">
      <c r="A133" s="281">
        <v>71</v>
      </c>
      <c r="B133" s="281" t="s">
        <v>557</v>
      </c>
      <c r="C133" s="281" t="s">
        <v>46</v>
      </c>
      <c r="D133" s="281" t="s">
        <v>524</v>
      </c>
      <c r="E133" s="302">
        <v>22910002</v>
      </c>
      <c r="F133" s="302" t="s">
        <v>1376</v>
      </c>
      <c r="G133" s="302"/>
      <c r="H133" s="291" t="s">
        <v>884</v>
      </c>
      <c r="I133" s="302" t="s">
        <v>30</v>
      </c>
      <c r="J133" s="302" t="s">
        <v>176</v>
      </c>
      <c r="K133" s="302" t="s">
        <v>917</v>
      </c>
      <c r="L133" s="302" t="s">
        <v>918</v>
      </c>
      <c r="M133" s="283" t="str">
        <f>IF(L133="NJAD","AA",IF(L133="AA","L",IF(L133="L","LK","GB")))</f>
        <v>AA</v>
      </c>
      <c r="N133" s="309" t="s">
        <v>511</v>
      </c>
      <c r="O133" s="302">
        <v>0</v>
      </c>
      <c r="P133" s="302" t="s">
        <v>30</v>
      </c>
      <c r="Q133" s="310">
        <v>44627</v>
      </c>
      <c r="R133" s="281" t="str">
        <f ca="1">DATEDIF(Q133,TODAY(), "Y") &amp; " Tahun " &amp; DATEDIF(Q133, TODAY(), "YM") &amp; " Bulan"</f>
        <v>3 Tahun 10 Bulan</v>
      </c>
      <c r="S133" s="311" t="s">
        <v>511</v>
      </c>
      <c r="T133" s="311" t="s">
        <v>511</v>
      </c>
      <c r="U133" s="281" t="e">
        <f ca="1">DATEDIF(T133,TODAY(), "Y") &amp; " Tahun " &amp; DATEDIF(T133, TODAY(), "YM") &amp; " Bulan"</f>
        <v>#VALUE!</v>
      </c>
      <c r="V133" s="306" t="s">
        <v>895</v>
      </c>
      <c r="W133" s="302" t="s">
        <v>851</v>
      </c>
      <c r="X133" s="283" t="str">
        <f ca="1">IF(AND(OR(L133="AA",L133="L"),OR(S133="Penata Muda Tk. I Golongan III/b",S133="Penata Golongan III/c"),DATEDIF(Q133,TODAY(),"m")&gt;=23,ISBLANK(Z133),C133="Aktif"),"Nominasi Serdos","-")</f>
        <v>-</v>
      </c>
      <c r="Y133" s="281"/>
      <c r="Z133" s="311"/>
      <c r="AA133" s="302"/>
      <c r="AB133" s="302" t="s">
        <v>30</v>
      </c>
      <c r="AC133" s="311" t="s">
        <v>511</v>
      </c>
      <c r="AD133" s="302" t="s">
        <v>30</v>
      </c>
      <c r="AE133" s="302" t="s">
        <v>30</v>
      </c>
      <c r="AF133" s="302" t="s">
        <v>30</v>
      </c>
      <c r="AG133" s="302" t="s">
        <v>30</v>
      </c>
      <c r="AH133" s="302" t="s">
        <v>854</v>
      </c>
      <c r="AI133" s="302" t="s">
        <v>30</v>
      </c>
      <c r="AJ133" s="302" t="s">
        <v>30</v>
      </c>
      <c r="AK133" s="302" t="s">
        <v>30</v>
      </c>
      <c r="AM133" s="303">
        <v>44627</v>
      </c>
      <c r="AN133" s="287" t="str">
        <f ca="1">DATEDIF(AM133,TODAY(),"y")&amp;" tahun "&amp;DATEDIF(AM133,TODAY(),"ym")&amp;" bulan "</f>
        <v xml:space="preserve">3 tahun 10 bulan </v>
      </c>
      <c r="AO133" s="302" t="s">
        <v>858</v>
      </c>
      <c r="AP133" s="302" t="s">
        <v>900</v>
      </c>
      <c r="AQ133" s="302" t="s">
        <v>1377</v>
      </c>
      <c r="AR133" s="302" t="s">
        <v>558</v>
      </c>
      <c r="AS133" s="302">
        <v>8970339520</v>
      </c>
      <c r="AT133" s="302" t="s">
        <v>559</v>
      </c>
      <c r="AU133" s="302" t="s">
        <v>30</v>
      </c>
      <c r="AV133" s="281"/>
      <c r="AW133" s="281" t="str">
        <f>VLOOKUP(B133,Sheet2!A72:I189,9,FALSE)</f>
        <v>Fauzan Nusyura, S.T., M.T.</v>
      </c>
      <c r="AX133" s="281" t="s">
        <v>861</v>
      </c>
      <c r="AY133" s="281" t="str">
        <f>VLOOKUP(B133,Sheet2!A72:C189,2,FALSE)</f>
        <v>Surabaya</v>
      </c>
      <c r="AZ133" s="288">
        <f>VLOOKUP(B133,Sheet2!A72:C189,3,FALSE)</f>
        <v>33562</v>
      </c>
      <c r="BA133" s="281">
        <f ca="1">DATEDIF(AZ133, TODAY(),"y")</f>
        <v>34</v>
      </c>
      <c r="BB133" s="281"/>
      <c r="BC133" s="281"/>
      <c r="BD133" s="281"/>
      <c r="BE133" s="281"/>
      <c r="BF133" s="289"/>
      <c r="BG133" s="289"/>
      <c r="BH133" s="289"/>
      <c r="BI133" s="289"/>
      <c r="BJ133" s="289"/>
      <c r="BK133" s="289"/>
      <c r="BL133" s="288" t="str">
        <f>VLOOKUP(B133,Sheet2!A72:D189,4,FALSE)</f>
        <v>Dosen</v>
      </c>
      <c r="BM133" s="281"/>
      <c r="BN133" s="286"/>
      <c r="BO133" s="281"/>
      <c r="BP133" s="281"/>
      <c r="BQ133" s="281"/>
      <c r="BR133" s="288" t="str">
        <f>VLOOKUP(B133,Sheet2!A72:E189,5,FALSE)</f>
        <v>Data Science and Intelligent Systems (DSIS)</v>
      </c>
      <c r="BS133" s="288" t="str">
        <f>VLOOKUP(B133,Sheet2!A72:F189,6,FALSE)</f>
        <v>FZS</v>
      </c>
      <c r="BT133" s="288" t="str">
        <f>VLOOKUP(B133,Sheet2!A72:G189,7,FALSE)</f>
        <v>Fakultas Informatika</v>
      </c>
      <c r="BU133" s="288"/>
      <c r="BV133" s="280">
        <f>COUNTIFS('Join TPA Dosen'!B:B,Dosen!B72)</f>
        <v>1</v>
      </c>
      <c r="BW133" s="273" t="str">
        <f>DATEDIF(AM133,DATE(2026,1,1),"y")&amp;" tahun "&amp;DATEDIF(AM133,DATE(2026,1,1),"ym")&amp;" bulan "</f>
        <v xml:space="preserve">3 tahun 9 bulan </v>
      </c>
      <c r="BX133" s="280" t="str">
        <f>VLOOKUP($B133,Sheet1!$A:$G,2,FALSE)</f>
        <v>Univ. Brawijaya</v>
      </c>
      <c r="BY133" s="280" t="str">
        <f>VLOOKUP($B133,Sheet1!$A:$G,3,FALSE)</f>
        <v>Teknik Elektro</v>
      </c>
      <c r="BZ133" s="280" t="str">
        <f>VLOOKUP($B133,Sheet1!$A:$G,4,FALSE)</f>
        <v>ITS</v>
      </c>
      <c r="CA133" s="280" t="str">
        <f>VLOOKUP($B133,Sheet1!$A:$G,5,FALSE)</f>
        <v>Teknik Elektro</v>
      </c>
      <c r="CB133" s="280" t="str">
        <f>VLOOKUP($B133,Sheet1!$A:$G,6,FALSE)</f>
        <v>-</v>
      </c>
      <c r="CC133" s="280">
        <f>VLOOKUP($B133,Sheet1!$A:$G,7,FALSE)</f>
        <v>0</v>
      </c>
      <c r="CD133" s="280" t="e">
        <v>#N/A</v>
      </c>
      <c r="CE133" s="280" t="e">
        <v>#N/A</v>
      </c>
    </row>
    <row r="134" spans="1:83" ht="19.5">
      <c r="A134" s="281">
        <v>133</v>
      </c>
      <c r="B134" s="281" t="s">
        <v>1378</v>
      </c>
      <c r="C134" s="281" t="s">
        <v>20</v>
      </c>
      <c r="D134" s="281" t="s">
        <v>201</v>
      </c>
      <c r="E134" s="281">
        <v>25010040</v>
      </c>
      <c r="F134" s="281"/>
      <c r="G134" s="282"/>
      <c r="H134" s="291" t="s">
        <v>884</v>
      </c>
      <c r="I134" s="281"/>
      <c r="J134" s="281" t="s">
        <v>1379</v>
      </c>
      <c r="K134" s="281" t="s">
        <v>917</v>
      </c>
      <c r="L134" s="281" t="s">
        <v>918</v>
      </c>
      <c r="M134" s="283" t="str">
        <f>IF(L134="NJAD","AA",IF(L134="AA","L",IF(L134="L","LK","GB")))</f>
        <v>AA</v>
      </c>
      <c r="N134" s="282"/>
      <c r="O134" s="281"/>
      <c r="P134" s="281"/>
      <c r="Q134" s="284">
        <v>45901</v>
      </c>
      <c r="R134" s="281" t="str">
        <f ca="1">DATEDIF(Q134,TODAY(), "Y") &amp; " Tahun " &amp; DATEDIF(Q134, TODAY(), "YM") &amp; " Bulan"</f>
        <v>0 Tahun 4 Bulan</v>
      </c>
      <c r="S134" s="281"/>
      <c r="T134" s="282"/>
      <c r="U134" s="281"/>
      <c r="V134" s="281" t="s">
        <v>1373</v>
      </c>
      <c r="W134" s="281" t="s">
        <v>851</v>
      </c>
      <c r="X134" s="283"/>
      <c r="Y134" s="281"/>
      <c r="Z134" s="282"/>
      <c r="AA134" s="295"/>
      <c r="AB134" s="281"/>
      <c r="AC134" s="282"/>
      <c r="AD134" s="281"/>
      <c r="AE134" s="281"/>
      <c r="AF134" s="281"/>
      <c r="AG134" s="281"/>
      <c r="AH134" s="281" t="s">
        <v>854</v>
      </c>
      <c r="AI134" s="281"/>
      <c r="AJ134" s="281"/>
      <c r="AK134" s="281"/>
      <c r="AM134" s="286">
        <v>45901</v>
      </c>
      <c r="AN134" s="287" t="str">
        <f ca="1">DATEDIF(AM134,TODAY(),"y")&amp;" tahun "&amp;DATEDIF(AM134,TODAY(),"ym")&amp;" bulan "</f>
        <v xml:space="preserve">0 tahun 4 bulan </v>
      </c>
      <c r="AO134" s="281" t="s">
        <v>858</v>
      </c>
      <c r="AP134" s="281" t="s">
        <v>1035</v>
      </c>
      <c r="AQ134" s="281" t="s">
        <v>1380</v>
      </c>
      <c r="AR134" s="281"/>
      <c r="AS134" s="281">
        <v>85385533331</v>
      </c>
      <c r="AT134" s="281" t="s">
        <v>1381</v>
      </c>
      <c r="AU134" s="281"/>
      <c r="AV134" s="281"/>
      <c r="AW134" s="281" t="str">
        <f>VLOOKUP(B134,Sheet2!A74:I191,9,FALSE)</f>
        <v>Faisal Zaidan Pradana, S.Aktr., M.Si.</v>
      </c>
      <c r="AX134" s="281" t="s">
        <v>861</v>
      </c>
      <c r="AY134" s="281" t="str">
        <f>VLOOKUP(B134,Sheet2!A74:C191,2,FALSE)</f>
        <v>Karang Anyar</v>
      </c>
      <c r="AZ134" s="288">
        <f>VLOOKUP(B134,Sheet2!A74:C191,3,FALSE)</f>
        <v>36919</v>
      </c>
      <c r="BA134" s="281">
        <f ca="1">DATEDIF(AZ134, TODAY(),"y")</f>
        <v>24</v>
      </c>
      <c r="BB134" s="281"/>
      <c r="BC134" s="281"/>
      <c r="BD134" s="281"/>
      <c r="BE134" s="281"/>
      <c r="BF134" s="289"/>
      <c r="BG134" s="289"/>
      <c r="BH134" s="289"/>
      <c r="BI134" s="289"/>
      <c r="BJ134" s="289"/>
      <c r="BK134" s="289"/>
      <c r="BL134" s="288" t="s">
        <v>21</v>
      </c>
      <c r="BM134" s="281"/>
      <c r="BN134" s="281"/>
      <c r="BO134" s="281"/>
      <c r="BP134" s="281"/>
      <c r="BQ134" s="281"/>
      <c r="BR134" s="288"/>
      <c r="BS134" s="281" t="s">
        <v>1380</v>
      </c>
      <c r="BT134" s="288" t="str">
        <f>VLOOKUP(B134,Sheet2!A71:G188,7,FALSE)</f>
        <v>Fakultas Informatika</v>
      </c>
      <c r="BU134" s="288" t="str">
        <f>VLOOKUP(B134,Sheet2!A74:H191,8,FALSE)</f>
        <v>faisalzaidanpradana@telkomuniversity.ac.id</v>
      </c>
      <c r="BV134" s="280">
        <f>COUNTIFS('Join TPA Dosen'!B:B,Dosen!B125)</f>
        <v>1</v>
      </c>
      <c r="BW134" s="273" t="str">
        <f>DATEDIF(AM134,DATE(2026,1,1),"y")&amp;" tahun "&amp;DATEDIF(AM134,DATE(2026,1,1),"ym")&amp;" bulan "</f>
        <v xml:space="preserve">0 tahun 4 bulan </v>
      </c>
    </row>
    <row r="135" spans="1:83" ht="19.5">
      <c r="A135" s="281">
        <v>134</v>
      </c>
      <c r="B135" s="281" t="s">
        <v>1382</v>
      </c>
      <c r="C135" s="281" t="s">
        <v>20</v>
      </c>
      <c r="D135" s="281" t="s">
        <v>201</v>
      </c>
      <c r="E135" s="281">
        <v>25980028</v>
      </c>
      <c r="F135" s="281"/>
      <c r="G135" s="422" t="s">
        <v>1383</v>
      </c>
      <c r="H135" s="291" t="s">
        <v>884</v>
      </c>
      <c r="I135" s="281"/>
      <c r="J135" s="281" t="s">
        <v>1384</v>
      </c>
      <c r="K135" s="281" t="s">
        <v>917</v>
      </c>
      <c r="L135" s="281" t="s">
        <v>918</v>
      </c>
      <c r="M135" s="283" t="str">
        <f>IF(L135="NJAD","AA",IF(L135="AA","L",IF(L135="L","LK","GB")))</f>
        <v>AA</v>
      </c>
      <c r="N135" s="282"/>
      <c r="O135" s="281"/>
      <c r="P135" s="281"/>
      <c r="Q135" s="284">
        <v>45901</v>
      </c>
      <c r="R135" s="281" t="str">
        <f ca="1">DATEDIF(Q135,TODAY(), "Y") &amp; " Tahun " &amp; DATEDIF(Q135, TODAY(), "YM") &amp; " Bulan"</f>
        <v>0 Tahun 4 Bulan</v>
      </c>
      <c r="S135" s="281"/>
      <c r="T135" s="282"/>
      <c r="U135" s="281"/>
      <c r="V135" s="281" t="s">
        <v>1373</v>
      </c>
      <c r="W135" s="281" t="s">
        <v>851</v>
      </c>
      <c r="X135" s="283"/>
      <c r="Y135" s="281"/>
      <c r="Z135" s="282"/>
      <c r="AA135" s="295"/>
      <c r="AB135" s="281"/>
      <c r="AC135" s="282"/>
      <c r="AD135" s="281"/>
      <c r="AE135" s="281"/>
      <c r="AF135" s="281"/>
      <c r="AG135" s="281"/>
      <c r="AH135" s="281" t="s">
        <v>854</v>
      </c>
      <c r="AI135" s="281"/>
      <c r="AJ135" s="281"/>
      <c r="AK135" s="281"/>
      <c r="AM135" s="286">
        <v>45901</v>
      </c>
      <c r="AN135" s="287" t="str">
        <f ca="1">DATEDIF(AM135,TODAY(),"y")&amp;" tahun "&amp;DATEDIF(AM135,TODAY(),"ym")&amp;" bulan "</f>
        <v xml:space="preserve">0 tahun 4 bulan </v>
      </c>
      <c r="AO135" s="281" t="s">
        <v>858</v>
      </c>
      <c r="AP135" s="281" t="s">
        <v>1035</v>
      </c>
      <c r="AQ135" s="281" t="s">
        <v>1385</v>
      </c>
      <c r="AR135" s="281"/>
      <c r="AS135" s="281">
        <v>85285887248</v>
      </c>
      <c r="AT135" s="281" t="s">
        <v>1386</v>
      </c>
      <c r="AU135" s="281"/>
      <c r="AV135" s="281"/>
      <c r="AW135" s="281" t="str">
        <f>VLOOKUP(B135,Sheet2!A75:I192,9,FALSE)</f>
        <v>Rafika Damayanti Sururin Nufus, S.Mat., M.Si.</v>
      </c>
      <c r="AX135" s="281" t="s">
        <v>902</v>
      </c>
      <c r="AY135" s="281" t="str">
        <f>VLOOKUP(B135,Sheet2!A75:C192,2,FALSE)</f>
        <v>Bengkulu</v>
      </c>
      <c r="AZ135" s="288">
        <f>VLOOKUP(B135,Sheet2!A75:C192,3,FALSE)</f>
        <v>35804</v>
      </c>
      <c r="BA135" s="281">
        <f ca="1">DATEDIF(AZ135, TODAY(),"y")</f>
        <v>28</v>
      </c>
      <c r="BB135" s="281"/>
      <c r="BC135" s="281"/>
      <c r="BD135" s="281"/>
      <c r="BE135" s="281"/>
      <c r="BF135" s="289"/>
      <c r="BG135" s="289"/>
      <c r="BH135" s="289"/>
      <c r="BI135" s="289"/>
      <c r="BJ135" s="289"/>
      <c r="BK135" s="289"/>
      <c r="BL135" s="288" t="s">
        <v>21</v>
      </c>
      <c r="BM135" s="281"/>
      <c r="BN135" s="281"/>
      <c r="BO135" s="281"/>
      <c r="BP135" s="281"/>
      <c r="BQ135" s="281"/>
      <c r="BR135" s="288"/>
      <c r="BS135" s="288" t="s">
        <v>1385</v>
      </c>
      <c r="BT135" s="288" t="str">
        <f>VLOOKUP(B135,Sheet2!A72:G189,7,FALSE)</f>
        <v>Fakultas Informatika</v>
      </c>
      <c r="BU135" s="288" t="str">
        <f>VLOOKUP(B135,Sheet2!A75:H192,8,FALSE)</f>
        <v>rafikadamayanti@telkomuniversity.ac.id</v>
      </c>
      <c r="BV135" s="280">
        <f>COUNTIFS('Join TPA Dosen'!B:B,Dosen!B126)</f>
        <v>0</v>
      </c>
      <c r="BW135" s="273" t="str">
        <f>DATEDIF(AM135,DATE(2026,1,1),"y")&amp;" tahun "&amp;DATEDIF(AM135,DATE(2026,1,1),"ym")&amp;" bulan "</f>
        <v xml:space="preserve">0 tahun 4 bulan </v>
      </c>
    </row>
    <row r="136" spans="1:83" ht="19.5">
      <c r="A136" s="281">
        <v>135</v>
      </c>
      <c r="B136" s="281" t="s">
        <v>1387</v>
      </c>
      <c r="C136" s="281" t="s">
        <v>20</v>
      </c>
      <c r="D136" s="281" t="s">
        <v>107</v>
      </c>
      <c r="E136" s="281">
        <v>25950039</v>
      </c>
      <c r="H136" s="291" t="s">
        <v>884</v>
      </c>
      <c r="J136" s="281" t="s">
        <v>118</v>
      </c>
      <c r="K136" s="281" t="s">
        <v>917</v>
      </c>
      <c r="L136" s="281" t="s">
        <v>918</v>
      </c>
      <c r="M136" s="283" t="str">
        <f>IF(L136="NJAD","AA",IF(L136="AA","L",IF(L136="L","LK","GB")))</f>
        <v>AA</v>
      </c>
      <c r="Q136" s="284">
        <v>45915</v>
      </c>
      <c r="R136" s="281" t="str">
        <f ca="1">DATEDIF(Q136,TODAY(), "Y") &amp; " Tahun " &amp; DATEDIF(Q136, TODAY(), "YM") &amp; " Bulan"</f>
        <v>0 Tahun 4 Bulan</v>
      </c>
      <c r="V136" s="281" t="s">
        <v>1026</v>
      </c>
      <c r="W136" s="281" t="s">
        <v>851</v>
      </c>
      <c r="AH136" s="281" t="s">
        <v>854</v>
      </c>
      <c r="AM136" s="286">
        <v>45915</v>
      </c>
      <c r="AN136" s="287" t="str">
        <f ca="1">DATEDIF(AM136,TODAY(),"y")&amp;" tahun "&amp;DATEDIF(AM136,TODAY(),"ym")&amp;" bulan "</f>
        <v xml:space="preserve">0 tahun 4 bulan </v>
      </c>
      <c r="AP136" s="281" t="s">
        <v>962</v>
      </c>
      <c r="AQ136" s="281" t="s">
        <v>1388</v>
      </c>
      <c r="AS136" s="281">
        <v>81241520135</v>
      </c>
      <c r="AT136" s="281" t="s">
        <v>1389</v>
      </c>
      <c r="AW136" s="281" t="str">
        <f>VLOOKUP(B136,Sheet2!A120:I237,9,FALSE)</f>
        <v>Affifah Mutiara Pertiwi, S.Kom., M.Cs.</v>
      </c>
      <c r="AX136" s="281" t="s">
        <v>902</v>
      </c>
      <c r="AY136" s="281" t="str">
        <f>VLOOKUP(B136,Sheet2!A118:C235,2,FALSE)</f>
        <v>Kulon Progo</v>
      </c>
      <c r="AZ136" s="288">
        <f>VLOOKUP(B136,Sheet2!A120:C237,3,FALSE)</f>
        <v>34928</v>
      </c>
      <c r="BA136" s="281">
        <f ca="1">DATEDIF(AZ136, TODAY(),"y")</f>
        <v>30</v>
      </c>
      <c r="BL136" s="288" t="s">
        <v>21</v>
      </c>
      <c r="BS136" s="288" t="str">
        <f>VLOOKUP(B136,Sheet2!A120:F237,6,FALSE)</f>
        <v>FFM</v>
      </c>
      <c r="BT136" s="288" t="str">
        <f>VLOOKUP(B136,Sheet2!A120:G237,7,FALSE)</f>
        <v>Fakultas Informatika</v>
      </c>
      <c r="BU136" s="288" t="str">
        <f>VLOOKUP(B136,Sheet2!A120:H237,8,FALSE)</f>
        <v>affifahmutiara@telkomuniversity.ac.id</v>
      </c>
      <c r="BV136" s="280">
        <f>COUNTIFS('Join TPA Dosen'!B:B,Dosen!B127)</f>
        <v>0</v>
      </c>
      <c r="BW136" s="273" t="str">
        <f>DATEDIF(AM136,DATE(2026,1,1),"y")&amp;" tahun "&amp;DATEDIF(AM136,DATE(2026,1,1),"ym")&amp;" bulan "</f>
        <v xml:space="preserve">0 tahun 3 bulan </v>
      </c>
    </row>
    <row r="137" spans="1:83" ht="19.5">
      <c r="A137" s="281">
        <v>136</v>
      </c>
      <c r="B137" s="281" t="s">
        <v>1390</v>
      </c>
      <c r="C137" s="281" t="s">
        <v>20</v>
      </c>
      <c r="D137" s="281" t="s">
        <v>107</v>
      </c>
      <c r="E137" s="281">
        <v>25000029</v>
      </c>
      <c r="H137" s="291" t="s">
        <v>884</v>
      </c>
      <c r="J137" s="281" t="s">
        <v>57</v>
      </c>
      <c r="K137" s="281" t="s">
        <v>917</v>
      </c>
      <c r="L137" s="281" t="s">
        <v>918</v>
      </c>
      <c r="M137" s="283" t="str">
        <f>IF(L137="NJAD","AA",IF(L137="AA","L",IF(L137="L","LK","GB")))</f>
        <v>AA</v>
      </c>
      <c r="Q137" s="284">
        <v>45915</v>
      </c>
      <c r="R137" s="281" t="str">
        <f ca="1">DATEDIF(Q137,TODAY(), "Y") &amp; " Tahun " &amp; DATEDIF(Q137, TODAY(), "YM") &amp; " Bulan"</f>
        <v>0 Tahun 4 Bulan</v>
      </c>
      <c r="V137" s="281" t="s">
        <v>1026</v>
      </c>
      <c r="W137" s="281" t="s">
        <v>851</v>
      </c>
      <c r="AH137" s="281" t="s">
        <v>854</v>
      </c>
      <c r="AM137" s="286">
        <v>45915</v>
      </c>
      <c r="AN137" s="287" t="str">
        <f ca="1">DATEDIF(AM137,TODAY(),"y")&amp;" tahun "&amp;DATEDIF(AM137,TODAY(),"ym")&amp;" bulan "</f>
        <v xml:space="preserve">0 tahun 4 bulan </v>
      </c>
      <c r="AP137" s="281" t="s">
        <v>962</v>
      </c>
      <c r="AQ137" s="281" t="s">
        <v>1391</v>
      </c>
      <c r="AW137" s="281" t="str">
        <f>VLOOKUP(B137,Sheet2!A121:I238,9,FALSE)</f>
        <v>Karina Fitriwulandari Ilham, S.Kom., M.Kom.</v>
      </c>
      <c r="AX137" s="281" t="s">
        <v>902</v>
      </c>
      <c r="AY137" s="281" t="str">
        <f>VLOOKUP(B137,Sheet2!A119:C236,2,FALSE)</f>
        <v>Bone</v>
      </c>
      <c r="AZ137" s="288">
        <f>VLOOKUP(B137,Sheet2!A121:C238,3,FALSE)</f>
        <v>36888</v>
      </c>
      <c r="BA137" s="281">
        <f ca="1">DATEDIF(AZ137, TODAY(),"y")</f>
        <v>25</v>
      </c>
      <c r="BL137" s="288" t="s">
        <v>21</v>
      </c>
      <c r="BS137" s="288" t="str">
        <f>VLOOKUP(B137,Sheet2!A121:F238,6,FALSE)</f>
        <v>KFI</v>
      </c>
      <c r="BT137" s="288" t="str">
        <f>VLOOKUP(B137,Sheet2!A121:G238,7,FALSE)</f>
        <v>Fakultas Informatika</v>
      </c>
      <c r="BU137" s="288" t="str">
        <f>VLOOKUP(B137,Sheet2!A121:H238,8,FALSE)</f>
        <v>karinafitriwulandari@telkomuniversity.ac.id</v>
      </c>
      <c r="BV137" s="280">
        <f>COUNTIFS('Join TPA Dosen'!B:B,Dosen!B128)</f>
        <v>0</v>
      </c>
      <c r="BW137" s="273" t="str">
        <f>DATEDIF(AM137,DATE(2026,1,1),"y")&amp;" tahun "&amp;DATEDIF(AM137,DATE(2026,1,1),"ym")&amp;" bulan "</f>
        <v xml:space="preserve">0 tahun 3 bulan </v>
      </c>
    </row>
    <row r="138" spans="1:83" ht="15" customHeight="1">
      <c r="A138" s="281">
        <v>137</v>
      </c>
      <c r="B138" s="281" t="s">
        <v>606</v>
      </c>
      <c r="C138" s="281" t="s">
        <v>20</v>
      </c>
      <c r="D138" s="281" t="s">
        <v>413</v>
      </c>
      <c r="E138" s="281" t="s">
        <v>607</v>
      </c>
      <c r="F138" s="281"/>
      <c r="G138" s="282" t="s">
        <v>1392</v>
      </c>
      <c r="H138" s="291" t="s">
        <v>845</v>
      </c>
      <c r="I138" s="281"/>
      <c r="J138" s="281" t="s">
        <v>176</v>
      </c>
      <c r="K138" s="281" t="s">
        <v>917</v>
      </c>
      <c r="L138" s="281" t="s">
        <v>918</v>
      </c>
      <c r="M138" s="283" t="str">
        <f>IF(L138="NJAD","AA",IF(L138="AA","L",IF(L138="L","LK","GB")))</f>
        <v>AA</v>
      </c>
      <c r="N138" s="282" t="s">
        <v>511</v>
      </c>
      <c r="O138" s="281">
        <v>0</v>
      </c>
      <c r="P138" s="281"/>
      <c r="Q138" s="284">
        <v>45992</v>
      </c>
      <c r="R138" s="281" t="str">
        <f ca="1">DATEDIF(Q138,TODAY(), "Y") &amp; " Tahun " &amp; DATEDIF(Q138, TODAY(), "YM") &amp; " Bulan"</f>
        <v>0 Tahun 1 Bulan</v>
      </c>
      <c r="S138" s="281" t="s">
        <v>511</v>
      </c>
      <c r="T138" s="282" t="s">
        <v>511</v>
      </c>
      <c r="U138" s="281" t="e">
        <f ca="1">DATEDIF(T138,TODAY(), "Y") &amp; " Tahun " &amp; DATEDIF(T138, TODAY(), "YM") &amp; " Bulan"</f>
        <v>#VALUE!</v>
      </c>
      <c r="V138" s="281" t="s">
        <v>1254</v>
      </c>
      <c r="W138" s="281" t="s">
        <v>851</v>
      </c>
      <c r="X138" s="283"/>
      <c r="Y138" s="281"/>
      <c r="Z138" s="281"/>
      <c r="AA138" s="295"/>
      <c r="AB138" s="281"/>
      <c r="AC138" s="281"/>
      <c r="AD138" s="281"/>
      <c r="AE138" s="281"/>
      <c r="AF138" s="281"/>
      <c r="AG138" s="281"/>
      <c r="AH138" s="281" t="s">
        <v>854</v>
      </c>
      <c r="AI138" s="281"/>
      <c r="AJ138" s="281"/>
      <c r="AK138" s="281"/>
      <c r="AM138" s="286">
        <v>45992</v>
      </c>
      <c r="AN138" s="287" t="str">
        <f ca="1">DATEDIF(AM138,TODAY(),"y")&amp;" tahun "&amp;DATEDIF(AM138,TODAY(),"ym")&amp;" bulan "</f>
        <v xml:space="preserve">0 tahun 1 bulan </v>
      </c>
      <c r="AO138" s="281"/>
      <c r="AP138" s="281"/>
      <c r="AQ138" s="281" t="s">
        <v>1393</v>
      </c>
      <c r="AR138" s="281"/>
      <c r="AS138" s="281"/>
      <c r="AT138" s="281"/>
      <c r="AU138" s="281"/>
      <c r="AV138" s="281"/>
      <c r="AW138" s="281" t="e">
        <f>VLOOKUP(B138,Sheet2!A117:I234,9,FALSE)</f>
        <v>#N/A</v>
      </c>
      <c r="AX138" s="281" t="s">
        <v>902</v>
      </c>
      <c r="AY138" s="281" t="e">
        <f>VLOOKUP(B138,Sheet2!A117:C234,2,FALSE)</f>
        <v>#N/A</v>
      </c>
      <c r="AZ138" s="288" t="e">
        <f>VLOOKUP(B138,Sheet2!A117:C234,3,FALSE)</f>
        <v>#N/A</v>
      </c>
      <c r="BA138" s="281" t="e">
        <f ca="1">DATEDIF(AZ138, TODAY(),"y")</f>
        <v>#N/A</v>
      </c>
      <c r="BB138" s="281"/>
      <c r="BC138" s="281"/>
      <c r="BD138" s="281"/>
      <c r="BE138" s="281"/>
      <c r="BF138" s="289"/>
      <c r="BG138" s="289"/>
      <c r="BH138" s="289"/>
      <c r="BI138" s="289"/>
      <c r="BJ138" s="289"/>
      <c r="BK138" s="289"/>
      <c r="BL138" s="288" t="s">
        <v>21</v>
      </c>
      <c r="BM138" s="281"/>
      <c r="BN138" s="281"/>
      <c r="BO138" s="281"/>
      <c r="BP138" s="281"/>
      <c r="BQ138" s="281"/>
      <c r="BR138" s="288"/>
      <c r="BS138" s="281" t="s">
        <v>1393</v>
      </c>
      <c r="BT138" s="288"/>
      <c r="BU138" s="288"/>
      <c r="BV138" s="280">
        <f>COUNTIFS('Join TPA Dosen'!B:B,Dosen!B112)</f>
        <v>1</v>
      </c>
      <c r="BW138" s="273" t="str">
        <f>DATEDIF(AM138,DATE(2026,1,1),"y")&amp;" tahun "&amp;DATEDIF(AM138,DATE(2026,1,1),"ym")&amp;" bulan "</f>
        <v xml:space="preserve">0 tahun 1 bulan </v>
      </c>
    </row>
  </sheetData>
  <autoFilter ref="A1:CE138" xr:uid="{00000000-0001-0000-0000-000000000000}"/>
  <conditionalFormatting sqref="C1:C135 C139:C1048576">
    <cfRule type="cellIs" dxfId="19" priority="1" operator="equal">
      <formula>"Non-Aktif"</formula>
    </cfRule>
  </conditionalFormatting>
  <hyperlinks>
    <hyperlink ref="BU121" r:id="rId1" xr:uid="{2DFB693B-2E50-4789-AC27-CE2EDDEA7534}"/>
    <hyperlink ref="BU114" r:id="rId2" xr:uid="{7D46CD7F-AC60-4F89-A546-A00846FD290C}"/>
    <hyperlink ref="BU117" r:id="rId3" xr:uid="{0C0C8FE5-325D-4D9F-A948-4D3AEFAF01DC}"/>
    <hyperlink ref="BU16" r:id="rId4" xr:uid="{9B0EE4DA-B08A-4D5F-B044-642CDCF37DA7}"/>
    <hyperlink ref="BU118" r:id="rId5" xr:uid="{75120268-2463-4BCF-BD61-D47614D4AFD5}"/>
    <hyperlink ref="BU119" r:id="rId6" xr:uid="{2ACF3196-C91E-400B-8F3D-9E74D96D9903}"/>
    <hyperlink ref="BU120" r:id="rId7" xr:uid="{AF84DFCD-12F2-40A6-88FD-E38968F555EB}"/>
    <hyperlink ref="BU123" r:id="rId8" xr:uid="{0FAD4F01-EA6A-44AB-B09F-AC7704FFA73F}"/>
    <hyperlink ref="BU126" r:id="rId9" xr:uid="{CE24643C-7837-4A52-904C-6C87909C459F}"/>
    <hyperlink ref="BU127" r:id="rId10" xr:uid="{6208F12D-FDF2-48F9-B385-054D725CE41E}"/>
    <hyperlink ref="BU128" r:id="rId11" xr:uid="{81AD6E92-0D9B-49C9-8701-A20F6F815327}"/>
    <hyperlink ref="AR128" r:id="rId12" xr:uid="{E39C8568-C9EA-4616-B8BD-A933E406B547}"/>
    <hyperlink ref="AR127" r:id="rId13" xr:uid="{A9CF0D2A-3837-4D7A-AF91-2777C6595EBE}"/>
    <hyperlink ref="AR126" r:id="rId14" xr:uid="{40ED1905-4F42-4A65-B64A-63BE3A2171AC}"/>
    <hyperlink ref="AR124" r:id="rId15" xr:uid="{5479BF3D-6914-4BF4-9C84-65BFB2C8FA30}"/>
    <hyperlink ref="AR123" r:id="rId16" xr:uid="{D16B23EE-8061-473B-A917-BD60B3111414}"/>
    <hyperlink ref="AR125" r:id="rId17" xr:uid="{52E9485E-75B0-4E93-84D2-753073664F90}"/>
    <hyperlink ref="AR121" r:id="rId18" xr:uid="{FF4B9D98-E166-4BE3-929B-A81973E18643}"/>
    <hyperlink ref="AR114" r:id="rId19" xr:uid="{955A2714-E7B6-4A8A-A903-F084AEDF6112}"/>
    <hyperlink ref="AR117" r:id="rId20" xr:uid="{8BEE35BF-3730-4B51-BCEC-6FF7A6B74FE5}"/>
    <hyperlink ref="AR16" r:id="rId21" xr:uid="{B1BC7D2E-B1B0-44B2-A74E-AE23D95760B2}"/>
    <hyperlink ref="AR118" r:id="rId22" xr:uid="{62303341-035C-404B-A4BA-AC9B89A56763}"/>
    <hyperlink ref="AR119" r:id="rId23" xr:uid="{FAE6E29E-C57E-4644-BB55-CA46D16C8053}"/>
    <hyperlink ref="AR120" r:id="rId24" xr:uid="{1D48961A-D1F9-4FA1-820F-6222D6C65360}"/>
    <hyperlink ref="AR99" r:id="rId25" xr:uid="{AD45F249-5624-4B4C-BD67-C806747D3DCC}"/>
    <hyperlink ref="AR61" r:id="rId26" xr:uid="{1E7A8A0C-28C7-4EED-A234-A83E7455FF51}"/>
    <hyperlink ref="AR60" r:id="rId27" xr:uid="{0A276810-AB10-4917-9EEE-FF7AE5ECF818}"/>
    <hyperlink ref="AR26" r:id="rId28" xr:uid="{297624E8-B979-42A5-9E16-0CCB39817AFC}"/>
    <hyperlink ref="AR87" r:id="rId29" xr:uid="{04D42570-8B08-4AA7-A793-7472CA2BE06A}"/>
    <hyperlink ref="AR77" r:id="rId30" xr:uid="{A402E7D1-1366-4F39-940B-DCA0D9C2F81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D60E-EA14-4EEA-A668-21B5F1B360A4}">
  <dimension ref="A1:G119"/>
  <sheetViews>
    <sheetView workbookViewId="0">
      <selection activeCell="D6" sqref="D6"/>
    </sheetView>
  </sheetViews>
  <sheetFormatPr defaultColWidth="8.85546875" defaultRowHeight="15"/>
  <cols>
    <col min="1" max="7" width="36.42578125" bestFit="1" customWidth="1"/>
  </cols>
  <sheetData>
    <row r="1" spans="1:7" ht="18.95">
      <c r="A1" s="237" t="s">
        <v>1</v>
      </c>
      <c r="B1" s="237" t="s">
        <v>1394</v>
      </c>
      <c r="C1" s="243" t="s">
        <v>1395</v>
      </c>
      <c r="D1" s="243" t="s">
        <v>1396</v>
      </c>
      <c r="E1" s="243" t="s">
        <v>1397</v>
      </c>
      <c r="F1" s="243" t="s">
        <v>1398</v>
      </c>
      <c r="G1" s="243" t="s">
        <v>1399</v>
      </c>
    </row>
    <row r="2" spans="1:7" ht="18.95">
      <c r="A2" s="238" t="s">
        <v>474</v>
      </c>
      <c r="B2" s="238" t="s">
        <v>1400</v>
      </c>
      <c r="C2" s="246" t="s">
        <v>330</v>
      </c>
      <c r="D2" s="246" t="s">
        <v>1401</v>
      </c>
      <c r="E2" s="246" t="s">
        <v>1402</v>
      </c>
      <c r="F2" s="250" t="s">
        <v>511</v>
      </c>
      <c r="G2" s="249"/>
    </row>
    <row r="3" spans="1:7" ht="18.95">
      <c r="A3" s="238" t="s">
        <v>339</v>
      </c>
      <c r="B3" s="238" t="s">
        <v>1403</v>
      </c>
      <c r="C3" s="246" t="s">
        <v>330</v>
      </c>
      <c r="D3" s="246" t="s">
        <v>1404</v>
      </c>
      <c r="E3" s="246" t="s">
        <v>330</v>
      </c>
      <c r="F3" s="251" t="s">
        <v>1404</v>
      </c>
      <c r="G3" s="251" t="s">
        <v>413</v>
      </c>
    </row>
    <row r="4" spans="1:7" ht="18.95">
      <c r="A4" s="238" t="s">
        <v>352</v>
      </c>
      <c r="B4" s="238" t="s">
        <v>1405</v>
      </c>
      <c r="C4" s="246" t="s">
        <v>1406</v>
      </c>
      <c r="D4" s="246" t="s">
        <v>1401</v>
      </c>
      <c r="E4" s="246" t="s">
        <v>330</v>
      </c>
      <c r="F4" s="251" t="s">
        <v>1404</v>
      </c>
      <c r="G4" s="251" t="s">
        <v>330</v>
      </c>
    </row>
    <row r="5" spans="1:7" ht="18.95">
      <c r="A5" s="238" t="s">
        <v>544</v>
      </c>
      <c r="B5" s="238" t="s">
        <v>1405</v>
      </c>
      <c r="C5" s="246" t="s">
        <v>1407</v>
      </c>
      <c r="D5" s="246" t="s">
        <v>1404</v>
      </c>
      <c r="E5" s="246" t="s">
        <v>330</v>
      </c>
      <c r="F5" s="251" t="s">
        <v>1408</v>
      </c>
      <c r="G5" s="251" t="s">
        <v>1409</v>
      </c>
    </row>
    <row r="6" spans="1:7" ht="18.95">
      <c r="A6" s="238" t="s">
        <v>334</v>
      </c>
      <c r="B6" s="238" t="s">
        <v>1410</v>
      </c>
      <c r="C6" s="246" t="s">
        <v>330</v>
      </c>
      <c r="D6" s="246" t="s">
        <v>1411</v>
      </c>
      <c r="E6" s="246" t="s">
        <v>330</v>
      </c>
      <c r="F6" s="246" t="s">
        <v>1411</v>
      </c>
      <c r="G6" s="246" t="s">
        <v>330</v>
      </c>
    </row>
    <row r="7" spans="1:7" ht="18.95">
      <c r="A7" s="238" t="s">
        <v>343</v>
      </c>
      <c r="B7" s="238" t="s">
        <v>1404</v>
      </c>
      <c r="C7" s="246" t="s">
        <v>330</v>
      </c>
      <c r="D7" s="246" t="s">
        <v>1404</v>
      </c>
      <c r="E7" s="246" t="s">
        <v>1412</v>
      </c>
      <c r="F7" s="246" t="s">
        <v>1404</v>
      </c>
      <c r="G7" s="246" t="s">
        <v>330</v>
      </c>
    </row>
    <row r="8" spans="1:7" ht="38.1">
      <c r="A8" s="238" t="s">
        <v>519</v>
      </c>
      <c r="B8" s="238" t="s">
        <v>1404</v>
      </c>
      <c r="C8" s="246" t="s">
        <v>1413</v>
      </c>
      <c r="D8" s="246" t="s">
        <v>1404</v>
      </c>
      <c r="E8" s="246" t="s">
        <v>1413</v>
      </c>
      <c r="F8" s="251" t="s">
        <v>1404</v>
      </c>
      <c r="G8" s="251" t="s">
        <v>330</v>
      </c>
    </row>
    <row r="9" spans="1:7" ht="18.95">
      <c r="A9" s="238" t="s">
        <v>536</v>
      </c>
      <c r="B9" s="238" t="s">
        <v>1405</v>
      </c>
      <c r="C9" s="246" t="s">
        <v>1414</v>
      </c>
      <c r="D9" s="246" t="s">
        <v>1404</v>
      </c>
      <c r="E9" s="246" t="s">
        <v>330</v>
      </c>
      <c r="F9" s="251" t="s">
        <v>1404</v>
      </c>
      <c r="G9" s="251" t="s">
        <v>330</v>
      </c>
    </row>
    <row r="10" spans="1:7" ht="18.95">
      <c r="A10" s="238" t="s">
        <v>540</v>
      </c>
      <c r="B10" s="238" t="s">
        <v>1415</v>
      </c>
      <c r="C10" s="246" t="s">
        <v>413</v>
      </c>
      <c r="D10" s="246" t="s">
        <v>1408</v>
      </c>
      <c r="E10" s="246" t="s">
        <v>330</v>
      </c>
      <c r="F10" s="246" t="s">
        <v>1404</v>
      </c>
      <c r="G10" s="246" t="s">
        <v>330</v>
      </c>
    </row>
    <row r="11" spans="1:7" ht="18.95">
      <c r="A11" s="238" t="s">
        <v>408</v>
      </c>
      <c r="B11" s="238" t="s">
        <v>1404</v>
      </c>
      <c r="C11" s="246" t="s">
        <v>235</v>
      </c>
      <c r="D11" s="246" t="s">
        <v>1416</v>
      </c>
      <c r="E11" s="246" t="s">
        <v>1417</v>
      </c>
      <c r="F11" s="251" t="s">
        <v>1418</v>
      </c>
      <c r="G11" s="251" t="s">
        <v>1417</v>
      </c>
    </row>
    <row r="12" spans="1:7" ht="18.95">
      <c r="A12" s="238" t="s">
        <v>179</v>
      </c>
      <c r="B12" s="238" t="s">
        <v>1405</v>
      </c>
      <c r="C12" s="246" t="s">
        <v>1414</v>
      </c>
      <c r="D12" s="246" t="s">
        <v>1404</v>
      </c>
      <c r="E12" s="246" t="s">
        <v>1414</v>
      </c>
      <c r="F12" s="250" t="s">
        <v>511</v>
      </c>
      <c r="G12" s="249"/>
    </row>
    <row r="13" spans="1:7" ht="18.95">
      <c r="A13" s="238" t="s">
        <v>528</v>
      </c>
      <c r="B13" s="238" t="s">
        <v>1419</v>
      </c>
      <c r="C13" s="246" t="s">
        <v>330</v>
      </c>
      <c r="D13" s="246" t="s">
        <v>1420</v>
      </c>
      <c r="E13" s="246" t="s">
        <v>1421</v>
      </c>
      <c r="F13" s="246" t="s">
        <v>1420</v>
      </c>
      <c r="G13" s="246" t="s">
        <v>1421</v>
      </c>
    </row>
    <row r="14" spans="1:7" ht="38.1">
      <c r="A14" s="238" t="s">
        <v>329</v>
      </c>
      <c r="B14" s="238" t="s">
        <v>1404</v>
      </c>
      <c r="C14" s="246" t="s">
        <v>330</v>
      </c>
      <c r="D14" s="246" t="s">
        <v>1422</v>
      </c>
      <c r="E14" s="246" t="s">
        <v>1423</v>
      </c>
      <c r="F14" s="246" t="s">
        <v>1424</v>
      </c>
      <c r="G14" s="246" t="s">
        <v>1425</v>
      </c>
    </row>
    <row r="15" spans="1:7" ht="18.95">
      <c r="A15" s="238" t="s">
        <v>183</v>
      </c>
      <c r="B15" s="238" t="s">
        <v>1426</v>
      </c>
      <c r="C15" s="246" t="s">
        <v>1414</v>
      </c>
      <c r="D15" s="246" t="s">
        <v>1404</v>
      </c>
      <c r="E15" s="246" t="s">
        <v>1414</v>
      </c>
      <c r="F15" s="251" t="s">
        <v>1404</v>
      </c>
      <c r="G15" s="251" t="s">
        <v>1409</v>
      </c>
    </row>
    <row r="16" spans="1:7" ht="18.95">
      <c r="A16" s="239" t="s">
        <v>234</v>
      </c>
      <c r="B16" s="238" t="s">
        <v>1404</v>
      </c>
      <c r="C16" s="246" t="s">
        <v>235</v>
      </c>
      <c r="D16" s="246" t="s">
        <v>1404</v>
      </c>
      <c r="E16" s="246" t="s">
        <v>1427</v>
      </c>
      <c r="F16" s="251" t="s">
        <v>1404</v>
      </c>
      <c r="G16" s="251" t="s">
        <v>1409</v>
      </c>
    </row>
    <row r="17" spans="1:7" ht="18.95">
      <c r="A17" s="238" t="s">
        <v>484</v>
      </c>
      <c r="B17" s="238" t="s">
        <v>1419</v>
      </c>
      <c r="C17" s="246" t="s">
        <v>475</v>
      </c>
      <c r="D17" s="246" t="s">
        <v>1401</v>
      </c>
      <c r="E17" s="246" t="s">
        <v>330</v>
      </c>
      <c r="F17" s="251" t="s">
        <v>1408</v>
      </c>
      <c r="G17" s="251" t="s">
        <v>330</v>
      </c>
    </row>
    <row r="18" spans="1:7" ht="18.95">
      <c r="A18" s="238" t="s">
        <v>417</v>
      </c>
      <c r="B18" s="238" t="s">
        <v>1405</v>
      </c>
      <c r="C18" s="246" t="s">
        <v>1428</v>
      </c>
      <c r="D18" s="246" t="s">
        <v>1411</v>
      </c>
      <c r="E18" s="246" t="s">
        <v>330</v>
      </c>
      <c r="F18" s="246" t="s">
        <v>1429</v>
      </c>
      <c r="G18" s="246" t="s">
        <v>1430</v>
      </c>
    </row>
    <row r="19" spans="1:7" ht="18.95">
      <c r="A19" s="238" t="s">
        <v>492</v>
      </c>
      <c r="B19" s="238" t="s">
        <v>1419</v>
      </c>
      <c r="C19" s="246" t="s">
        <v>475</v>
      </c>
      <c r="D19" s="246" t="s">
        <v>1419</v>
      </c>
      <c r="E19" s="246" t="s">
        <v>1431</v>
      </c>
      <c r="F19" s="246" t="s">
        <v>1411</v>
      </c>
      <c r="G19" s="246" t="s">
        <v>1432</v>
      </c>
    </row>
    <row r="20" spans="1:7" ht="18.95">
      <c r="A20" s="238" t="s">
        <v>480</v>
      </c>
      <c r="B20" s="238" t="s">
        <v>1400</v>
      </c>
      <c r="C20" s="246" t="s">
        <v>330</v>
      </c>
      <c r="D20" s="246" t="s">
        <v>1433</v>
      </c>
      <c r="E20" s="246" t="s">
        <v>330</v>
      </c>
      <c r="F20" s="250" t="s">
        <v>511</v>
      </c>
      <c r="G20" s="249"/>
    </row>
    <row r="21" spans="1:7" ht="18.95">
      <c r="A21" s="240" t="s">
        <v>533</v>
      </c>
      <c r="B21" s="240" t="s">
        <v>1434</v>
      </c>
      <c r="C21" s="247" t="s">
        <v>1414</v>
      </c>
      <c r="D21" s="247" t="s">
        <v>1401</v>
      </c>
      <c r="E21" s="247" t="s">
        <v>1414</v>
      </c>
      <c r="F21" s="247" t="s">
        <v>1408</v>
      </c>
      <c r="G21" s="247" t="s">
        <v>1409</v>
      </c>
    </row>
    <row r="22" spans="1:7" ht="18.95">
      <c r="A22" s="238" t="s">
        <v>247</v>
      </c>
      <c r="B22" s="238" t="s">
        <v>1404</v>
      </c>
      <c r="C22" s="246" t="s">
        <v>235</v>
      </c>
      <c r="D22" s="246" t="s">
        <v>1404</v>
      </c>
      <c r="E22" s="246" t="s">
        <v>1427</v>
      </c>
      <c r="F22" s="251" t="s">
        <v>1404</v>
      </c>
      <c r="G22" s="251" t="s">
        <v>235</v>
      </c>
    </row>
    <row r="23" spans="1:7" ht="18.95">
      <c r="A23" s="238" t="s">
        <v>347</v>
      </c>
      <c r="B23" s="238" t="s">
        <v>1435</v>
      </c>
      <c r="C23" s="246" t="s">
        <v>1436</v>
      </c>
      <c r="D23" s="246" t="s">
        <v>1408</v>
      </c>
      <c r="E23" s="246" t="s">
        <v>330</v>
      </c>
      <c r="F23" s="251" t="s">
        <v>1404</v>
      </c>
      <c r="G23" s="251" t="s">
        <v>330</v>
      </c>
    </row>
    <row r="24" spans="1:7" ht="18.95">
      <c r="A24" s="239" t="s">
        <v>321</v>
      </c>
      <c r="B24" s="238" t="s">
        <v>1404</v>
      </c>
      <c r="C24" s="246" t="s">
        <v>235</v>
      </c>
      <c r="D24" s="246" t="s">
        <v>1404</v>
      </c>
      <c r="E24" s="246" t="s">
        <v>1427</v>
      </c>
      <c r="F24" s="250" t="s">
        <v>511</v>
      </c>
      <c r="G24" s="249"/>
    </row>
    <row r="25" spans="1:7" ht="18.95">
      <c r="A25" s="239" t="s">
        <v>438</v>
      </c>
      <c r="B25" s="238" t="s">
        <v>1405</v>
      </c>
      <c r="C25" s="246" t="s">
        <v>475</v>
      </c>
      <c r="D25" s="246" t="s">
        <v>1405</v>
      </c>
      <c r="E25" s="246" t="s">
        <v>1437</v>
      </c>
      <c r="F25" s="251" t="s">
        <v>1404</v>
      </c>
      <c r="G25" s="251" t="s">
        <v>330</v>
      </c>
    </row>
    <row r="26" spans="1:7" ht="38.1">
      <c r="A26" s="238" t="s">
        <v>548</v>
      </c>
      <c r="B26" s="238" t="s">
        <v>1404</v>
      </c>
      <c r="C26" s="246" t="s">
        <v>1413</v>
      </c>
      <c r="D26" s="246" t="s">
        <v>1404</v>
      </c>
      <c r="E26" s="246" t="s">
        <v>330</v>
      </c>
      <c r="F26" s="251" t="s">
        <v>1408</v>
      </c>
      <c r="G26" s="251" t="s">
        <v>1409</v>
      </c>
    </row>
    <row r="27" spans="1:7" ht="18.95">
      <c r="A27" s="238" t="s">
        <v>34</v>
      </c>
      <c r="B27" s="238" t="s">
        <v>1404</v>
      </c>
      <c r="C27" s="246" t="s">
        <v>1438</v>
      </c>
      <c r="D27" s="246" t="s">
        <v>1404</v>
      </c>
      <c r="E27" s="246" t="s">
        <v>1439</v>
      </c>
      <c r="F27" s="251" t="s">
        <v>1404</v>
      </c>
      <c r="G27" s="251" t="s">
        <v>1439</v>
      </c>
    </row>
    <row r="28" spans="1:7" ht="18.95">
      <c r="A28" s="238" t="s">
        <v>169</v>
      </c>
      <c r="B28" s="238" t="s">
        <v>1404</v>
      </c>
      <c r="C28" s="246" t="s">
        <v>1414</v>
      </c>
      <c r="D28" s="246" t="s">
        <v>1404</v>
      </c>
      <c r="E28" s="246" t="s">
        <v>1414</v>
      </c>
      <c r="F28" s="251" t="s">
        <v>1404</v>
      </c>
      <c r="G28" s="251" t="s">
        <v>1409</v>
      </c>
    </row>
    <row r="29" spans="1:7" ht="18.95">
      <c r="A29" s="239" t="s">
        <v>243</v>
      </c>
      <c r="B29" s="238" t="s">
        <v>1404</v>
      </c>
      <c r="C29" s="246" t="s">
        <v>235</v>
      </c>
      <c r="D29" s="246" t="s">
        <v>1404</v>
      </c>
      <c r="E29" s="246" t="s">
        <v>1427</v>
      </c>
      <c r="F29" s="250" t="s">
        <v>511</v>
      </c>
      <c r="G29" s="249"/>
    </row>
    <row r="30" spans="1:7" ht="38.1">
      <c r="A30" s="238" t="s">
        <v>187</v>
      </c>
      <c r="B30" s="238" t="s">
        <v>1440</v>
      </c>
      <c r="C30" s="246" t="s">
        <v>1414</v>
      </c>
      <c r="D30" s="246" t="s">
        <v>1404</v>
      </c>
      <c r="E30" s="246" t="s">
        <v>1414</v>
      </c>
      <c r="F30" s="251" t="s">
        <v>1404</v>
      </c>
      <c r="G30" s="251" t="s">
        <v>1409</v>
      </c>
    </row>
    <row r="31" spans="1:7" ht="18.95">
      <c r="A31" s="238" t="s">
        <v>412</v>
      </c>
      <c r="B31" s="238" t="s">
        <v>1405</v>
      </c>
      <c r="C31" s="246" t="s">
        <v>413</v>
      </c>
      <c r="D31" s="246" t="s">
        <v>1405</v>
      </c>
      <c r="E31" s="246" t="s">
        <v>1437</v>
      </c>
      <c r="F31" s="251" t="s">
        <v>1441</v>
      </c>
      <c r="G31" s="251" t="s">
        <v>1442</v>
      </c>
    </row>
    <row r="32" spans="1:7" ht="18.95">
      <c r="A32" s="238" t="s">
        <v>106</v>
      </c>
      <c r="B32" s="238" t="s">
        <v>1404</v>
      </c>
      <c r="C32" s="246" t="s">
        <v>1443</v>
      </c>
      <c r="D32" s="246" t="s">
        <v>1404</v>
      </c>
      <c r="E32" s="246" t="s">
        <v>1443</v>
      </c>
      <c r="F32" s="250" t="s">
        <v>511</v>
      </c>
      <c r="G32" s="249"/>
    </row>
    <row r="33" spans="1:7" ht="38.1">
      <c r="A33" s="238" t="s">
        <v>378</v>
      </c>
      <c r="B33" s="238" t="s">
        <v>1404</v>
      </c>
      <c r="C33" s="246" t="s">
        <v>370</v>
      </c>
      <c r="D33" s="246" t="s">
        <v>1404</v>
      </c>
      <c r="E33" s="246" t="s">
        <v>370</v>
      </c>
      <c r="F33" s="251" t="s">
        <v>1444</v>
      </c>
      <c r="G33" s="251" t="s">
        <v>1445</v>
      </c>
    </row>
    <row r="34" spans="1:7" ht="18.95">
      <c r="A34" s="238" t="s">
        <v>382</v>
      </c>
      <c r="B34" s="238" t="s">
        <v>1401</v>
      </c>
      <c r="C34" s="246" t="s">
        <v>1446</v>
      </c>
      <c r="D34" s="246" t="s">
        <v>1401</v>
      </c>
      <c r="E34" s="246" t="s">
        <v>1447</v>
      </c>
      <c r="F34" s="250" t="s">
        <v>511</v>
      </c>
      <c r="G34" s="249"/>
    </row>
    <row r="35" spans="1:7" ht="18.95">
      <c r="A35" s="238" t="s">
        <v>55</v>
      </c>
      <c r="B35" s="238" t="s">
        <v>1426</v>
      </c>
      <c r="C35" s="246" t="s">
        <v>1448</v>
      </c>
      <c r="D35" s="246" t="s">
        <v>1404</v>
      </c>
      <c r="E35" s="246" t="s">
        <v>1427</v>
      </c>
      <c r="F35" s="251" t="s">
        <v>1404</v>
      </c>
      <c r="G35" s="251" t="s">
        <v>1409</v>
      </c>
    </row>
    <row r="36" spans="1:7" ht="18.95">
      <c r="A36" s="238" t="s">
        <v>422</v>
      </c>
      <c r="B36" s="238" t="s">
        <v>1401</v>
      </c>
      <c r="C36" s="246" t="s">
        <v>1414</v>
      </c>
      <c r="D36" s="246" t="s">
        <v>1404</v>
      </c>
      <c r="E36" s="246" t="s">
        <v>1414</v>
      </c>
      <c r="F36" s="250" t="s">
        <v>511</v>
      </c>
      <c r="G36" s="249"/>
    </row>
    <row r="37" spans="1:7" ht="38.1">
      <c r="A37" s="238" t="s">
        <v>447</v>
      </c>
      <c r="B37" s="238" t="s">
        <v>1404</v>
      </c>
      <c r="C37" s="246" t="s">
        <v>1438</v>
      </c>
      <c r="D37" s="246" t="s">
        <v>1449</v>
      </c>
      <c r="E37" s="246" t="s">
        <v>1450</v>
      </c>
      <c r="F37" s="246" t="s">
        <v>1451</v>
      </c>
      <c r="G37" s="246" t="s">
        <v>1417</v>
      </c>
    </row>
    <row r="38" spans="1:7" ht="18.95">
      <c r="A38" s="238" t="s">
        <v>239</v>
      </c>
      <c r="B38" s="238" t="s">
        <v>1452</v>
      </c>
      <c r="C38" s="246" t="s">
        <v>235</v>
      </c>
      <c r="D38" s="246" t="s">
        <v>1404</v>
      </c>
      <c r="E38" s="246" t="s">
        <v>235</v>
      </c>
      <c r="F38" s="251" t="s">
        <v>1408</v>
      </c>
      <c r="G38" s="251" t="s">
        <v>1409</v>
      </c>
    </row>
    <row r="39" spans="1:7" ht="18.95">
      <c r="A39" s="238" t="s">
        <v>374</v>
      </c>
      <c r="B39" s="238" t="s">
        <v>1453</v>
      </c>
      <c r="C39" s="246" t="s">
        <v>370</v>
      </c>
      <c r="D39" s="246" t="s">
        <v>1453</v>
      </c>
      <c r="E39" s="246" t="s">
        <v>370</v>
      </c>
      <c r="F39" s="251" t="s">
        <v>1404</v>
      </c>
      <c r="G39" s="251" t="s">
        <v>370</v>
      </c>
    </row>
    <row r="40" spans="1:7" ht="18.95">
      <c r="A40" s="238" t="s">
        <v>523</v>
      </c>
      <c r="B40" s="238" t="s">
        <v>1419</v>
      </c>
      <c r="C40" s="246" t="s">
        <v>1454</v>
      </c>
      <c r="D40" s="246" t="s">
        <v>1419</v>
      </c>
      <c r="E40" s="246" t="s">
        <v>1414</v>
      </c>
      <c r="F40" s="250" t="s">
        <v>511</v>
      </c>
      <c r="G40" s="249"/>
    </row>
    <row r="41" spans="1:7" ht="18.95">
      <c r="A41" s="239" t="s">
        <v>251</v>
      </c>
      <c r="B41" s="238" t="s">
        <v>1419</v>
      </c>
      <c r="C41" s="246" t="s">
        <v>1414</v>
      </c>
      <c r="D41" s="246" t="s">
        <v>1401</v>
      </c>
      <c r="E41" s="246" t="s">
        <v>107</v>
      </c>
      <c r="F41" s="251" t="s">
        <v>1408</v>
      </c>
      <c r="G41" s="251" t="s">
        <v>1409</v>
      </c>
    </row>
    <row r="42" spans="1:7" ht="18.95">
      <c r="A42" s="238" t="s">
        <v>255</v>
      </c>
      <c r="B42" s="238" t="s">
        <v>1455</v>
      </c>
      <c r="C42" s="246" t="s">
        <v>1414</v>
      </c>
      <c r="D42" s="246" t="s">
        <v>1456</v>
      </c>
      <c r="E42" s="246" t="s">
        <v>1457</v>
      </c>
      <c r="F42" s="246" t="s">
        <v>1458</v>
      </c>
      <c r="G42" s="246" t="s">
        <v>1457</v>
      </c>
    </row>
    <row r="43" spans="1:7" ht="18.95">
      <c r="A43" s="238" t="s">
        <v>497</v>
      </c>
      <c r="B43" s="238" t="s">
        <v>1405</v>
      </c>
      <c r="C43" s="246" t="s">
        <v>1459</v>
      </c>
      <c r="D43" s="246" t="s">
        <v>1404</v>
      </c>
      <c r="E43" s="246" t="s">
        <v>330</v>
      </c>
      <c r="F43" s="250" t="s">
        <v>511</v>
      </c>
      <c r="G43" s="249"/>
    </row>
    <row r="44" spans="1:7" ht="18.95">
      <c r="A44" s="238" t="s">
        <v>427</v>
      </c>
      <c r="B44" s="238" t="s">
        <v>1415</v>
      </c>
      <c r="C44" s="246" t="s">
        <v>413</v>
      </c>
      <c r="D44" s="246" t="s">
        <v>1404</v>
      </c>
      <c r="E44" s="246" t="s">
        <v>330</v>
      </c>
      <c r="F44" s="246" t="s">
        <v>1404</v>
      </c>
      <c r="G44" s="246" t="s">
        <v>330</v>
      </c>
    </row>
    <row r="45" spans="1:7" ht="18.95">
      <c r="A45" s="238" t="s">
        <v>369</v>
      </c>
      <c r="B45" s="238" t="s">
        <v>1419</v>
      </c>
      <c r="C45" s="246" t="s">
        <v>370</v>
      </c>
      <c r="D45" s="246" t="s">
        <v>1401</v>
      </c>
      <c r="E45" s="246" t="s">
        <v>1447</v>
      </c>
      <c r="F45" s="250" t="s">
        <v>511</v>
      </c>
      <c r="G45" s="249"/>
    </row>
    <row r="46" spans="1:7" ht="18.95">
      <c r="A46" s="239" t="s">
        <v>260</v>
      </c>
      <c r="B46" s="238" t="s">
        <v>1404</v>
      </c>
      <c r="C46" s="246" t="s">
        <v>235</v>
      </c>
      <c r="D46" s="246" t="s">
        <v>1404</v>
      </c>
      <c r="E46" s="246" t="s">
        <v>235</v>
      </c>
      <c r="F46" s="250" t="s">
        <v>511</v>
      </c>
      <c r="G46" s="249"/>
    </row>
    <row r="47" spans="1:7" ht="18.95">
      <c r="A47" s="241" t="s">
        <v>40</v>
      </c>
      <c r="B47" s="238" t="s">
        <v>1460</v>
      </c>
      <c r="C47" s="246" t="s">
        <v>1461</v>
      </c>
      <c r="D47" s="246" t="s">
        <v>1460</v>
      </c>
      <c r="E47" s="246" t="s">
        <v>1462</v>
      </c>
      <c r="F47" s="250" t="s">
        <v>511</v>
      </c>
      <c r="G47" s="249"/>
    </row>
    <row r="48" spans="1:7" ht="38.1">
      <c r="A48" s="238" t="s">
        <v>45</v>
      </c>
      <c r="B48" s="238" t="s">
        <v>1400</v>
      </c>
      <c r="C48" s="246" t="s">
        <v>1463</v>
      </c>
      <c r="D48" s="246" t="s">
        <v>1404</v>
      </c>
      <c r="E48" s="246" t="s">
        <v>1464</v>
      </c>
      <c r="F48" s="250" t="s">
        <v>511</v>
      </c>
      <c r="G48" s="249"/>
    </row>
    <row r="49" spans="1:7" ht="18.95">
      <c r="A49" s="241" t="s">
        <v>111</v>
      </c>
      <c r="B49" s="238" t="s">
        <v>1465</v>
      </c>
      <c r="C49" s="246" t="s">
        <v>1443</v>
      </c>
      <c r="D49" s="246" t="s">
        <v>1400</v>
      </c>
      <c r="E49" s="246" t="s">
        <v>1466</v>
      </c>
      <c r="F49" s="250" t="s">
        <v>511</v>
      </c>
      <c r="G49" s="249"/>
    </row>
    <row r="50" spans="1:7" ht="38.1">
      <c r="A50" s="241" t="s">
        <v>116</v>
      </c>
      <c r="B50" s="238" t="s">
        <v>1467</v>
      </c>
      <c r="C50" s="246" t="s">
        <v>1414</v>
      </c>
      <c r="D50" s="246" t="s">
        <v>1408</v>
      </c>
      <c r="E50" s="246" t="s">
        <v>1468</v>
      </c>
      <c r="F50" s="250" t="s">
        <v>511</v>
      </c>
      <c r="G50" s="249"/>
    </row>
    <row r="51" spans="1:7" ht="38.1">
      <c r="A51" s="238" t="s">
        <v>121</v>
      </c>
      <c r="B51" s="238" t="s">
        <v>1404</v>
      </c>
      <c r="C51" s="246" t="s">
        <v>1469</v>
      </c>
      <c r="D51" s="246" t="s">
        <v>1404</v>
      </c>
      <c r="E51" s="246" t="s">
        <v>1470</v>
      </c>
      <c r="F51" s="250" t="s">
        <v>511</v>
      </c>
      <c r="G51" s="249"/>
    </row>
    <row r="52" spans="1:7" ht="38.1">
      <c r="A52" s="238" t="s">
        <v>125</v>
      </c>
      <c r="B52" s="238" t="s">
        <v>1404</v>
      </c>
      <c r="C52" s="246" t="s">
        <v>1469</v>
      </c>
      <c r="D52" s="246" t="s">
        <v>1404</v>
      </c>
      <c r="E52" s="246" t="s">
        <v>1470</v>
      </c>
      <c r="F52" s="250" t="s">
        <v>511</v>
      </c>
      <c r="G52" s="249"/>
    </row>
    <row r="53" spans="1:7" ht="38.1">
      <c r="A53" s="238" t="s">
        <v>200</v>
      </c>
      <c r="B53" s="238" t="s">
        <v>1401</v>
      </c>
      <c r="C53" s="246" t="s">
        <v>1471</v>
      </c>
      <c r="D53" s="246" t="s">
        <v>1401</v>
      </c>
      <c r="E53" s="246" t="s">
        <v>1471</v>
      </c>
      <c r="F53" s="250" t="s">
        <v>511</v>
      </c>
      <c r="G53" s="249"/>
    </row>
    <row r="54" spans="1:7" ht="38.1">
      <c r="A54" s="238" t="s">
        <v>206</v>
      </c>
      <c r="B54" s="238" t="s">
        <v>1404</v>
      </c>
      <c r="C54" s="246" t="s">
        <v>1471</v>
      </c>
      <c r="D54" s="246" t="s">
        <v>1404</v>
      </c>
      <c r="E54" s="246" t="s">
        <v>1472</v>
      </c>
      <c r="F54" s="246" t="s">
        <v>1404</v>
      </c>
      <c r="G54" s="246" t="s">
        <v>1473</v>
      </c>
    </row>
    <row r="55" spans="1:7" ht="38.1">
      <c r="A55" s="241" t="s">
        <v>211</v>
      </c>
      <c r="B55" s="238" t="s">
        <v>1404</v>
      </c>
      <c r="C55" s="246" t="s">
        <v>1472</v>
      </c>
      <c r="D55" s="246" t="s">
        <v>1404</v>
      </c>
      <c r="E55" s="246" t="s">
        <v>1473</v>
      </c>
      <c r="F55" s="250" t="s">
        <v>511</v>
      </c>
      <c r="G55" s="249"/>
    </row>
    <row r="56" spans="1:7" ht="38.1">
      <c r="A56" s="240" t="s">
        <v>457</v>
      </c>
      <c r="B56" s="240" t="s">
        <v>1474</v>
      </c>
      <c r="C56" s="247" t="s">
        <v>1475</v>
      </c>
      <c r="D56" s="247" t="s">
        <v>1476</v>
      </c>
      <c r="E56" s="247" t="s">
        <v>1477</v>
      </c>
      <c r="F56" s="247" t="s">
        <v>1478</v>
      </c>
      <c r="G56" s="247" t="s">
        <v>1477</v>
      </c>
    </row>
    <row r="57" spans="1:7" ht="18.95">
      <c r="A57" s="238" t="s">
        <v>461</v>
      </c>
      <c r="B57" s="238" t="s">
        <v>1400</v>
      </c>
      <c r="C57" s="246" t="s">
        <v>1479</v>
      </c>
      <c r="D57" s="246" t="s">
        <v>1408</v>
      </c>
      <c r="E57" s="246" t="s">
        <v>1479</v>
      </c>
      <c r="F57" s="250" t="s">
        <v>511</v>
      </c>
      <c r="G57" s="249"/>
    </row>
    <row r="58" spans="1:7" ht="38.1">
      <c r="A58" s="238" t="s">
        <v>465</v>
      </c>
      <c r="B58" s="238" t="s">
        <v>1480</v>
      </c>
      <c r="C58" s="246" t="s">
        <v>1479</v>
      </c>
      <c r="D58" s="246" t="s">
        <v>1404</v>
      </c>
      <c r="E58" s="246" t="s">
        <v>1481</v>
      </c>
      <c r="F58" s="250" t="s">
        <v>511</v>
      </c>
      <c r="G58" s="249"/>
    </row>
    <row r="59" spans="1:7" ht="18.95">
      <c r="A59" s="238" t="s">
        <v>469</v>
      </c>
      <c r="B59" s="238" t="s">
        <v>1400</v>
      </c>
      <c r="C59" s="246" t="s">
        <v>1479</v>
      </c>
      <c r="D59" s="246" t="s">
        <v>1404</v>
      </c>
      <c r="E59" s="246" t="s">
        <v>1438</v>
      </c>
      <c r="F59" s="250" t="s">
        <v>511</v>
      </c>
      <c r="G59" s="249"/>
    </row>
    <row r="60" spans="1:7" ht="18.95">
      <c r="A60" s="238" t="s">
        <v>501</v>
      </c>
      <c r="B60" s="238" t="s">
        <v>1405</v>
      </c>
      <c r="C60" s="246" t="s">
        <v>475</v>
      </c>
      <c r="D60" s="246" t="s">
        <v>1404</v>
      </c>
      <c r="E60" s="246" t="s">
        <v>330</v>
      </c>
      <c r="F60" s="246" t="s">
        <v>1404</v>
      </c>
      <c r="G60" s="246" t="s">
        <v>330</v>
      </c>
    </row>
    <row r="61" spans="1:7" ht="18.95">
      <c r="A61" s="238" t="s">
        <v>432</v>
      </c>
      <c r="B61" s="238" t="s">
        <v>1405</v>
      </c>
      <c r="C61" s="246" t="s">
        <v>1406</v>
      </c>
      <c r="D61" s="246" t="s">
        <v>1404</v>
      </c>
      <c r="E61" s="246" t="s">
        <v>330</v>
      </c>
      <c r="F61" s="250" t="s">
        <v>511</v>
      </c>
      <c r="G61" s="249"/>
    </row>
    <row r="62" spans="1:7" ht="18.95">
      <c r="A62" s="238" t="s">
        <v>264</v>
      </c>
      <c r="B62" s="238" t="s">
        <v>1404</v>
      </c>
      <c r="C62" s="246" t="s">
        <v>235</v>
      </c>
      <c r="D62" s="246" t="s">
        <v>1404</v>
      </c>
      <c r="E62" s="246" t="s">
        <v>235</v>
      </c>
      <c r="F62" s="250" t="s">
        <v>511</v>
      </c>
      <c r="G62" s="249"/>
    </row>
    <row r="63" spans="1:7" ht="38.1">
      <c r="A63" s="238" t="s">
        <v>268</v>
      </c>
      <c r="B63" s="238" t="s">
        <v>1404</v>
      </c>
      <c r="C63" s="246" t="s">
        <v>235</v>
      </c>
      <c r="D63" s="246" t="s">
        <v>1482</v>
      </c>
      <c r="E63" s="246" t="s">
        <v>1483</v>
      </c>
      <c r="F63" s="250" t="s">
        <v>511</v>
      </c>
      <c r="G63" s="249"/>
    </row>
    <row r="64" spans="1:7" ht="18.95">
      <c r="A64" s="238" t="s">
        <v>273</v>
      </c>
      <c r="B64" s="238" t="s">
        <v>1404</v>
      </c>
      <c r="C64" s="246" t="s">
        <v>235</v>
      </c>
      <c r="D64" s="246" t="s">
        <v>1404</v>
      </c>
      <c r="E64" s="246" t="s">
        <v>235</v>
      </c>
      <c r="F64" s="250" t="s">
        <v>511</v>
      </c>
      <c r="G64" s="249"/>
    </row>
    <row r="65" spans="1:7" ht="18.95">
      <c r="A65" s="238" t="s">
        <v>506</v>
      </c>
      <c r="B65" s="238" t="s">
        <v>1419</v>
      </c>
      <c r="C65" s="246" t="s">
        <v>475</v>
      </c>
      <c r="D65" s="246" t="s">
        <v>1419</v>
      </c>
      <c r="E65" s="246" t="s">
        <v>330</v>
      </c>
      <c r="F65" s="250" t="s">
        <v>511</v>
      </c>
      <c r="G65" s="249"/>
    </row>
    <row r="66" spans="1:7" ht="38.1">
      <c r="A66" s="238" t="s">
        <v>215</v>
      </c>
      <c r="B66" s="238" t="s">
        <v>1404</v>
      </c>
      <c r="C66" s="246" t="s">
        <v>1484</v>
      </c>
      <c r="D66" s="246" t="s">
        <v>1404</v>
      </c>
      <c r="E66" s="246" t="s">
        <v>1485</v>
      </c>
      <c r="F66" s="250" t="s">
        <v>511</v>
      </c>
      <c r="G66" s="249"/>
    </row>
    <row r="67" spans="1:7" ht="38.1">
      <c r="A67" s="238" t="s">
        <v>220</v>
      </c>
      <c r="B67" s="238" t="s">
        <v>1404</v>
      </c>
      <c r="C67" s="246" t="s">
        <v>1486</v>
      </c>
      <c r="D67" s="246" t="s">
        <v>1404</v>
      </c>
      <c r="E67" s="246" t="s">
        <v>1486</v>
      </c>
      <c r="F67" s="250" t="s">
        <v>511</v>
      </c>
      <c r="G67" s="249"/>
    </row>
    <row r="68" spans="1:7" ht="38.1">
      <c r="A68" s="240" t="s">
        <v>510</v>
      </c>
      <c r="B68" s="240" t="s">
        <v>1487</v>
      </c>
      <c r="C68" s="247" t="s">
        <v>330</v>
      </c>
      <c r="D68" s="247" t="s">
        <v>1488</v>
      </c>
      <c r="E68" s="247" t="s">
        <v>1489</v>
      </c>
      <c r="F68" s="247" t="s">
        <v>1490</v>
      </c>
      <c r="G68" s="247" t="s">
        <v>1491</v>
      </c>
    </row>
    <row r="69" spans="1:7" ht="18.95">
      <c r="A69" s="242" t="s">
        <v>552</v>
      </c>
      <c r="B69" s="238" t="s">
        <v>1419</v>
      </c>
      <c r="C69" s="246" t="s">
        <v>475</v>
      </c>
      <c r="D69" s="246" t="s">
        <v>1492</v>
      </c>
      <c r="E69" s="246" t="s">
        <v>1493</v>
      </c>
      <c r="F69" s="250" t="s">
        <v>511</v>
      </c>
      <c r="G69" s="249"/>
    </row>
    <row r="70" spans="1:7" ht="38.1">
      <c r="A70" s="238" t="s">
        <v>277</v>
      </c>
      <c r="B70" s="238" t="s">
        <v>1419</v>
      </c>
      <c r="C70" s="246" t="s">
        <v>235</v>
      </c>
      <c r="D70" s="246" t="s">
        <v>1494</v>
      </c>
      <c r="E70" s="246" t="s">
        <v>1495</v>
      </c>
      <c r="F70" s="250" t="s">
        <v>511</v>
      </c>
      <c r="G70" s="249"/>
    </row>
    <row r="71" spans="1:7" ht="18.95">
      <c r="A71" s="238" t="s">
        <v>224</v>
      </c>
      <c r="B71" s="238" t="s">
        <v>1401</v>
      </c>
      <c r="C71" s="246" t="s">
        <v>1496</v>
      </c>
      <c r="D71" s="246" t="s">
        <v>1404</v>
      </c>
      <c r="E71" s="246" t="s">
        <v>1497</v>
      </c>
      <c r="F71" s="250" t="s">
        <v>511</v>
      </c>
      <c r="G71" s="249"/>
    </row>
    <row r="72" spans="1:7" ht="18.95">
      <c r="A72" s="240" t="s">
        <v>557</v>
      </c>
      <c r="B72" s="240" t="s">
        <v>1400</v>
      </c>
      <c r="C72" s="247" t="s">
        <v>330</v>
      </c>
      <c r="D72" s="247" t="s">
        <v>1404</v>
      </c>
      <c r="E72" s="247" t="s">
        <v>330</v>
      </c>
      <c r="F72" s="252" t="s">
        <v>511</v>
      </c>
      <c r="G72" s="248"/>
    </row>
    <row r="73" spans="1:7" ht="38.1">
      <c r="A73" s="238" t="s">
        <v>50</v>
      </c>
      <c r="B73" s="238" t="s">
        <v>1419</v>
      </c>
      <c r="C73" s="246" t="s">
        <v>1498</v>
      </c>
      <c r="D73" s="246" t="s">
        <v>1419</v>
      </c>
      <c r="E73" s="246" t="s">
        <v>1499</v>
      </c>
      <c r="F73" s="250" t="s">
        <v>511</v>
      </c>
      <c r="G73" s="249"/>
    </row>
    <row r="74" spans="1:7" ht="18.95">
      <c r="A74" s="238" t="s">
        <v>192</v>
      </c>
      <c r="B74" s="238" t="s">
        <v>1404</v>
      </c>
      <c r="C74" s="246" t="s">
        <v>235</v>
      </c>
      <c r="D74" s="246" t="s">
        <v>1404</v>
      </c>
      <c r="E74" s="246" t="s">
        <v>1414</v>
      </c>
      <c r="F74" s="250" t="s">
        <v>511</v>
      </c>
      <c r="G74" s="249"/>
    </row>
    <row r="75" spans="1:7" ht="18.95">
      <c r="A75" s="238" t="s">
        <v>386</v>
      </c>
      <c r="B75" s="238" t="s">
        <v>1453</v>
      </c>
      <c r="C75" s="246" t="s">
        <v>370</v>
      </c>
      <c r="D75" s="246" t="s">
        <v>1453</v>
      </c>
      <c r="E75" s="246" t="s">
        <v>370</v>
      </c>
      <c r="F75" s="250" t="s">
        <v>511</v>
      </c>
      <c r="G75" s="249"/>
    </row>
    <row r="76" spans="1:7" ht="18.95">
      <c r="A76" s="238" t="s">
        <v>28</v>
      </c>
      <c r="B76" s="238" t="s">
        <v>1452</v>
      </c>
      <c r="C76" s="246" t="s">
        <v>1500</v>
      </c>
      <c r="D76" s="246" t="s">
        <v>1501</v>
      </c>
      <c r="E76" s="246" t="s">
        <v>1502</v>
      </c>
      <c r="F76" s="251" t="s">
        <v>1503</v>
      </c>
      <c r="G76" s="251" t="s">
        <v>1504</v>
      </c>
    </row>
    <row r="77" spans="1:7" ht="18.95">
      <c r="A77" s="238" t="s">
        <v>390</v>
      </c>
      <c r="B77" s="238" t="s">
        <v>1505</v>
      </c>
      <c r="C77" s="246" t="s">
        <v>370</v>
      </c>
      <c r="D77" s="246" t="s">
        <v>1501</v>
      </c>
      <c r="E77" s="246" t="s">
        <v>370</v>
      </c>
      <c r="F77" s="250" t="s">
        <v>511</v>
      </c>
      <c r="G77" s="249"/>
    </row>
    <row r="78" spans="1:7" ht="18.95">
      <c r="A78" s="240" t="s">
        <v>435</v>
      </c>
      <c r="B78" s="240" t="s">
        <v>1419</v>
      </c>
      <c r="C78" s="247" t="s">
        <v>1506</v>
      </c>
      <c r="D78" s="247" t="s">
        <v>1507</v>
      </c>
      <c r="E78" s="247" t="s">
        <v>330</v>
      </c>
      <c r="F78" s="252" t="s">
        <v>511</v>
      </c>
      <c r="G78" s="248"/>
    </row>
    <row r="79" spans="1:7" ht="18.95">
      <c r="A79" s="238" t="s">
        <v>60</v>
      </c>
      <c r="B79" s="238" t="s">
        <v>1455</v>
      </c>
      <c r="C79" s="246" t="s">
        <v>1508</v>
      </c>
      <c r="D79" s="246" t="s">
        <v>1509</v>
      </c>
      <c r="E79" s="246" t="s">
        <v>1510</v>
      </c>
      <c r="F79" s="250" t="s">
        <v>511</v>
      </c>
      <c r="G79" s="249"/>
    </row>
    <row r="80" spans="1:7" ht="18.95">
      <c r="A80" s="242" t="s">
        <v>282</v>
      </c>
      <c r="B80" s="238" t="s">
        <v>1511</v>
      </c>
      <c r="C80" s="246" t="s">
        <v>235</v>
      </c>
      <c r="D80" s="246" t="s">
        <v>1511</v>
      </c>
      <c r="E80" s="246" t="s">
        <v>1409</v>
      </c>
      <c r="F80" s="250" t="s">
        <v>511</v>
      </c>
      <c r="G80" s="249"/>
    </row>
    <row r="81" spans="1:7" ht="18.95">
      <c r="A81" s="239" t="s">
        <v>286</v>
      </c>
      <c r="B81" s="238" t="s">
        <v>1419</v>
      </c>
      <c r="C81" s="246" t="s">
        <v>235</v>
      </c>
      <c r="D81" s="246" t="s">
        <v>1512</v>
      </c>
      <c r="E81" s="246" t="s">
        <v>235</v>
      </c>
      <c r="F81" s="250" t="s">
        <v>511</v>
      </c>
      <c r="G81" s="249"/>
    </row>
    <row r="82" spans="1:7" ht="18.95">
      <c r="A82" s="239" t="s">
        <v>290</v>
      </c>
      <c r="B82" s="238" t="s">
        <v>1404</v>
      </c>
      <c r="C82" s="246" t="s">
        <v>235</v>
      </c>
      <c r="D82" s="246" t="s">
        <v>1404</v>
      </c>
      <c r="E82" s="246" t="s">
        <v>235</v>
      </c>
      <c r="F82" s="250" t="s">
        <v>511</v>
      </c>
      <c r="G82" s="249"/>
    </row>
    <row r="83" spans="1:7" ht="18.95">
      <c r="A83" s="242" t="s">
        <v>294</v>
      </c>
      <c r="B83" s="238" t="s">
        <v>1452</v>
      </c>
      <c r="C83" s="246" t="s">
        <v>235</v>
      </c>
      <c r="D83" s="246" t="s">
        <v>1404</v>
      </c>
      <c r="E83" s="246" t="s">
        <v>235</v>
      </c>
      <c r="F83" s="250" t="s">
        <v>511</v>
      </c>
      <c r="G83" s="249"/>
    </row>
    <row r="84" spans="1:7" ht="18.95">
      <c r="A84" s="239" t="s">
        <v>298</v>
      </c>
      <c r="B84" s="238" t="s">
        <v>1404</v>
      </c>
      <c r="C84" s="246" t="s">
        <v>370</v>
      </c>
      <c r="D84" s="246" t="s">
        <v>1513</v>
      </c>
      <c r="E84" s="246" t="s">
        <v>370</v>
      </c>
      <c r="F84" s="250" t="s">
        <v>511</v>
      </c>
      <c r="G84" s="249"/>
    </row>
    <row r="85" spans="1:7" ht="18.95">
      <c r="A85" s="239" t="s">
        <v>302</v>
      </c>
      <c r="B85" s="238" t="s">
        <v>1514</v>
      </c>
      <c r="C85" s="246" t="s">
        <v>1497</v>
      </c>
      <c r="D85" s="246" t="s">
        <v>1404</v>
      </c>
      <c r="E85" s="246" t="s">
        <v>1497</v>
      </c>
      <c r="F85" s="251" t="s">
        <v>1515</v>
      </c>
      <c r="G85" s="251" t="s">
        <v>1516</v>
      </c>
    </row>
    <row r="86" spans="1:7" ht="18.95">
      <c r="A86" s="238" t="s">
        <v>66</v>
      </c>
      <c r="B86" s="238" t="s">
        <v>1419</v>
      </c>
      <c r="C86" s="246" t="s">
        <v>1499</v>
      </c>
      <c r="D86" s="246" t="s">
        <v>1419</v>
      </c>
      <c r="E86" s="246" t="s">
        <v>1499</v>
      </c>
      <c r="F86" s="250" t="s">
        <v>511</v>
      </c>
      <c r="G86" s="249"/>
    </row>
    <row r="87" spans="1:7" ht="18.95">
      <c r="A87" s="238" t="s">
        <v>560</v>
      </c>
      <c r="B87" s="238" t="s">
        <v>1404</v>
      </c>
      <c r="C87" s="246" t="s">
        <v>1414</v>
      </c>
      <c r="D87" s="246" t="s">
        <v>1404</v>
      </c>
      <c r="E87" s="246" t="s">
        <v>235</v>
      </c>
      <c r="F87" s="251" t="s">
        <v>1404</v>
      </c>
      <c r="G87" s="251" t="s">
        <v>1409</v>
      </c>
    </row>
    <row r="88" spans="1:7" ht="18.95">
      <c r="A88" s="238" t="s">
        <v>564</v>
      </c>
      <c r="B88" s="238" t="s">
        <v>1503</v>
      </c>
      <c r="C88" s="246" t="s">
        <v>1496</v>
      </c>
      <c r="D88" s="246" t="s">
        <v>1404</v>
      </c>
      <c r="E88" s="246" t="s">
        <v>1414</v>
      </c>
      <c r="F88" s="250" t="s">
        <v>511</v>
      </c>
      <c r="G88" s="249"/>
    </row>
    <row r="89" spans="1:7" ht="18.95">
      <c r="A89" s="239" t="s">
        <v>307</v>
      </c>
      <c r="B89" s="238" t="s">
        <v>1404</v>
      </c>
      <c r="C89" s="246" t="s">
        <v>1497</v>
      </c>
      <c r="D89" s="246" t="s">
        <v>1404</v>
      </c>
      <c r="E89" s="246" t="s">
        <v>235</v>
      </c>
      <c r="F89" s="250" t="s">
        <v>511</v>
      </c>
      <c r="G89" s="249"/>
    </row>
    <row r="90" spans="1:7" ht="38.1">
      <c r="A90" s="238" t="s">
        <v>129</v>
      </c>
      <c r="B90" s="238" t="s">
        <v>1404</v>
      </c>
      <c r="C90" s="246" t="s">
        <v>1469</v>
      </c>
      <c r="D90" s="246" t="s">
        <v>1404</v>
      </c>
      <c r="E90" s="246" t="s">
        <v>1470</v>
      </c>
      <c r="F90" s="250" t="s">
        <v>511</v>
      </c>
      <c r="G90" s="249"/>
    </row>
    <row r="91" spans="1:7" ht="38.1">
      <c r="A91" s="238" t="s">
        <v>133</v>
      </c>
      <c r="B91" s="238" t="s">
        <v>1400</v>
      </c>
      <c r="C91" s="246" t="s">
        <v>1517</v>
      </c>
      <c r="D91" s="246" t="s">
        <v>1404</v>
      </c>
      <c r="E91" s="246" t="s">
        <v>1470</v>
      </c>
      <c r="F91" s="250" t="s">
        <v>511</v>
      </c>
      <c r="G91" s="249"/>
    </row>
    <row r="92" spans="1:7" ht="18.95">
      <c r="A92" s="238" t="s">
        <v>357</v>
      </c>
      <c r="B92" s="238" t="s">
        <v>1453</v>
      </c>
      <c r="C92" s="246" t="s">
        <v>1518</v>
      </c>
      <c r="D92" s="246" t="s">
        <v>1404</v>
      </c>
      <c r="E92" s="246" t="s">
        <v>1518</v>
      </c>
      <c r="F92" s="250" t="s">
        <v>511</v>
      </c>
      <c r="G92" s="249"/>
    </row>
    <row r="93" spans="1:7" ht="18.95">
      <c r="A93" s="238" t="s">
        <v>393</v>
      </c>
      <c r="B93" s="238" t="s">
        <v>1408</v>
      </c>
      <c r="C93" s="246" t="s">
        <v>370</v>
      </c>
      <c r="D93" s="246" t="s">
        <v>1408</v>
      </c>
      <c r="E93" s="246" t="s">
        <v>370</v>
      </c>
      <c r="F93" s="250" t="s">
        <v>511</v>
      </c>
      <c r="G93" s="249"/>
    </row>
    <row r="94" spans="1:7" ht="18.95">
      <c r="A94" s="239" t="s">
        <v>312</v>
      </c>
      <c r="B94" s="238" t="s">
        <v>1519</v>
      </c>
      <c r="C94" s="246" t="s">
        <v>235</v>
      </c>
      <c r="D94" s="246" t="s">
        <v>1404</v>
      </c>
      <c r="E94" s="246" t="s">
        <v>235</v>
      </c>
      <c r="F94" s="250" t="s">
        <v>511</v>
      </c>
      <c r="G94" s="249"/>
    </row>
    <row r="95" spans="1:7" ht="18.95">
      <c r="A95" s="239" t="s">
        <v>174</v>
      </c>
      <c r="B95" s="238" t="s">
        <v>1455</v>
      </c>
      <c r="C95" s="246" t="s">
        <v>1414</v>
      </c>
      <c r="D95" s="246" t="s">
        <v>1401</v>
      </c>
      <c r="E95" s="246" t="s">
        <v>107</v>
      </c>
      <c r="F95" s="250" t="s">
        <v>511</v>
      </c>
      <c r="G95" s="249"/>
    </row>
    <row r="96" spans="1:7" ht="18.95">
      <c r="A96" s="239" t="s">
        <v>514</v>
      </c>
      <c r="B96" s="238" t="s">
        <v>1405</v>
      </c>
      <c r="C96" s="246" t="s">
        <v>475</v>
      </c>
      <c r="D96" s="246" t="s">
        <v>1405</v>
      </c>
      <c r="E96" s="246" t="s">
        <v>330</v>
      </c>
      <c r="F96" s="246" t="s">
        <v>1520</v>
      </c>
      <c r="G96" s="246" t="s">
        <v>1521</v>
      </c>
    </row>
    <row r="97" spans="1:7" ht="38.1">
      <c r="A97" s="238" t="s">
        <v>316</v>
      </c>
      <c r="B97" s="238" t="s">
        <v>1405</v>
      </c>
      <c r="C97" s="246" t="s">
        <v>1414</v>
      </c>
      <c r="D97" s="246" t="s">
        <v>1404</v>
      </c>
      <c r="E97" s="246" t="s">
        <v>1522</v>
      </c>
      <c r="F97" s="251" t="s">
        <v>1404</v>
      </c>
      <c r="G97" s="251" t="s">
        <v>235</v>
      </c>
    </row>
    <row r="98" spans="1:7" ht="38.1">
      <c r="A98" s="238" t="s">
        <v>488</v>
      </c>
      <c r="B98" s="238" t="s">
        <v>1404</v>
      </c>
      <c r="C98" s="246" t="s">
        <v>1413</v>
      </c>
      <c r="D98" s="246" t="s">
        <v>1404</v>
      </c>
      <c r="E98" s="246" t="s">
        <v>1413</v>
      </c>
      <c r="F98" s="246" t="s">
        <v>1408</v>
      </c>
      <c r="G98" s="246" t="s">
        <v>1523</v>
      </c>
    </row>
    <row r="99" spans="1:7" ht="18.95">
      <c r="A99" s="241" t="s">
        <v>361</v>
      </c>
      <c r="B99" s="238" t="s">
        <v>1404</v>
      </c>
      <c r="C99" s="246" t="s">
        <v>1524</v>
      </c>
      <c r="D99" s="250" t="s">
        <v>511</v>
      </c>
      <c r="E99" s="249"/>
      <c r="F99" s="246" t="s">
        <v>1404</v>
      </c>
      <c r="G99" s="246" t="s">
        <v>1525</v>
      </c>
    </row>
    <row r="100" spans="1:7" ht="18.95">
      <c r="A100" s="238" t="s">
        <v>398</v>
      </c>
      <c r="B100" s="238" t="s">
        <v>1404</v>
      </c>
      <c r="C100" s="246" t="s">
        <v>370</v>
      </c>
      <c r="D100" s="246" t="s">
        <v>1404</v>
      </c>
      <c r="E100" s="246" t="s">
        <v>370</v>
      </c>
      <c r="F100" s="249"/>
      <c r="G100" s="249"/>
    </row>
    <row r="101" spans="1:7" ht="18.95">
      <c r="A101" s="239" t="s">
        <v>325</v>
      </c>
      <c r="B101" s="238" t="s">
        <v>1419</v>
      </c>
      <c r="C101" s="246" t="s">
        <v>235</v>
      </c>
      <c r="D101" s="246" t="s">
        <v>1419</v>
      </c>
      <c r="E101" s="246" t="s">
        <v>235</v>
      </c>
      <c r="F101" s="251" t="s">
        <v>1404</v>
      </c>
      <c r="G101" s="251" t="s">
        <v>235</v>
      </c>
    </row>
    <row r="102" spans="1:7" ht="18.95">
      <c r="A102" s="238" t="s">
        <v>71</v>
      </c>
      <c r="B102" s="238" t="s">
        <v>1404</v>
      </c>
      <c r="C102" s="246" t="s">
        <v>1526</v>
      </c>
      <c r="D102" s="246" t="s">
        <v>1401</v>
      </c>
      <c r="E102" s="246" t="s">
        <v>1461</v>
      </c>
      <c r="F102" s="250" t="s">
        <v>511</v>
      </c>
      <c r="G102" s="249"/>
    </row>
    <row r="103" spans="1:7" ht="18.95">
      <c r="A103" s="238" t="s">
        <v>196</v>
      </c>
      <c r="B103" s="238" t="s">
        <v>1434</v>
      </c>
      <c r="C103" s="246" t="s">
        <v>1414</v>
      </c>
      <c r="D103" s="246" t="s">
        <v>1404</v>
      </c>
      <c r="E103" s="246" t="s">
        <v>1527</v>
      </c>
      <c r="F103" s="249"/>
      <c r="G103" s="249"/>
    </row>
    <row r="104" spans="1:7" ht="18.95">
      <c r="A104" s="238" t="s">
        <v>137</v>
      </c>
      <c r="B104" s="238" t="s">
        <v>1404</v>
      </c>
      <c r="C104" s="246" t="s">
        <v>235</v>
      </c>
      <c r="D104" s="246" t="s">
        <v>1404</v>
      </c>
      <c r="E104" s="246" t="s">
        <v>235</v>
      </c>
      <c r="F104" s="251" t="s">
        <v>1404</v>
      </c>
      <c r="G104" s="251" t="s">
        <v>235</v>
      </c>
    </row>
    <row r="105" spans="1:7" ht="18.95">
      <c r="A105" s="238" t="s">
        <v>141</v>
      </c>
      <c r="B105" s="238" t="s">
        <v>1503</v>
      </c>
      <c r="C105" s="246" t="s">
        <v>1497</v>
      </c>
      <c r="D105" s="246" t="s">
        <v>1404</v>
      </c>
      <c r="E105" s="246" t="s">
        <v>1497</v>
      </c>
      <c r="F105" s="246" t="s">
        <v>1404</v>
      </c>
      <c r="G105" s="246" t="s">
        <v>1528</v>
      </c>
    </row>
    <row r="106" spans="1:7" ht="18.95">
      <c r="A106" s="238" t="s">
        <v>442</v>
      </c>
      <c r="B106" s="238" t="s">
        <v>1415</v>
      </c>
      <c r="C106" s="246" t="s">
        <v>1506</v>
      </c>
      <c r="D106" s="246" t="s">
        <v>1408</v>
      </c>
      <c r="E106" s="246" t="s">
        <v>330</v>
      </c>
      <c r="F106" s="249"/>
      <c r="G106" s="249"/>
    </row>
    <row r="107" spans="1:7" ht="18.95">
      <c r="A107" s="238" t="s">
        <v>76</v>
      </c>
      <c r="B107" s="238" t="s">
        <v>1404</v>
      </c>
      <c r="C107" s="246" t="s">
        <v>1526</v>
      </c>
      <c r="D107" s="246" t="s">
        <v>1404</v>
      </c>
      <c r="E107" s="246" t="s">
        <v>1439</v>
      </c>
      <c r="F107" s="249"/>
      <c r="G107" s="249"/>
    </row>
    <row r="108" spans="1:7" ht="18.95">
      <c r="A108" s="238" t="s">
        <v>147</v>
      </c>
      <c r="B108" s="238" t="s">
        <v>1419</v>
      </c>
      <c r="C108" s="246" t="s">
        <v>1414</v>
      </c>
      <c r="D108" s="246" t="s">
        <v>1404</v>
      </c>
      <c r="E108" s="246" t="s">
        <v>1414</v>
      </c>
      <c r="F108" s="249"/>
      <c r="G108" s="249"/>
    </row>
    <row r="109" spans="1:7" ht="18.95">
      <c r="A109" s="238" t="s">
        <v>151</v>
      </c>
      <c r="B109" s="238" t="s">
        <v>1529</v>
      </c>
      <c r="C109" s="246" t="s">
        <v>1414</v>
      </c>
      <c r="D109" s="246" t="s">
        <v>1404</v>
      </c>
      <c r="E109" s="246" t="s">
        <v>1414</v>
      </c>
      <c r="F109" s="251" t="s">
        <v>1404</v>
      </c>
      <c r="G109" s="251" t="s">
        <v>1409</v>
      </c>
    </row>
    <row r="110" spans="1:7" ht="18.95">
      <c r="A110" s="238" t="s">
        <v>568</v>
      </c>
      <c r="B110" s="238" t="s">
        <v>1530</v>
      </c>
      <c r="C110" s="246" t="s">
        <v>235</v>
      </c>
      <c r="D110" s="246" t="s">
        <v>1404</v>
      </c>
      <c r="E110" s="246" t="s">
        <v>1439</v>
      </c>
      <c r="F110" s="249"/>
      <c r="G110" s="249"/>
    </row>
    <row r="111" spans="1:7" ht="18.95">
      <c r="A111" s="238" t="s">
        <v>402</v>
      </c>
      <c r="B111" s="238" t="s">
        <v>1419</v>
      </c>
      <c r="C111" s="246" t="s">
        <v>370</v>
      </c>
      <c r="D111" s="246" t="s">
        <v>1404</v>
      </c>
      <c r="E111" s="246" t="s">
        <v>370</v>
      </c>
      <c r="F111" s="249"/>
      <c r="G111" s="249"/>
    </row>
    <row r="112" spans="1:7" ht="18.95">
      <c r="A112" s="238" t="s">
        <v>366</v>
      </c>
      <c r="B112" s="238" t="s">
        <v>1404</v>
      </c>
      <c r="C112" s="246" t="s">
        <v>330</v>
      </c>
      <c r="D112" s="246" t="s">
        <v>1401</v>
      </c>
      <c r="E112" s="246" t="s">
        <v>330</v>
      </c>
      <c r="F112" s="246" t="s">
        <v>1531</v>
      </c>
      <c r="G112" s="246" t="s">
        <v>1532</v>
      </c>
    </row>
    <row r="113" spans="1:7" ht="18.95">
      <c r="A113" s="240" t="s">
        <v>473</v>
      </c>
      <c r="B113" s="244"/>
      <c r="C113" s="248"/>
      <c r="D113" s="248"/>
      <c r="E113" s="248"/>
      <c r="F113" s="248"/>
      <c r="G113" s="248"/>
    </row>
    <row r="114" spans="1:7" ht="18.95">
      <c r="A114" s="238" t="s">
        <v>406</v>
      </c>
      <c r="B114" s="238" t="s">
        <v>1404</v>
      </c>
      <c r="C114" s="246" t="s">
        <v>1533</v>
      </c>
      <c r="D114" s="246" t="s">
        <v>1401</v>
      </c>
      <c r="E114" s="246" t="s">
        <v>1534</v>
      </c>
      <c r="F114" s="246" t="s">
        <v>1401</v>
      </c>
      <c r="G114" s="246" t="s">
        <v>1535</v>
      </c>
    </row>
    <row r="115" spans="1:7" ht="18.95">
      <c r="A115" s="238" t="s">
        <v>155</v>
      </c>
      <c r="B115" s="238" t="s">
        <v>1511</v>
      </c>
      <c r="C115" s="246" t="s">
        <v>1414</v>
      </c>
      <c r="D115" s="246" t="s">
        <v>1511</v>
      </c>
      <c r="E115" s="246" t="s">
        <v>1409</v>
      </c>
      <c r="F115" s="251" t="s">
        <v>1404</v>
      </c>
      <c r="G115" s="251" t="s">
        <v>1409</v>
      </c>
    </row>
    <row r="116" spans="1:7" ht="18.95">
      <c r="A116" s="238" t="s">
        <v>81</v>
      </c>
      <c r="B116" s="245"/>
      <c r="C116" s="249"/>
      <c r="D116" s="249"/>
      <c r="E116" s="249"/>
      <c r="F116" s="253"/>
      <c r="G116" s="253"/>
    </row>
    <row r="117" spans="1:7" ht="18.95">
      <c r="A117" s="238" t="s">
        <v>84</v>
      </c>
      <c r="B117" s="245"/>
      <c r="C117" s="249"/>
      <c r="D117" s="249"/>
      <c r="E117" s="249"/>
      <c r="F117" s="251" t="s">
        <v>1503</v>
      </c>
      <c r="G117" s="253"/>
    </row>
    <row r="118" spans="1:7" ht="18.95">
      <c r="A118" s="238" t="s">
        <v>160</v>
      </c>
      <c r="B118" s="245"/>
      <c r="C118" s="249"/>
      <c r="D118" s="249"/>
      <c r="E118" s="249"/>
      <c r="F118" s="253"/>
      <c r="G118" s="253"/>
    </row>
    <row r="119" spans="1:7" ht="18.95">
      <c r="A119" s="238" t="s">
        <v>19</v>
      </c>
      <c r="B119" s="245"/>
      <c r="C119" s="249"/>
      <c r="D119" s="249"/>
      <c r="E119" s="249"/>
      <c r="F119" s="251" t="s">
        <v>1536</v>
      </c>
      <c r="G119" s="251" t="s">
        <v>1537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3047-7852-4E39-AEDF-F528AD84D475}">
  <dimension ref="A1:BI68"/>
  <sheetViews>
    <sheetView tabSelected="1" workbookViewId="0">
      <pane xSplit="2" ySplit="1" topLeftCell="C4" activePane="bottomRight" state="frozen"/>
      <selection pane="bottomRight" activeCell="B31" sqref="B31"/>
      <selection pane="bottomLeft"/>
      <selection pane="topRight"/>
    </sheetView>
  </sheetViews>
  <sheetFormatPr defaultColWidth="8.85546875" defaultRowHeight="15"/>
  <cols>
    <col min="1" max="1" width="7.42578125" bestFit="1" customWidth="1"/>
    <col min="2" max="2" width="46" bestFit="1" customWidth="1"/>
    <col min="3" max="3" width="11" customWidth="1"/>
    <col min="4" max="4" width="27.85546875" bestFit="1" customWidth="1"/>
    <col min="5" max="5" width="16" bestFit="1" customWidth="1"/>
    <col min="6" max="6" width="30.42578125" bestFit="1" customWidth="1"/>
    <col min="7" max="7" width="12.42578125" bestFit="1" customWidth="1"/>
    <col min="8" max="8" width="17.7109375" bestFit="1" customWidth="1"/>
    <col min="9" max="9" width="27.140625" bestFit="1" customWidth="1"/>
    <col min="10" max="10" width="22" bestFit="1" customWidth="1"/>
    <col min="11" max="11" width="21.28515625" bestFit="1" customWidth="1"/>
    <col min="12" max="12" width="9.140625" bestFit="1" customWidth="1"/>
    <col min="13" max="13" width="37" bestFit="1" customWidth="1"/>
    <col min="14" max="14" width="27" bestFit="1" customWidth="1"/>
    <col min="15" max="15" width="23.42578125" bestFit="1" customWidth="1"/>
    <col min="16" max="16" width="35.28515625" bestFit="1" customWidth="1"/>
    <col min="17" max="17" width="31.42578125" bestFit="1" customWidth="1"/>
    <col min="18" max="18" width="22.28515625" style="115" bestFit="1" customWidth="1"/>
    <col min="19" max="19" width="51" bestFit="1" customWidth="1"/>
    <col min="20" max="20" width="52.85546875" bestFit="1" customWidth="1"/>
    <col min="21" max="21" width="12.7109375" bestFit="1" customWidth="1"/>
    <col min="22" max="22" width="23.7109375" style="115" customWidth="1"/>
    <col min="23" max="23" width="137" bestFit="1" customWidth="1"/>
    <col min="24" max="24" width="7.140625" bestFit="1" customWidth="1"/>
    <col min="25" max="25" width="8.140625" bestFit="1" customWidth="1"/>
    <col min="26" max="26" width="27.28515625" bestFit="1" customWidth="1"/>
    <col min="27" max="27" width="26.42578125" bestFit="1" customWidth="1"/>
    <col min="28" max="28" width="18.7109375" bestFit="1" customWidth="1"/>
    <col min="29" max="29" width="46.42578125" bestFit="1" customWidth="1"/>
    <col min="30" max="30" width="60.7109375" bestFit="1" customWidth="1"/>
    <col min="31" max="31" width="23.42578125" bestFit="1" customWidth="1"/>
    <col min="32" max="32" width="22.85546875" bestFit="1" customWidth="1"/>
    <col min="33" max="33" width="24.7109375" bestFit="1" customWidth="1"/>
    <col min="34" max="34" width="43.42578125" bestFit="1" customWidth="1"/>
    <col min="35" max="35" width="20.7109375" bestFit="1" customWidth="1"/>
    <col min="36" max="36" width="22.42578125" bestFit="1" customWidth="1"/>
    <col min="37" max="37" width="22.140625" bestFit="1" customWidth="1"/>
    <col min="38" max="38" width="21.7109375" bestFit="1" customWidth="1"/>
    <col min="39" max="39" width="23.42578125" bestFit="1" customWidth="1"/>
    <col min="40" max="40" width="23.85546875" bestFit="1" customWidth="1"/>
    <col min="41" max="41" width="32.42578125" bestFit="1" customWidth="1"/>
    <col min="42" max="42" width="20.42578125" customWidth="1"/>
    <col min="43" max="43" width="22.85546875" customWidth="1"/>
    <col min="44" max="44" width="23.85546875" bestFit="1" customWidth="1"/>
    <col min="45" max="45" width="29.85546875" bestFit="1" customWidth="1"/>
    <col min="46" max="46" width="26.42578125" bestFit="1" customWidth="1"/>
    <col min="47" max="47" width="86" bestFit="1" customWidth="1"/>
    <col min="48" max="48" width="77.7109375" bestFit="1" customWidth="1"/>
    <col min="49" max="49" width="21" bestFit="1" customWidth="1"/>
    <col min="50" max="50" width="20.7109375" bestFit="1" customWidth="1"/>
    <col min="51" max="51" width="20.42578125" bestFit="1" customWidth="1"/>
    <col min="52" max="52" width="52.42578125" bestFit="1" customWidth="1"/>
    <col min="53" max="53" width="21.28515625" bestFit="1" customWidth="1"/>
    <col min="54" max="54" width="23.42578125" bestFit="1" customWidth="1"/>
    <col min="55" max="55" width="19" bestFit="1" customWidth="1"/>
    <col min="56" max="56" width="12.85546875" bestFit="1" customWidth="1"/>
    <col min="57" max="57" width="23.28515625" bestFit="1" customWidth="1"/>
    <col min="58" max="58" width="9.140625" bestFit="1" customWidth="1"/>
    <col min="59" max="59" width="25.140625" bestFit="1" customWidth="1"/>
    <col min="60" max="60" width="24.42578125" customWidth="1"/>
    <col min="61" max="61" width="14.42578125" bestFit="1" customWidth="1"/>
  </cols>
  <sheetData>
    <row r="1" spans="1:61" s="133" customFormat="1" ht="51" customHeight="1">
      <c r="A1" s="231" t="s">
        <v>0</v>
      </c>
      <c r="B1" s="232" t="s">
        <v>758</v>
      </c>
      <c r="C1" s="232" t="s">
        <v>20</v>
      </c>
      <c r="D1" s="232" t="s">
        <v>1538</v>
      </c>
      <c r="E1" s="232" t="s">
        <v>1539</v>
      </c>
      <c r="F1" s="232" t="s">
        <v>1540</v>
      </c>
      <c r="G1" s="232" t="s">
        <v>1541</v>
      </c>
      <c r="H1" s="232" t="s">
        <v>1542</v>
      </c>
      <c r="I1" s="232" t="s">
        <v>1543</v>
      </c>
      <c r="J1" s="232" t="s">
        <v>812</v>
      </c>
      <c r="K1" s="232" t="s">
        <v>813</v>
      </c>
      <c r="L1" s="232" t="s">
        <v>814</v>
      </c>
      <c r="M1" s="232" t="s">
        <v>1544</v>
      </c>
      <c r="N1" s="232" t="s">
        <v>1545</v>
      </c>
      <c r="O1" s="232" t="s">
        <v>1546</v>
      </c>
      <c r="P1" s="232" t="s">
        <v>1547</v>
      </c>
      <c r="Q1" s="232" t="s">
        <v>1548</v>
      </c>
      <c r="R1" s="233" t="s">
        <v>1549</v>
      </c>
      <c r="S1" s="232" t="s">
        <v>16</v>
      </c>
      <c r="T1" s="232" t="s">
        <v>1550</v>
      </c>
      <c r="U1" s="232" t="s">
        <v>1551</v>
      </c>
      <c r="V1" s="233" t="s">
        <v>1552</v>
      </c>
      <c r="W1" s="232" t="s">
        <v>1553</v>
      </c>
      <c r="X1" s="232" t="s">
        <v>1554</v>
      </c>
      <c r="Y1" s="232" t="s">
        <v>1555</v>
      </c>
      <c r="Z1" s="232" t="s">
        <v>1556</v>
      </c>
      <c r="AA1" s="232" t="s">
        <v>1557</v>
      </c>
      <c r="AB1" s="232" t="s">
        <v>1558</v>
      </c>
      <c r="AC1" s="232" t="s">
        <v>1559</v>
      </c>
      <c r="AD1" s="232" t="s">
        <v>1560</v>
      </c>
      <c r="AE1" s="232" t="s">
        <v>1561</v>
      </c>
      <c r="AF1" s="232" t="s">
        <v>1562</v>
      </c>
      <c r="AG1" s="232" t="s">
        <v>1563</v>
      </c>
      <c r="AH1" s="232" t="s">
        <v>1564</v>
      </c>
      <c r="AI1" s="232" t="s">
        <v>1565</v>
      </c>
      <c r="AJ1" s="232" t="s">
        <v>1566</v>
      </c>
      <c r="AK1" s="232" t="s">
        <v>1567</v>
      </c>
      <c r="AL1" s="232" t="s">
        <v>1568</v>
      </c>
      <c r="AM1" s="232" t="s">
        <v>1569</v>
      </c>
      <c r="AN1" s="232" t="s">
        <v>1570</v>
      </c>
      <c r="AO1" s="232" t="s">
        <v>1571</v>
      </c>
      <c r="AP1" s="234" t="s">
        <v>1572</v>
      </c>
      <c r="AQ1" s="234" t="s">
        <v>1573</v>
      </c>
      <c r="AR1" s="232" t="s">
        <v>1574</v>
      </c>
      <c r="AS1" s="232" t="s">
        <v>1575</v>
      </c>
      <c r="AT1" s="232" t="s">
        <v>1576</v>
      </c>
      <c r="AU1" s="232" t="s">
        <v>1577</v>
      </c>
      <c r="AV1" s="232" t="s">
        <v>1578</v>
      </c>
      <c r="AW1" s="232" t="s">
        <v>1579</v>
      </c>
      <c r="AX1" s="232" t="s">
        <v>1580</v>
      </c>
      <c r="AY1" s="232" t="s">
        <v>1581</v>
      </c>
      <c r="AZ1" s="235"/>
      <c r="BA1" s="236" t="s">
        <v>811</v>
      </c>
      <c r="BB1" s="236" t="s">
        <v>1582</v>
      </c>
      <c r="BC1" s="236" t="s">
        <v>20</v>
      </c>
      <c r="BD1" s="236" t="s">
        <v>1553</v>
      </c>
      <c r="BE1" s="232" t="s">
        <v>1583</v>
      </c>
      <c r="BF1" s="133" t="s">
        <v>1584</v>
      </c>
      <c r="BG1" s="346" t="s">
        <v>1585</v>
      </c>
      <c r="BH1" s="346" t="s">
        <v>1586</v>
      </c>
      <c r="BI1" s="133" t="s">
        <v>1587</v>
      </c>
    </row>
    <row r="2" spans="1:61" ht="18">
      <c r="A2" s="131">
        <v>22</v>
      </c>
      <c r="B2" s="171" t="s">
        <v>645</v>
      </c>
      <c r="C2" s="171" t="s">
        <v>20</v>
      </c>
      <c r="D2" s="171">
        <v>23940011</v>
      </c>
      <c r="E2" s="171">
        <v>7700016119</v>
      </c>
      <c r="F2" s="171" t="s">
        <v>845</v>
      </c>
      <c r="G2" s="131" t="s">
        <v>573</v>
      </c>
      <c r="H2" s="131" t="s">
        <v>1588</v>
      </c>
      <c r="I2" s="131" t="s">
        <v>1589</v>
      </c>
      <c r="J2" s="131" t="s">
        <v>1590</v>
      </c>
      <c r="K2" s="172">
        <v>34676</v>
      </c>
      <c r="L2" s="131">
        <f t="shared" ref="L2:L33" ca="1" si="0">DATEDIF(K2,TODAY(),"y")</f>
        <v>31</v>
      </c>
      <c r="M2" s="131" t="s">
        <v>1591</v>
      </c>
      <c r="N2" s="131" t="s">
        <v>1592</v>
      </c>
      <c r="O2" s="131">
        <v>0</v>
      </c>
      <c r="P2" s="131">
        <v>0</v>
      </c>
      <c r="Q2" s="131">
        <v>0</v>
      </c>
      <c r="R2" s="173">
        <v>82331579997</v>
      </c>
      <c r="S2" s="131" t="s">
        <v>1593</v>
      </c>
      <c r="T2" s="131" t="s">
        <v>1594</v>
      </c>
      <c r="U2" s="131" t="s">
        <v>1595</v>
      </c>
      <c r="V2" s="173">
        <v>3510164812940000</v>
      </c>
      <c r="W2" s="131" t="s">
        <v>647</v>
      </c>
      <c r="X2" s="131">
        <v>3</v>
      </c>
      <c r="Y2" s="131">
        <v>1</v>
      </c>
      <c r="Z2" s="131" t="s">
        <v>1596</v>
      </c>
      <c r="AA2" s="131" t="s">
        <v>1590</v>
      </c>
      <c r="AB2" s="131" t="s">
        <v>1597</v>
      </c>
      <c r="AC2" s="131" t="s">
        <v>718</v>
      </c>
      <c r="AD2" s="131" t="s">
        <v>1598</v>
      </c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344">
        <v>43864</v>
      </c>
      <c r="AQ2" s="172">
        <v>44197</v>
      </c>
      <c r="AR2" s="131" t="str">
        <f t="shared" ref="AR2:AR38" ca="1" si="1">DATEDIF(AQ2,TODAY(),"y")&amp;" tahun "&amp;DATEDIF(AQ2,TODAY(),"ym")&amp;" bulan "</f>
        <v xml:space="preserve">5 tahun 0 bulan </v>
      </c>
      <c r="AS2" s="131" t="s">
        <v>1599</v>
      </c>
      <c r="AT2" s="131" t="s">
        <v>583</v>
      </c>
      <c r="AU2" s="131" t="s">
        <v>1600</v>
      </c>
      <c r="AV2" s="131" t="s">
        <v>1601</v>
      </c>
      <c r="AW2" s="131">
        <v>2013</v>
      </c>
      <c r="AX2" s="131">
        <v>2017</v>
      </c>
      <c r="AY2" s="131">
        <v>130810301014</v>
      </c>
      <c r="AZ2" s="131" t="s">
        <v>1602</v>
      </c>
      <c r="BA2" s="131" t="s">
        <v>1603</v>
      </c>
      <c r="BB2" s="131" t="s">
        <v>1604</v>
      </c>
      <c r="BC2" s="131" t="s">
        <v>20</v>
      </c>
      <c r="BD2" s="174"/>
      <c r="BE2" s="174"/>
      <c r="BG2" t="str">
        <f t="shared" ref="BG2:BG48" si="2">DATEDIF(AQ2,DATE(2026,1,1),"y")&amp;" tahun "&amp;DATEDIF(AQ2,DATE(2026,1,1),"ym")&amp;" bulan "</f>
        <v xml:space="preserve">5 tahun 0 bulan </v>
      </c>
      <c r="BI2" t="s">
        <v>1604</v>
      </c>
    </row>
    <row r="3" spans="1:61" ht="18">
      <c r="A3" s="131">
        <v>32</v>
      </c>
      <c r="B3" s="171" t="s">
        <v>673</v>
      </c>
      <c r="C3" s="171" t="s">
        <v>20</v>
      </c>
      <c r="D3" s="171">
        <v>22870001</v>
      </c>
      <c r="E3" s="226"/>
      <c r="F3" s="171" t="s">
        <v>884</v>
      </c>
      <c r="G3" s="131" t="s">
        <v>573</v>
      </c>
      <c r="H3" s="131" t="s">
        <v>1605</v>
      </c>
      <c r="I3" s="131" t="s">
        <v>1606</v>
      </c>
      <c r="J3" s="131" t="s">
        <v>1607</v>
      </c>
      <c r="K3" s="172">
        <v>31996</v>
      </c>
      <c r="L3" s="131">
        <f t="shared" ca="1" si="0"/>
        <v>38</v>
      </c>
      <c r="M3" s="174"/>
      <c r="N3" s="131" t="s">
        <v>1592</v>
      </c>
      <c r="O3" s="131">
        <v>0</v>
      </c>
      <c r="P3" s="131">
        <v>0</v>
      </c>
      <c r="Q3" s="131">
        <v>0</v>
      </c>
      <c r="R3" s="173">
        <v>81217794242</v>
      </c>
      <c r="S3" s="131" t="s">
        <v>1608</v>
      </c>
      <c r="T3" s="131" t="s">
        <v>1609</v>
      </c>
      <c r="U3" s="131" t="s">
        <v>1595</v>
      </c>
      <c r="V3" s="173">
        <v>3522234708870000</v>
      </c>
      <c r="W3" s="131" t="s">
        <v>675</v>
      </c>
      <c r="X3" s="131">
        <v>8</v>
      </c>
      <c r="Y3" s="131">
        <v>3</v>
      </c>
      <c r="Z3" s="131" t="s">
        <v>1610</v>
      </c>
      <c r="AA3" s="131" t="s">
        <v>1607</v>
      </c>
      <c r="AB3" s="131" t="s">
        <v>1153</v>
      </c>
      <c r="AC3" s="131" t="s">
        <v>646</v>
      </c>
      <c r="AD3" s="131" t="s">
        <v>1598</v>
      </c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344">
        <v>44562</v>
      </c>
      <c r="AQ3" s="172">
        <v>44621</v>
      </c>
      <c r="AR3" s="131" t="str">
        <f t="shared" ca="1" si="1"/>
        <v xml:space="preserve">3 tahun 10 bulan </v>
      </c>
      <c r="AS3" s="131" t="s">
        <v>1599</v>
      </c>
      <c r="AT3" s="131" t="s">
        <v>674</v>
      </c>
      <c r="AU3" s="131" t="s">
        <v>1611</v>
      </c>
      <c r="AV3" s="131" t="s">
        <v>1612</v>
      </c>
      <c r="AW3" s="131">
        <v>2005</v>
      </c>
      <c r="AX3" s="131">
        <v>2009</v>
      </c>
      <c r="AY3" s="131">
        <v>52084230</v>
      </c>
      <c r="AZ3" s="131" t="s">
        <v>1613</v>
      </c>
      <c r="BA3" s="131" t="s">
        <v>1603</v>
      </c>
      <c r="BB3" s="131" t="s">
        <v>1604</v>
      </c>
      <c r="BC3" s="131" t="s">
        <v>20</v>
      </c>
      <c r="BD3" s="174"/>
      <c r="BE3" s="174"/>
      <c r="BG3" t="str">
        <f t="shared" si="2"/>
        <v xml:space="preserve">3 tahun 10 bulan </v>
      </c>
      <c r="BH3" t="str">
        <f>DATEDIF(AP3,DATE(2026,1,1),"y")&amp;" tahun "&amp;DATEDIF(AP3,DATE(2026,1,1),"ym")&amp;" bulan "</f>
        <v xml:space="preserve">4 tahun 0 bulan </v>
      </c>
      <c r="BI3" t="s">
        <v>1604</v>
      </c>
    </row>
    <row r="4" spans="1:61" ht="18">
      <c r="A4" s="131">
        <v>37</v>
      </c>
      <c r="B4" s="171" t="s">
        <v>687</v>
      </c>
      <c r="C4" s="171" t="s">
        <v>20</v>
      </c>
      <c r="D4" s="171">
        <v>23890016</v>
      </c>
      <c r="E4" s="226"/>
      <c r="F4" s="171" t="s">
        <v>884</v>
      </c>
      <c r="G4" s="131" t="s">
        <v>573</v>
      </c>
      <c r="H4" s="131" t="s">
        <v>1605</v>
      </c>
      <c r="I4" s="131" t="e">
        <v>#N/A</v>
      </c>
      <c r="J4" s="131" t="s">
        <v>1308</v>
      </c>
      <c r="K4" s="172">
        <v>32741</v>
      </c>
      <c r="L4" s="131">
        <f t="shared" ca="1" si="0"/>
        <v>36</v>
      </c>
      <c r="M4" s="174"/>
      <c r="N4" s="131" t="s">
        <v>1592</v>
      </c>
      <c r="O4" s="131">
        <v>0</v>
      </c>
      <c r="P4" s="131">
        <v>0</v>
      </c>
      <c r="Q4" s="131">
        <v>0</v>
      </c>
      <c r="R4" s="173">
        <v>82236466987</v>
      </c>
      <c r="S4" s="131" t="s">
        <v>1614</v>
      </c>
      <c r="T4" s="131" t="s">
        <v>1615</v>
      </c>
      <c r="U4" s="131" t="s">
        <v>1595</v>
      </c>
      <c r="V4" s="173">
        <v>3515082108890000</v>
      </c>
      <c r="W4" s="131" t="s">
        <v>688</v>
      </c>
      <c r="X4" s="131">
        <v>36</v>
      </c>
      <c r="Y4" s="131">
        <v>7</v>
      </c>
      <c r="Z4" s="131" t="s">
        <v>1616</v>
      </c>
      <c r="AA4" s="131" t="s">
        <v>1617</v>
      </c>
      <c r="AB4" s="131" t="s">
        <v>1597</v>
      </c>
      <c r="AC4" s="131" t="s">
        <v>646</v>
      </c>
      <c r="AD4" s="131" t="s">
        <v>1598</v>
      </c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344">
        <v>44021</v>
      </c>
      <c r="AQ4" s="172">
        <v>45231</v>
      </c>
      <c r="AR4" s="131" t="str">
        <f t="shared" ca="1" si="1"/>
        <v xml:space="preserve">2 tahun 2 bulan </v>
      </c>
      <c r="AS4" s="131" t="s">
        <v>1599</v>
      </c>
      <c r="AT4" s="131" t="s">
        <v>575</v>
      </c>
      <c r="AU4" s="131" t="s">
        <v>1618</v>
      </c>
      <c r="AV4" s="131" t="s">
        <v>1619</v>
      </c>
      <c r="AW4" s="131">
        <v>2012</v>
      </c>
      <c r="AX4" s="131">
        <v>2015</v>
      </c>
      <c r="AY4" s="131">
        <v>2112105019</v>
      </c>
      <c r="AZ4" s="131" t="s">
        <v>1620</v>
      </c>
      <c r="BA4" s="131" t="s">
        <v>775</v>
      </c>
      <c r="BB4" s="131" t="s">
        <v>1604</v>
      </c>
      <c r="BC4" s="131" t="s">
        <v>20</v>
      </c>
      <c r="BD4" s="174"/>
      <c r="BE4" s="174"/>
      <c r="BG4" t="str">
        <f t="shared" si="2"/>
        <v xml:space="preserve">2 tahun 2 bulan </v>
      </c>
      <c r="BH4" t="str">
        <f>DATEDIF(AP4,DATE(2026,1,1),"y")&amp;" tahun "&amp;DATEDIF(AP4,DATE(2026,1,1),"ym")&amp;" bulan "</f>
        <v xml:space="preserve">5 tahun 5 bulan </v>
      </c>
      <c r="BI4" t="s">
        <v>1604</v>
      </c>
    </row>
    <row r="5" spans="1:61" ht="18">
      <c r="A5" s="131">
        <v>7</v>
      </c>
      <c r="B5" s="171" t="s">
        <v>596</v>
      </c>
      <c r="C5" s="171" t="s">
        <v>20</v>
      </c>
      <c r="D5" s="171">
        <v>20940020</v>
      </c>
      <c r="E5" s="171">
        <v>7700016762</v>
      </c>
      <c r="F5" s="171" t="s">
        <v>845</v>
      </c>
      <c r="G5" s="131" t="s">
        <v>573</v>
      </c>
      <c r="H5" s="131" t="s">
        <v>1621</v>
      </c>
      <c r="I5" s="131" t="s">
        <v>1622</v>
      </c>
      <c r="J5" s="131" t="s">
        <v>1295</v>
      </c>
      <c r="K5" s="172">
        <v>34353</v>
      </c>
      <c r="L5" s="131">
        <f t="shared" ca="1" si="0"/>
        <v>32</v>
      </c>
      <c r="M5" s="131" t="s">
        <v>1623</v>
      </c>
      <c r="N5" s="131" t="s">
        <v>1624</v>
      </c>
      <c r="O5" s="131">
        <v>0</v>
      </c>
      <c r="P5" s="131">
        <v>0</v>
      </c>
      <c r="Q5" s="131">
        <v>0</v>
      </c>
      <c r="R5" s="173">
        <v>82331336800</v>
      </c>
      <c r="S5" s="131" t="s">
        <v>1625</v>
      </c>
      <c r="T5" s="131" t="s">
        <v>1626</v>
      </c>
      <c r="U5" s="131" t="s">
        <v>1595</v>
      </c>
      <c r="V5" s="173">
        <v>3201025901940000</v>
      </c>
      <c r="W5" s="131" t="s">
        <v>598</v>
      </c>
      <c r="X5" s="131">
        <v>5</v>
      </c>
      <c r="Y5" s="131">
        <v>17</v>
      </c>
      <c r="Z5" s="131" t="s">
        <v>1627</v>
      </c>
      <c r="AA5" s="131" t="s">
        <v>1628</v>
      </c>
      <c r="AB5" s="131" t="s">
        <v>1597</v>
      </c>
      <c r="AC5" s="131" t="s">
        <v>597</v>
      </c>
      <c r="AD5" s="131" t="s">
        <v>1629</v>
      </c>
      <c r="AE5" s="174"/>
      <c r="AF5" s="174"/>
      <c r="AG5" s="174"/>
      <c r="AH5" s="131" t="s">
        <v>1630</v>
      </c>
      <c r="AI5" s="172">
        <v>44036</v>
      </c>
      <c r="AJ5" s="172">
        <v>44044</v>
      </c>
      <c r="AK5" s="174"/>
      <c r="AL5" s="174"/>
      <c r="AM5" s="174"/>
      <c r="AN5" s="131">
        <v>1860599687</v>
      </c>
      <c r="AO5" s="131">
        <v>19046699856</v>
      </c>
      <c r="AP5" s="343"/>
      <c r="AQ5" s="172">
        <v>43374</v>
      </c>
      <c r="AR5" s="131" t="str">
        <f t="shared" ca="1" si="1"/>
        <v xml:space="preserve">7 tahun 3 bulan </v>
      </c>
      <c r="AS5" s="131" t="s">
        <v>1599</v>
      </c>
      <c r="AT5" s="131" t="s">
        <v>575</v>
      </c>
      <c r="AU5" s="131" t="s">
        <v>1631</v>
      </c>
      <c r="AV5" s="131" t="s">
        <v>1632</v>
      </c>
      <c r="AW5" s="131">
        <v>2011</v>
      </c>
      <c r="AX5" s="131">
        <v>2017</v>
      </c>
      <c r="AY5" s="131">
        <v>115060507111014</v>
      </c>
      <c r="AZ5" s="131" t="s">
        <v>1633</v>
      </c>
      <c r="BA5" s="131" t="s">
        <v>1603</v>
      </c>
      <c r="BB5" s="131" t="s">
        <v>1604</v>
      </c>
      <c r="BC5" s="131" t="s">
        <v>20</v>
      </c>
      <c r="BD5" s="174"/>
      <c r="BE5" s="174"/>
      <c r="BG5" t="str">
        <f t="shared" si="2"/>
        <v xml:space="preserve">7 tahun 3 bulan </v>
      </c>
      <c r="BI5" t="s">
        <v>1604</v>
      </c>
    </row>
    <row r="6" spans="1:61" ht="18">
      <c r="A6" s="131">
        <v>10</v>
      </c>
      <c r="B6" s="171" t="s">
        <v>606</v>
      </c>
      <c r="C6" s="171" t="s">
        <v>20</v>
      </c>
      <c r="D6" s="175" t="s">
        <v>607</v>
      </c>
      <c r="E6" s="226"/>
      <c r="F6" s="171" t="s">
        <v>845</v>
      </c>
      <c r="G6" s="131" t="s">
        <v>573</v>
      </c>
      <c r="H6" s="131" t="s">
        <v>1634</v>
      </c>
      <c r="I6" s="131" t="s">
        <v>1635</v>
      </c>
      <c r="J6" s="131" t="s">
        <v>1636</v>
      </c>
      <c r="K6" s="172">
        <v>27804</v>
      </c>
      <c r="L6" s="131">
        <f t="shared" ca="1" si="0"/>
        <v>49</v>
      </c>
      <c r="M6" s="131" t="s">
        <v>1637</v>
      </c>
      <c r="N6" s="131" t="s">
        <v>1592</v>
      </c>
      <c r="O6" s="131">
        <v>3175073006760010</v>
      </c>
      <c r="P6" s="131" t="s">
        <v>1638</v>
      </c>
      <c r="Q6" s="131" t="s">
        <v>1639</v>
      </c>
      <c r="R6" s="173">
        <v>82114576275</v>
      </c>
      <c r="S6" s="131" t="s">
        <v>1640</v>
      </c>
      <c r="T6" s="131" t="s">
        <v>1641</v>
      </c>
      <c r="U6" s="131" t="s">
        <v>1595</v>
      </c>
      <c r="V6" s="173">
        <v>3175075402760000</v>
      </c>
      <c r="W6" s="131" t="s">
        <v>608</v>
      </c>
      <c r="X6" s="174"/>
      <c r="Y6" s="174"/>
      <c r="Z6" s="131" t="s">
        <v>1642</v>
      </c>
      <c r="AA6" s="131" t="s">
        <v>1643</v>
      </c>
      <c r="AB6" s="131" t="s">
        <v>1597</v>
      </c>
      <c r="AC6" s="131" t="s">
        <v>597</v>
      </c>
      <c r="AD6" s="131" t="s">
        <v>1629</v>
      </c>
      <c r="AE6" s="174"/>
      <c r="AF6" s="174"/>
      <c r="AG6" s="174"/>
      <c r="AH6" s="226"/>
      <c r="AI6" s="174"/>
      <c r="AJ6" s="174"/>
      <c r="AK6" s="226"/>
      <c r="AL6" s="174"/>
      <c r="AM6" s="174"/>
      <c r="AN6" s="174"/>
      <c r="AO6" s="174"/>
      <c r="AP6" s="343"/>
      <c r="AQ6" s="172">
        <v>44652</v>
      </c>
      <c r="AR6" s="131" t="str">
        <f t="shared" ca="1" si="1"/>
        <v xml:space="preserve">3 tahun 9 bulan </v>
      </c>
      <c r="AS6" s="131" t="s">
        <v>854</v>
      </c>
      <c r="AT6" s="131" t="s">
        <v>176</v>
      </c>
      <c r="AU6" s="131" t="s">
        <v>1644</v>
      </c>
      <c r="AV6" s="131" t="s">
        <v>1645</v>
      </c>
      <c r="AW6" s="174"/>
      <c r="AX6" s="131">
        <v>2020</v>
      </c>
      <c r="AY6" s="131">
        <v>55417110007</v>
      </c>
      <c r="AZ6" s="131" t="s">
        <v>1646</v>
      </c>
      <c r="BA6" s="131" t="s">
        <v>1603</v>
      </c>
      <c r="BB6" s="131" t="s">
        <v>1647</v>
      </c>
      <c r="BC6" s="131" t="s">
        <v>20</v>
      </c>
      <c r="BD6" s="174"/>
      <c r="BE6" s="174"/>
      <c r="BG6" t="str">
        <f t="shared" si="2"/>
        <v xml:space="preserve">3 tahun 9 bulan </v>
      </c>
      <c r="BI6" t="s">
        <v>1604</v>
      </c>
    </row>
    <row r="7" spans="1:61" ht="18">
      <c r="A7" s="131">
        <v>34</v>
      </c>
      <c r="B7" s="171" t="s">
        <v>679</v>
      </c>
      <c r="C7" s="171" t="s">
        <v>20</v>
      </c>
      <c r="D7" s="171">
        <v>23980004</v>
      </c>
      <c r="E7" s="226"/>
      <c r="F7" s="171" t="s">
        <v>884</v>
      </c>
      <c r="G7" s="131" t="s">
        <v>573</v>
      </c>
      <c r="H7" s="131" t="s">
        <v>1605</v>
      </c>
      <c r="I7" s="131" t="s">
        <v>1648</v>
      </c>
      <c r="J7" s="131" t="s">
        <v>1590</v>
      </c>
      <c r="K7" s="172">
        <v>35818</v>
      </c>
      <c r="L7" s="131">
        <f t="shared" ca="1" si="0"/>
        <v>27</v>
      </c>
      <c r="M7" s="131" t="s">
        <v>1649</v>
      </c>
      <c r="N7" s="131" t="s">
        <v>1592</v>
      </c>
      <c r="O7" s="131">
        <v>0</v>
      </c>
      <c r="P7" s="131">
        <v>0</v>
      </c>
      <c r="Q7" s="131">
        <v>0</v>
      </c>
      <c r="R7" s="173">
        <v>85336382717</v>
      </c>
      <c r="S7" s="131" t="s">
        <v>1650</v>
      </c>
      <c r="T7" s="131" t="s">
        <v>1651</v>
      </c>
      <c r="U7" s="131" t="s">
        <v>1595</v>
      </c>
      <c r="V7" s="173">
        <v>3510182301980000</v>
      </c>
      <c r="W7" s="131" t="s">
        <v>681</v>
      </c>
      <c r="X7" s="131">
        <v>12</v>
      </c>
      <c r="Y7" s="131">
        <v>2</v>
      </c>
      <c r="Z7" s="131" t="s">
        <v>1652</v>
      </c>
      <c r="AA7" s="131" t="s">
        <v>1590</v>
      </c>
      <c r="AB7" s="131" t="s">
        <v>1597</v>
      </c>
      <c r="AC7" s="131" t="s">
        <v>680</v>
      </c>
      <c r="AD7" s="131" t="s">
        <v>1629</v>
      </c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344">
        <v>44021</v>
      </c>
      <c r="AQ7" s="172">
        <v>44958</v>
      </c>
      <c r="AR7" s="131" t="str">
        <f t="shared" ca="1" si="1"/>
        <v xml:space="preserve">2 tahun 11 bulan </v>
      </c>
      <c r="AS7" s="131" t="s">
        <v>1599</v>
      </c>
      <c r="AT7" s="131" t="s">
        <v>621</v>
      </c>
      <c r="AU7" s="131" t="s">
        <v>1653</v>
      </c>
      <c r="AV7" s="131" t="s">
        <v>1414</v>
      </c>
      <c r="AW7" s="131">
        <v>2015</v>
      </c>
      <c r="AX7" s="131">
        <v>2018</v>
      </c>
      <c r="AY7" s="131">
        <v>361555401063</v>
      </c>
      <c r="AZ7" s="131" t="s">
        <v>1654</v>
      </c>
      <c r="BA7" s="131" t="s">
        <v>775</v>
      </c>
      <c r="BB7" s="131" t="s">
        <v>1647</v>
      </c>
      <c r="BC7" s="131" t="s">
        <v>20</v>
      </c>
      <c r="BD7" s="174"/>
      <c r="BE7" s="174"/>
      <c r="BG7" t="str">
        <f t="shared" si="2"/>
        <v xml:space="preserve">2 tahun 11 bulan </v>
      </c>
      <c r="BH7" t="str">
        <f>DATEDIF(AP7,DATE(2026,1,1),"y")&amp;" tahun "&amp;DATEDIF(AP7,DATE(2026,1,1),"ym")&amp;" bulan "</f>
        <v xml:space="preserve">5 tahun 5 bulan </v>
      </c>
      <c r="BI7" t="s">
        <v>1655</v>
      </c>
    </row>
    <row r="8" spans="1:61" ht="18">
      <c r="A8" s="131">
        <v>35</v>
      </c>
      <c r="B8" s="171" t="s">
        <v>682</v>
      </c>
      <c r="C8" s="171" t="s">
        <v>20</v>
      </c>
      <c r="D8" s="171">
        <v>23010008</v>
      </c>
      <c r="E8" s="226"/>
      <c r="F8" s="171" t="s">
        <v>884</v>
      </c>
      <c r="G8" s="131" t="s">
        <v>573</v>
      </c>
      <c r="H8" s="131" t="s">
        <v>1605</v>
      </c>
      <c r="I8" s="131" t="e">
        <v>#N/A</v>
      </c>
      <c r="J8" s="131" t="s">
        <v>1308</v>
      </c>
      <c r="K8" s="172">
        <v>37088</v>
      </c>
      <c r="L8" s="131">
        <f t="shared" ca="1" si="0"/>
        <v>24</v>
      </c>
      <c r="M8" s="174"/>
      <c r="N8" s="131" t="s">
        <v>1624</v>
      </c>
      <c r="O8" s="131">
        <v>0</v>
      </c>
      <c r="P8" s="131">
        <v>0</v>
      </c>
      <c r="Q8" s="131">
        <v>0</v>
      </c>
      <c r="R8" s="173">
        <v>81703612807</v>
      </c>
      <c r="S8" s="131" t="s">
        <v>1656</v>
      </c>
      <c r="T8" s="131" t="s">
        <v>1657</v>
      </c>
      <c r="U8" s="131" t="s">
        <v>1595</v>
      </c>
      <c r="V8" s="173">
        <v>3578245607010000</v>
      </c>
      <c r="W8" s="131" t="s">
        <v>683</v>
      </c>
      <c r="X8" s="131">
        <v>6</v>
      </c>
      <c r="Y8" s="131">
        <v>3</v>
      </c>
      <c r="Z8" s="131" t="s">
        <v>1658</v>
      </c>
      <c r="AA8" s="131" t="s">
        <v>1308</v>
      </c>
      <c r="AB8" s="131" t="s">
        <v>1597</v>
      </c>
      <c r="AC8" s="131" t="s">
        <v>597</v>
      </c>
      <c r="AD8" s="131" t="s">
        <v>1629</v>
      </c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344">
        <v>44743</v>
      </c>
      <c r="AQ8" s="172">
        <v>45170</v>
      </c>
      <c r="AR8" s="131" t="str">
        <f t="shared" ca="1" si="1"/>
        <v xml:space="preserve">2 tahun 4 bulan </v>
      </c>
      <c r="AS8" s="131" t="s">
        <v>1599</v>
      </c>
      <c r="AT8" s="131" t="s">
        <v>621</v>
      </c>
      <c r="AU8" s="131" t="s">
        <v>1659</v>
      </c>
      <c r="AV8" s="131" t="s">
        <v>1660</v>
      </c>
      <c r="AW8" s="131">
        <v>2018</v>
      </c>
      <c r="AX8" s="131">
        <v>2022</v>
      </c>
      <c r="AY8" s="131">
        <v>1204181014</v>
      </c>
      <c r="AZ8" s="131" t="s">
        <v>1661</v>
      </c>
      <c r="BA8" s="131" t="s">
        <v>1603</v>
      </c>
      <c r="BB8" s="131" t="s">
        <v>1604</v>
      </c>
      <c r="BC8" s="131" t="s">
        <v>20</v>
      </c>
      <c r="BD8" s="174"/>
      <c r="BE8" s="174"/>
      <c r="BG8" t="str">
        <f t="shared" si="2"/>
        <v xml:space="preserve">2 tahun 4 bulan </v>
      </c>
      <c r="BH8" t="str">
        <f>DATEDIF(AP8,DATE(2026,1,1),"y")&amp;" tahun "&amp;DATEDIF(AP8,DATE(2026,1,1),"ym")&amp;" bulan "</f>
        <v xml:space="preserve">3 tahun 6 bulan </v>
      </c>
      <c r="BI8" t="s">
        <v>1604</v>
      </c>
    </row>
    <row r="9" spans="1:61" ht="18">
      <c r="A9" s="131">
        <v>2</v>
      </c>
      <c r="B9" s="131" t="s">
        <v>577</v>
      </c>
      <c r="C9" s="131" t="s">
        <v>20</v>
      </c>
      <c r="D9" s="131">
        <v>20950002</v>
      </c>
      <c r="E9" s="171">
        <v>7700018086</v>
      </c>
      <c r="F9" s="171" t="s">
        <v>845</v>
      </c>
      <c r="G9" s="131" t="s">
        <v>573</v>
      </c>
      <c r="H9" s="131" t="s">
        <v>1621</v>
      </c>
      <c r="I9" s="131" t="s">
        <v>1662</v>
      </c>
      <c r="J9" s="131" t="s">
        <v>1663</v>
      </c>
      <c r="K9" s="172">
        <v>34953</v>
      </c>
      <c r="L9" s="131">
        <f t="shared" ca="1" si="0"/>
        <v>30</v>
      </c>
      <c r="M9" s="131" t="s">
        <v>1664</v>
      </c>
      <c r="N9" s="131" t="s">
        <v>1592</v>
      </c>
      <c r="O9" s="131">
        <v>0</v>
      </c>
      <c r="P9" s="131">
        <v>0</v>
      </c>
      <c r="Q9" s="131">
        <v>0</v>
      </c>
      <c r="R9" s="173">
        <v>81341544618</v>
      </c>
      <c r="S9" s="131" t="s">
        <v>1665</v>
      </c>
      <c r="T9" s="131" t="s">
        <v>1666</v>
      </c>
      <c r="U9" s="131" t="s">
        <v>1595</v>
      </c>
      <c r="V9" s="173">
        <v>3374115109950010</v>
      </c>
      <c r="W9" s="131" t="s">
        <v>580</v>
      </c>
      <c r="X9" s="131">
        <v>5</v>
      </c>
      <c r="Y9" s="131">
        <v>6</v>
      </c>
      <c r="Z9" s="131" t="s">
        <v>1667</v>
      </c>
      <c r="AA9" s="131" t="s">
        <v>1312</v>
      </c>
      <c r="AB9" s="131" t="s">
        <v>1153</v>
      </c>
      <c r="AC9" s="131" t="s">
        <v>578</v>
      </c>
      <c r="AD9" s="131" t="s">
        <v>1668</v>
      </c>
      <c r="AE9" s="174"/>
      <c r="AF9" s="174"/>
      <c r="AG9" s="174"/>
      <c r="AH9" s="131" t="s">
        <v>1669</v>
      </c>
      <c r="AI9" s="172">
        <v>43917</v>
      </c>
      <c r="AJ9" s="172">
        <v>43922</v>
      </c>
      <c r="AK9" s="174"/>
      <c r="AL9" s="174"/>
      <c r="AM9" s="174"/>
      <c r="AN9" s="131">
        <v>2449544308</v>
      </c>
      <c r="AO9" s="131">
        <v>19046699823</v>
      </c>
      <c r="AP9" s="343"/>
      <c r="AQ9" s="172">
        <v>43234</v>
      </c>
      <c r="AR9" s="131" t="str">
        <f t="shared" ca="1" si="1"/>
        <v xml:space="preserve">7 tahun 8 bulan </v>
      </c>
      <c r="AS9" s="131" t="s">
        <v>854</v>
      </c>
      <c r="AT9" s="131" t="s">
        <v>579</v>
      </c>
      <c r="AU9" s="131" t="s">
        <v>1670</v>
      </c>
      <c r="AV9" s="131" t="s">
        <v>1671</v>
      </c>
      <c r="AW9" s="131">
        <v>2018</v>
      </c>
      <c r="AX9" s="131">
        <v>2023</v>
      </c>
      <c r="AY9" s="131">
        <v>135120307111062</v>
      </c>
      <c r="AZ9" s="131" t="s">
        <v>1672</v>
      </c>
      <c r="BA9" s="131" t="s">
        <v>1603</v>
      </c>
      <c r="BB9" s="131" t="s">
        <v>1604</v>
      </c>
      <c r="BC9" s="131" t="s">
        <v>20</v>
      </c>
      <c r="BD9" s="174"/>
      <c r="BE9" s="174"/>
      <c r="BG9" t="str">
        <f t="shared" si="2"/>
        <v xml:space="preserve">7 tahun 7 bulan </v>
      </c>
      <c r="BI9" t="s">
        <v>1604</v>
      </c>
    </row>
    <row r="10" spans="1:61" ht="18">
      <c r="A10" s="131">
        <v>15</v>
      </c>
      <c r="B10" s="171" t="s">
        <v>623</v>
      </c>
      <c r="C10" s="171" t="s">
        <v>20</v>
      </c>
      <c r="D10" s="171">
        <v>22930016</v>
      </c>
      <c r="E10" s="171">
        <v>7700016587</v>
      </c>
      <c r="F10" s="171" t="s">
        <v>845</v>
      </c>
      <c r="G10" s="131" t="s">
        <v>573</v>
      </c>
      <c r="H10" s="131" t="s">
        <v>1621</v>
      </c>
      <c r="I10" s="131" t="s">
        <v>1673</v>
      </c>
      <c r="J10" s="131" t="s">
        <v>1617</v>
      </c>
      <c r="K10" s="172">
        <v>34315</v>
      </c>
      <c r="L10" s="131">
        <f t="shared" ca="1" si="0"/>
        <v>32</v>
      </c>
      <c r="M10" s="131" t="s">
        <v>1674</v>
      </c>
      <c r="N10" s="131" t="s">
        <v>1624</v>
      </c>
      <c r="O10" s="131">
        <v>0</v>
      </c>
      <c r="P10" s="131">
        <v>0</v>
      </c>
      <c r="Q10" s="131">
        <v>0</v>
      </c>
      <c r="R10" s="173">
        <v>82132224802</v>
      </c>
      <c r="S10" s="131" t="s">
        <v>1675</v>
      </c>
      <c r="T10" s="131" t="s">
        <v>1676</v>
      </c>
      <c r="U10" s="131" t="s">
        <v>1595</v>
      </c>
      <c r="V10" s="173">
        <v>3578145212930000</v>
      </c>
      <c r="W10" s="131" t="s">
        <v>626</v>
      </c>
      <c r="X10" s="131">
        <v>5</v>
      </c>
      <c r="Y10" s="131">
        <v>10</v>
      </c>
      <c r="Z10" s="131" t="s">
        <v>1677</v>
      </c>
      <c r="AA10" s="131" t="s">
        <v>1308</v>
      </c>
      <c r="AB10" s="131" t="s">
        <v>1597</v>
      </c>
      <c r="AC10" s="131" t="s">
        <v>624</v>
      </c>
      <c r="AD10" s="131" t="s">
        <v>1668</v>
      </c>
      <c r="AE10" s="174"/>
      <c r="AF10" s="174"/>
      <c r="AG10" s="174"/>
      <c r="AH10" s="131" t="s">
        <v>1678</v>
      </c>
      <c r="AI10" s="172">
        <v>43892</v>
      </c>
      <c r="AJ10" s="172">
        <v>43892</v>
      </c>
      <c r="AK10" s="174"/>
      <c r="AL10" s="174"/>
      <c r="AM10" s="174"/>
      <c r="AN10" s="131" t="e">
        <v>#N/A</v>
      </c>
      <c r="AO10" s="131">
        <v>20024584300</v>
      </c>
      <c r="AP10" s="344">
        <v>43832</v>
      </c>
      <c r="AQ10" s="172">
        <v>43892</v>
      </c>
      <c r="AR10" s="131" t="str">
        <f t="shared" ca="1" si="1"/>
        <v xml:space="preserve">5 tahun 10 bulan </v>
      </c>
      <c r="AS10" s="131" t="s">
        <v>1599</v>
      </c>
      <c r="AT10" s="131" t="s">
        <v>625</v>
      </c>
      <c r="AU10" s="131" t="s">
        <v>1679</v>
      </c>
      <c r="AV10" s="131" t="s">
        <v>1680</v>
      </c>
      <c r="AW10" s="131">
        <v>2013</v>
      </c>
      <c r="AX10" s="131">
        <v>2017</v>
      </c>
      <c r="AY10" s="131">
        <v>13132154</v>
      </c>
      <c r="AZ10" s="131" t="s">
        <v>1681</v>
      </c>
      <c r="BA10" s="131" t="s">
        <v>1603</v>
      </c>
      <c r="BB10" s="131" t="s">
        <v>1604</v>
      </c>
      <c r="BC10" s="131" t="s">
        <v>20</v>
      </c>
      <c r="BD10" s="174"/>
      <c r="BE10" s="174"/>
      <c r="BG10" t="str">
        <f t="shared" si="2"/>
        <v xml:space="preserve">5 tahun 9 bulan </v>
      </c>
      <c r="BI10" t="s">
        <v>1604</v>
      </c>
    </row>
    <row r="11" spans="1:61" ht="18">
      <c r="A11" s="131">
        <v>18</v>
      </c>
      <c r="B11" s="171" t="s">
        <v>633</v>
      </c>
      <c r="C11" s="171" t="s">
        <v>20</v>
      </c>
      <c r="D11" s="171">
        <v>22920013</v>
      </c>
      <c r="E11" s="171">
        <v>7700016104</v>
      </c>
      <c r="F11" s="171" t="s">
        <v>845</v>
      </c>
      <c r="G11" s="131" t="s">
        <v>573</v>
      </c>
      <c r="H11" s="131" t="s">
        <v>1588</v>
      </c>
      <c r="I11" s="131" t="s">
        <v>1682</v>
      </c>
      <c r="J11" s="131" t="s">
        <v>1628</v>
      </c>
      <c r="K11" s="172">
        <v>33851</v>
      </c>
      <c r="L11" s="131">
        <f t="shared" ca="1" si="0"/>
        <v>33</v>
      </c>
      <c r="M11" s="131" t="s">
        <v>1683</v>
      </c>
      <c r="N11" s="131" t="s">
        <v>1592</v>
      </c>
      <c r="O11" s="131">
        <v>3578236007950000</v>
      </c>
      <c r="P11" s="131" t="s">
        <v>742</v>
      </c>
      <c r="Q11" s="131">
        <v>0</v>
      </c>
      <c r="R11" s="173">
        <v>81210370937</v>
      </c>
      <c r="S11" s="131" t="s">
        <v>1684</v>
      </c>
      <c r="T11" s="131" t="s">
        <v>1685</v>
      </c>
      <c r="U11" s="131" t="s">
        <v>1595</v>
      </c>
      <c r="V11" s="173">
        <v>3271050409920000</v>
      </c>
      <c r="W11" s="131" t="s">
        <v>636</v>
      </c>
      <c r="X11" s="131">
        <v>9</v>
      </c>
      <c r="Y11" s="131">
        <v>14</v>
      </c>
      <c r="Z11" s="131" t="s">
        <v>1686</v>
      </c>
      <c r="AA11" s="131" t="s">
        <v>1628</v>
      </c>
      <c r="AB11" s="131" t="s">
        <v>1597</v>
      </c>
      <c r="AC11" s="131" t="s">
        <v>634</v>
      </c>
      <c r="AD11" s="131" t="s">
        <v>1668</v>
      </c>
      <c r="AE11" s="174"/>
      <c r="AF11" s="174"/>
      <c r="AG11" s="174"/>
      <c r="AH11" s="131" t="s">
        <v>1687</v>
      </c>
      <c r="AI11" s="172">
        <v>43892</v>
      </c>
      <c r="AJ11" s="172">
        <v>43892</v>
      </c>
      <c r="AK11" s="174"/>
      <c r="AL11" s="174"/>
      <c r="AM11" s="174"/>
      <c r="AN11" s="131" t="e">
        <v>#N/A</v>
      </c>
      <c r="AO11" s="131">
        <v>20024584292</v>
      </c>
      <c r="AP11" s="344">
        <v>43815</v>
      </c>
      <c r="AQ11" s="172">
        <v>43892</v>
      </c>
      <c r="AR11" s="131" t="str">
        <f t="shared" ca="1" si="1"/>
        <v xml:space="preserve">5 tahun 10 bulan </v>
      </c>
      <c r="AS11" s="131" t="s">
        <v>1599</v>
      </c>
      <c r="AT11" s="131" t="s">
        <v>635</v>
      </c>
      <c r="AU11" s="131" t="s">
        <v>1670</v>
      </c>
      <c r="AV11" s="131" t="s">
        <v>1688</v>
      </c>
      <c r="AW11" s="131">
        <v>2009</v>
      </c>
      <c r="AX11" s="131">
        <v>2015</v>
      </c>
      <c r="AY11" s="131">
        <v>40914048</v>
      </c>
      <c r="AZ11" s="131" t="s">
        <v>1689</v>
      </c>
      <c r="BA11" s="131" t="s">
        <v>775</v>
      </c>
      <c r="BB11" s="131" t="s">
        <v>1604</v>
      </c>
      <c r="BC11" s="131" t="s">
        <v>20</v>
      </c>
      <c r="BD11" s="174"/>
      <c r="BE11" s="174"/>
      <c r="BG11" t="str">
        <f t="shared" si="2"/>
        <v xml:space="preserve">5 tahun 9 bulan </v>
      </c>
      <c r="BI11" t="s">
        <v>1604</v>
      </c>
    </row>
    <row r="12" spans="1:61" ht="18">
      <c r="A12" s="131">
        <v>28</v>
      </c>
      <c r="B12" s="171" t="s">
        <v>664</v>
      </c>
      <c r="C12" s="171" t="s">
        <v>20</v>
      </c>
      <c r="D12" s="171">
        <v>24950004</v>
      </c>
      <c r="E12" s="226"/>
      <c r="F12" s="171" t="s">
        <v>845</v>
      </c>
      <c r="G12" s="131" t="s">
        <v>573</v>
      </c>
      <c r="H12" s="131" t="s">
        <v>1588</v>
      </c>
      <c r="I12" s="131" t="s">
        <v>1690</v>
      </c>
      <c r="J12" s="131" t="s">
        <v>1308</v>
      </c>
      <c r="K12" s="172">
        <v>34881</v>
      </c>
      <c r="L12" s="131">
        <f t="shared" ca="1" si="0"/>
        <v>30</v>
      </c>
      <c r="M12" s="131" t="s">
        <v>1691</v>
      </c>
      <c r="N12" s="131" t="s">
        <v>1592</v>
      </c>
      <c r="O12" s="131">
        <v>0</v>
      </c>
      <c r="P12" s="131">
        <v>0</v>
      </c>
      <c r="Q12" s="131">
        <v>0</v>
      </c>
      <c r="R12" s="173">
        <v>82143637363</v>
      </c>
      <c r="S12" s="131" t="s">
        <v>1692</v>
      </c>
      <c r="T12" s="131" t="s">
        <v>1693</v>
      </c>
      <c r="U12" s="131" t="s">
        <v>1595</v>
      </c>
      <c r="V12" s="173">
        <v>3578064701950000</v>
      </c>
      <c r="W12" s="131" t="s">
        <v>665</v>
      </c>
      <c r="X12" s="131">
        <v>2</v>
      </c>
      <c r="Y12" s="131">
        <v>6</v>
      </c>
      <c r="Z12" s="131" t="s">
        <v>1694</v>
      </c>
      <c r="AA12" s="131" t="s">
        <v>1617</v>
      </c>
      <c r="AB12" s="131" t="s">
        <v>1597</v>
      </c>
      <c r="AC12" s="131" t="s">
        <v>624</v>
      </c>
      <c r="AD12" s="131" t="s">
        <v>1668</v>
      </c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344">
        <v>43815</v>
      </c>
      <c r="AQ12" s="172">
        <v>44562</v>
      </c>
      <c r="AR12" s="131" t="str">
        <f t="shared" ca="1" si="1"/>
        <v xml:space="preserve">4 tahun 0 bulan </v>
      </c>
      <c r="AS12" s="131" t="s">
        <v>1695</v>
      </c>
      <c r="AT12" s="176" t="s">
        <v>503</v>
      </c>
      <c r="AU12" s="131" t="s">
        <v>1696</v>
      </c>
      <c r="AV12" s="131" t="s">
        <v>475</v>
      </c>
      <c r="AW12" s="131">
        <v>2013</v>
      </c>
      <c r="AX12" s="131">
        <v>2017</v>
      </c>
      <c r="AY12" s="131">
        <v>1210131038</v>
      </c>
      <c r="AZ12" s="131" t="s">
        <v>1697</v>
      </c>
      <c r="BA12" s="131" t="s">
        <v>1603</v>
      </c>
      <c r="BB12" s="131" t="s">
        <v>1604</v>
      </c>
      <c r="BC12" s="131" t="s">
        <v>20</v>
      </c>
      <c r="BD12" s="174"/>
      <c r="BE12" s="174"/>
      <c r="BG12" t="str">
        <f t="shared" si="2"/>
        <v xml:space="preserve">4 tahun 0 bulan </v>
      </c>
      <c r="BI12" t="s">
        <v>1604</v>
      </c>
    </row>
    <row r="13" spans="1:61" ht="18">
      <c r="A13" s="131">
        <v>3</v>
      </c>
      <c r="B13" s="131" t="s">
        <v>581</v>
      </c>
      <c r="C13" s="131" t="s">
        <v>20</v>
      </c>
      <c r="D13" s="131">
        <v>20940003</v>
      </c>
      <c r="E13" s="171">
        <v>7700016120</v>
      </c>
      <c r="F13" s="171" t="s">
        <v>845</v>
      </c>
      <c r="G13" s="131" t="s">
        <v>573</v>
      </c>
      <c r="H13" s="131" t="s">
        <v>1621</v>
      </c>
      <c r="I13" s="131" t="s">
        <v>1698</v>
      </c>
      <c r="J13" s="131" t="s">
        <v>1699</v>
      </c>
      <c r="K13" s="172">
        <v>34659</v>
      </c>
      <c r="L13" s="131">
        <f t="shared" ca="1" si="0"/>
        <v>31</v>
      </c>
      <c r="M13" s="131" t="s">
        <v>1700</v>
      </c>
      <c r="N13" s="131" t="s">
        <v>1592</v>
      </c>
      <c r="O13" s="131">
        <v>0</v>
      </c>
      <c r="P13" s="131">
        <v>0</v>
      </c>
      <c r="Q13" s="131">
        <v>0</v>
      </c>
      <c r="R13" s="173">
        <v>81244065640</v>
      </c>
      <c r="S13" s="131" t="s">
        <v>1701</v>
      </c>
      <c r="T13" s="176" t="s">
        <v>1702</v>
      </c>
      <c r="U13" s="131" t="s">
        <v>1595</v>
      </c>
      <c r="V13" s="173">
        <v>3506046111940000</v>
      </c>
      <c r="W13" s="131" t="s">
        <v>584</v>
      </c>
      <c r="X13" s="131">
        <v>2</v>
      </c>
      <c r="Y13" s="131">
        <v>3</v>
      </c>
      <c r="Z13" s="131" t="s">
        <v>1703</v>
      </c>
      <c r="AA13" s="131" t="s">
        <v>1704</v>
      </c>
      <c r="AB13" s="131" t="s">
        <v>1705</v>
      </c>
      <c r="AC13" s="131" t="s">
        <v>582</v>
      </c>
      <c r="AD13" s="131" t="s">
        <v>582</v>
      </c>
      <c r="AE13" s="174"/>
      <c r="AF13" s="174"/>
      <c r="AG13" s="174"/>
      <c r="AH13" s="131" t="s">
        <v>1706</v>
      </c>
      <c r="AI13" s="172">
        <v>43917</v>
      </c>
      <c r="AJ13" s="172">
        <v>43922</v>
      </c>
      <c r="AK13" s="174"/>
      <c r="AL13" s="174"/>
      <c r="AM13" s="174"/>
      <c r="AN13" s="131">
        <v>975907765</v>
      </c>
      <c r="AO13" s="131">
        <v>19046700027</v>
      </c>
      <c r="AP13" s="343"/>
      <c r="AQ13" s="172">
        <v>43435</v>
      </c>
      <c r="AR13" s="131" t="str">
        <f t="shared" ca="1" si="1"/>
        <v xml:space="preserve">7 tahun 1 bulan </v>
      </c>
      <c r="AS13" s="131" t="s">
        <v>1599</v>
      </c>
      <c r="AT13" s="131" t="s">
        <v>583</v>
      </c>
      <c r="AU13" s="131" t="s">
        <v>1707</v>
      </c>
      <c r="AV13" s="131" t="s">
        <v>1708</v>
      </c>
      <c r="AW13" s="131">
        <v>2013</v>
      </c>
      <c r="AX13" s="131">
        <v>2017</v>
      </c>
      <c r="AY13" s="131">
        <v>1313010053</v>
      </c>
      <c r="AZ13" s="131" t="s">
        <v>1709</v>
      </c>
      <c r="BA13" s="131" t="s">
        <v>1603</v>
      </c>
      <c r="BB13" s="131" t="s">
        <v>1604</v>
      </c>
      <c r="BC13" s="131" t="s">
        <v>20</v>
      </c>
      <c r="BD13" s="174"/>
      <c r="BE13" s="174"/>
      <c r="BG13" t="str">
        <f t="shared" si="2"/>
        <v xml:space="preserve">7 tahun 1 bulan </v>
      </c>
      <c r="BI13" t="s">
        <v>1604</v>
      </c>
    </row>
    <row r="14" spans="1:61" ht="18">
      <c r="A14" s="131">
        <v>4</v>
      </c>
      <c r="B14" s="131" t="s">
        <v>585</v>
      </c>
      <c r="C14" s="131" t="s">
        <v>20</v>
      </c>
      <c r="D14" s="131">
        <v>20950022</v>
      </c>
      <c r="E14" s="171">
        <v>7700016113</v>
      </c>
      <c r="F14" s="171" t="s">
        <v>845</v>
      </c>
      <c r="G14" s="131" t="s">
        <v>573</v>
      </c>
      <c r="H14" s="131" t="s">
        <v>1621</v>
      </c>
      <c r="I14" s="131" t="s">
        <v>1710</v>
      </c>
      <c r="J14" s="131" t="s">
        <v>1312</v>
      </c>
      <c r="K14" s="172">
        <v>34759</v>
      </c>
      <c r="L14" s="131">
        <f t="shared" ca="1" si="0"/>
        <v>30</v>
      </c>
      <c r="M14" s="131" t="s">
        <v>1711</v>
      </c>
      <c r="N14" s="131" t="s">
        <v>1592</v>
      </c>
      <c r="O14" s="131">
        <v>0</v>
      </c>
      <c r="P14" s="131">
        <v>0</v>
      </c>
      <c r="Q14" s="131">
        <v>0</v>
      </c>
      <c r="R14" s="173">
        <v>85235692422</v>
      </c>
      <c r="S14" s="131" t="s">
        <v>1712</v>
      </c>
      <c r="T14" s="131" t="s">
        <v>1713</v>
      </c>
      <c r="U14" s="131" t="s">
        <v>1595</v>
      </c>
      <c r="V14" s="173">
        <v>3507184103950000</v>
      </c>
      <c r="W14" s="131" t="s">
        <v>587</v>
      </c>
      <c r="X14" s="131">
        <v>7</v>
      </c>
      <c r="Y14" s="131">
        <v>14</v>
      </c>
      <c r="Z14" s="131" t="s">
        <v>1714</v>
      </c>
      <c r="AA14" s="131" t="s">
        <v>1312</v>
      </c>
      <c r="AB14" s="131" t="s">
        <v>1153</v>
      </c>
      <c r="AC14" s="131" t="s">
        <v>586</v>
      </c>
      <c r="AD14" s="131" t="s">
        <v>582</v>
      </c>
      <c r="AE14" s="174"/>
      <c r="AF14" s="174"/>
      <c r="AG14" s="174"/>
      <c r="AH14" s="131" t="s">
        <v>1715</v>
      </c>
      <c r="AI14" s="172">
        <v>44036</v>
      </c>
      <c r="AJ14" s="172">
        <v>44044</v>
      </c>
      <c r="AK14" s="174"/>
      <c r="AL14" s="174"/>
      <c r="AM14" s="174"/>
      <c r="AN14" s="131">
        <v>2768499393</v>
      </c>
      <c r="AO14" s="131">
        <v>19046699807</v>
      </c>
      <c r="AP14" s="343"/>
      <c r="AQ14" s="172">
        <v>43252</v>
      </c>
      <c r="AR14" s="131" t="str">
        <f t="shared" ca="1" si="1"/>
        <v xml:space="preserve">7 tahun 7 bulan </v>
      </c>
      <c r="AS14" s="131" t="s">
        <v>1599</v>
      </c>
      <c r="AT14" s="131" t="s">
        <v>583</v>
      </c>
      <c r="AU14" s="131" t="s">
        <v>1716</v>
      </c>
      <c r="AV14" s="131" t="s">
        <v>1717</v>
      </c>
      <c r="AW14" s="131">
        <v>2013</v>
      </c>
      <c r="AX14" s="131">
        <v>2017</v>
      </c>
      <c r="AY14" s="131">
        <v>130422612384</v>
      </c>
      <c r="AZ14" s="131" t="s">
        <v>1718</v>
      </c>
      <c r="BA14" s="131" t="s">
        <v>1603</v>
      </c>
      <c r="BB14" s="131" t="s">
        <v>1604</v>
      </c>
      <c r="BC14" s="131" t="s">
        <v>20</v>
      </c>
      <c r="BD14" s="174"/>
      <c r="BE14" s="174"/>
      <c r="BG14" t="str">
        <f t="shared" si="2"/>
        <v xml:space="preserve">7 tahun 7 bulan </v>
      </c>
      <c r="BI14" t="s">
        <v>1604</v>
      </c>
    </row>
    <row r="15" spans="1:61" ht="18">
      <c r="A15" s="131">
        <v>21</v>
      </c>
      <c r="B15" s="171" t="s">
        <v>643</v>
      </c>
      <c r="C15" s="171" t="s">
        <v>20</v>
      </c>
      <c r="D15" s="171">
        <v>23930015</v>
      </c>
      <c r="E15" s="171">
        <v>7700017487</v>
      </c>
      <c r="F15" s="171" t="s">
        <v>845</v>
      </c>
      <c r="G15" s="131" t="s">
        <v>573</v>
      </c>
      <c r="H15" s="131" t="s">
        <v>1588</v>
      </c>
      <c r="I15" s="131" t="s">
        <v>1719</v>
      </c>
      <c r="J15" s="131" t="s">
        <v>1308</v>
      </c>
      <c r="K15" s="172">
        <v>34186</v>
      </c>
      <c r="L15" s="131">
        <f t="shared" ca="1" si="0"/>
        <v>32</v>
      </c>
      <c r="M15" s="131" t="s">
        <v>1720</v>
      </c>
      <c r="N15" s="131" t="s">
        <v>1592</v>
      </c>
      <c r="O15" s="131">
        <v>0</v>
      </c>
      <c r="P15" s="131">
        <v>0</v>
      </c>
      <c r="Q15" s="131">
        <v>0</v>
      </c>
      <c r="R15" s="173">
        <v>82131774818</v>
      </c>
      <c r="S15" s="131" t="s">
        <v>1721</v>
      </c>
      <c r="T15" s="131" t="s">
        <v>1722</v>
      </c>
      <c r="U15" s="131" t="s">
        <v>1595</v>
      </c>
      <c r="V15" s="173">
        <v>3578094508930000</v>
      </c>
      <c r="W15" s="131" t="s">
        <v>644</v>
      </c>
      <c r="X15" s="131">
        <v>3</v>
      </c>
      <c r="Y15" s="131">
        <v>3</v>
      </c>
      <c r="Z15" s="131" t="s">
        <v>1723</v>
      </c>
      <c r="AA15" s="131" t="s">
        <v>1308</v>
      </c>
      <c r="AB15" s="131" t="s">
        <v>1597</v>
      </c>
      <c r="AC15" s="131" t="s">
        <v>586</v>
      </c>
      <c r="AD15" s="131" t="s">
        <v>582</v>
      </c>
      <c r="AE15" s="174"/>
      <c r="AF15" s="174"/>
      <c r="AG15" s="174"/>
      <c r="AH15" s="131" t="s">
        <v>1724</v>
      </c>
      <c r="AI15" s="172">
        <v>43892</v>
      </c>
      <c r="AJ15" s="172">
        <v>43892</v>
      </c>
      <c r="AK15" s="174"/>
      <c r="AL15" s="174"/>
      <c r="AM15" s="174"/>
      <c r="AN15" s="131">
        <v>1877522635</v>
      </c>
      <c r="AO15" s="131">
        <v>20024584276</v>
      </c>
      <c r="AP15" s="344">
        <v>43832</v>
      </c>
      <c r="AQ15" s="172">
        <v>43892</v>
      </c>
      <c r="AR15" s="131" t="str">
        <f t="shared" ca="1" si="1"/>
        <v xml:space="preserve">5 tahun 10 bulan </v>
      </c>
      <c r="AS15" s="131" t="s">
        <v>1599</v>
      </c>
      <c r="AT15" s="131" t="s">
        <v>583</v>
      </c>
      <c r="AU15" s="131" t="s">
        <v>1725</v>
      </c>
      <c r="AV15" s="131" t="s">
        <v>1726</v>
      </c>
      <c r="AW15" s="131">
        <v>2011</v>
      </c>
      <c r="AX15" s="131">
        <v>2015</v>
      </c>
      <c r="AY15" s="131">
        <v>3113272</v>
      </c>
      <c r="AZ15" s="131" t="s">
        <v>1727</v>
      </c>
      <c r="BA15" s="131" t="s">
        <v>1603</v>
      </c>
      <c r="BB15" s="131" t="s">
        <v>1604</v>
      </c>
      <c r="BC15" s="131" t="s">
        <v>20</v>
      </c>
      <c r="BD15" s="174"/>
      <c r="BE15" s="174"/>
      <c r="BG15" t="str">
        <f t="shared" si="2"/>
        <v xml:space="preserve">5 tahun 9 bulan </v>
      </c>
      <c r="BI15" t="s">
        <v>1604</v>
      </c>
    </row>
    <row r="16" spans="1:61" ht="18">
      <c r="A16" s="131">
        <v>45</v>
      </c>
      <c r="B16" s="171" t="s">
        <v>711</v>
      </c>
      <c r="C16" s="171" t="s">
        <v>20</v>
      </c>
      <c r="D16" s="171">
        <v>62402054</v>
      </c>
      <c r="E16" s="226"/>
      <c r="F16" s="171" t="s">
        <v>884</v>
      </c>
      <c r="G16" s="131" t="s">
        <v>573</v>
      </c>
      <c r="H16" s="131" t="s">
        <v>1605</v>
      </c>
      <c r="I16" s="131" t="e">
        <v>#N/A</v>
      </c>
      <c r="J16" s="131" t="s">
        <v>1728</v>
      </c>
      <c r="K16" s="172">
        <v>37614</v>
      </c>
      <c r="L16" s="131">
        <f t="shared" ca="1" si="0"/>
        <v>23</v>
      </c>
      <c r="M16" s="174"/>
      <c r="N16" s="131" t="s">
        <v>1624</v>
      </c>
      <c r="O16" s="131">
        <v>0</v>
      </c>
      <c r="P16" s="131">
        <v>0</v>
      </c>
      <c r="Q16" s="131">
        <v>0</v>
      </c>
      <c r="R16" s="173">
        <v>881036441179</v>
      </c>
      <c r="S16" s="131" t="s">
        <v>1729</v>
      </c>
      <c r="T16" s="131" t="s">
        <v>1730</v>
      </c>
      <c r="U16" s="131" t="s">
        <v>1595</v>
      </c>
      <c r="V16" s="173">
        <v>3515136412020000</v>
      </c>
      <c r="W16" s="131" t="s">
        <v>714</v>
      </c>
      <c r="X16" s="131">
        <v>2</v>
      </c>
      <c r="Y16" s="131">
        <v>6</v>
      </c>
      <c r="Z16" s="131" t="s">
        <v>1694</v>
      </c>
      <c r="AA16" s="131" t="s">
        <v>1617</v>
      </c>
      <c r="AB16" s="131" t="s">
        <v>1597</v>
      </c>
      <c r="AC16" s="131" t="s">
        <v>712</v>
      </c>
      <c r="AD16" s="131" t="s">
        <v>582</v>
      </c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344">
        <v>45566</v>
      </c>
      <c r="AQ16" s="180">
        <v>45566</v>
      </c>
      <c r="AR16" s="131" t="str">
        <f t="shared" ca="1" si="1"/>
        <v xml:space="preserve">1 tahun 3 bulan </v>
      </c>
      <c r="AS16" s="131" t="s">
        <v>1599</v>
      </c>
      <c r="AT16" s="131" t="s">
        <v>713</v>
      </c>
      <c r="AU16" s="131" t="s">
        <v>1611</v>
      </c>
      <c r="AV16" s="131" t="s">
        <v>1731</v>
      </c>
      <c r="AW16" s="174"/>
      <c r="AX16" s="174"/>
      <c r="AY16" s="174"/>
      <c r="AZ16" s="131" t="s">
        <v>1732</v>
      </c>
      <c r="BA16" s="131" t="s">
        <v>1603</v>
      </c>
      <c r="BB16" s="131" t="s">
        <v>1604</v>
      </c>
      <c r="BC16" s="131" t="s">
        <v>20</v>
      </c>
      <c r="BD16" s="174"/>
      <c r="BE16" s="174"/>
      <c r="BG16" t="str">
        <f t="shared" si="2"/>
        <v xml:space="preserve">1 tahun 3 bulan </v>
      </c>
      <c r="BI16" t="s">
        <v>1604</v>
      </c>
    </row>
    <row r="17" spans="1:61" ht="18">
      <c r="A17" s="131">
        <v>8</v>
      </c>
      <c r="B17" s="171" t="s">
        <v>599</v>
      </c>
      <c r="C17" s="171" t="s">
        <v>20</v>
      </c>
      <c r="D17" s="171">
        <v>20930038</v>
      </c>
      <c r="E17" s="171">
        <v>7700016586</v>
      </c>
      <c r="F17" s="171" t="s">
        <v>845</v>
      </c>
      <c r="G17" s="131" t="s">
        <v>573</v>
      </c>
      <c r="H17" s="131" t="s">
        <v>1621</v>
      </c>
      <c r="I17" s="131" t="s">
        <v>1733</v>
      </c>
      <c r="J17" s="131" t="s">
        <v>1295</v>
      </c>
      <c r="K17" s="172">
        <v>34159</v>
      </c>
      <c r="L17" s="131">
        <f t="shared" ca="1" si="0"/>
        <v>32</v>
      </c>
      <c r="M17" s="131" t="s">
        <v>1734</v>
      </c>
      <c r="N17" s="131" t="s">
        <v>1624</v>
      </c>
      <c r="O17" s="131">
        <v>0</v>
      </c>
      <c r="P17" s="131">
        <v>0</v>
      </c>
      <c r="Q17" s="131">
        <v>0</v>
      </c>
      <c r="R17" s="173">
        <v>81336443559</v>
      </c>
      <c r="S17" s="131" t="s">
        <v>1735</v>
      </c>
      <c r="T17" s="131" t="s">
        <v>1736</v>
      </c>
      <c r="U17" s="131" t="s">
        <v>1595</v>
      </c>
      <c r="V17" s="173">
        <v>3576024907930000</v>
      </c>
      <c r="W17" s="131" t="s">
        <v>601</v>
      </c>
      <c r="X17" s="131">
        <v>4</v>
      </c>
      <c r="Y17" s="131">
        <v>2</v>
      </c>
      <c r="Z17" s="131" t="s">
        <v>1737</v>
      </c>
      <c r="AA17" s="131" t="s">
        <v>1295</v>
      </c>
      <c r="AB17" s="131" t="s">
        <v>1153</v>
      </c>
      <c r="AC17" s="131" t="s">
        <v>603</v>
      </c>
      <c r="AD17" s="131" t="s">
        <v>1738</v>
      </c>
      <c r="AE17" s="174"/>
      <c r="AF17" s="174"/>
      <c r="AG17" s="174"/>
      <c r="AH17" s="131" t="s">
        <v>1739</v>
      </c>
      <c r="AI17" s="172">
        <v>44036</v>
      </c>
      <c r="AJ17" s="172">
        <v>44044</v>
      </c>
      <c r="AK17" s="174"/>
      <c r="AL17" s="174"/>
      <c r="AM17" s="174"/>
      <c r="AN17" s="131">
        <v>99374545</v>
      </c>
      <c r="AO17" s="131">
        <v>19046700126</v>
      </c>
      <c r="AP17" s="343"/>
      <c r="AQ17" s="172">
        <v>43405</v>
      </c>
      <c r="AR17" s="131" t="str">
        <f t="shared" ca="1" si="1"/>
        <v xml:space="preserve">7 tahun 2 bulan </v>
      </c>
      <c r="AS17" s="131" t="s">
        <v>1695</v>
      </c>
      <c r="AT17" s="131" t="s">
        <v>600</v>
      </c>
      <c r="AU17" s="131" t="s">
        <v>1740</v>
      </c>
      <c r="AV17" s="131" t="s">
        <v>1741</v>
      </c>
      <c r="AW17" s="131">
        <v>2012</v>
      </c>
      <c r="AX17" s="131">
        <v>2016</v>
      </c>
      <c r="AY17" s="131">
        <v>1241160055</v>
      </c>
      <c r="AZ17" s="131" t="s">
        <v>1742</v>
      </c>
      <c r="BA17" s="131" t="s">
        <v>1603</v>
      </c>
      <c r="BB17" s="131" t="s">
        <v>1604</v>
      </c>
      <c r="BC17" s="131" t="s">
        <v>20</v>
      </c>
      <c r="BD17" s="174"/>
      <c r="BE17" s="174"/>
      <c r="BG17" t="str">
        <f t="shared" si="2"/>
        <v xml:space="preserve">7 tahun 2 bulan </v>
      </c>
      <c r="BI17" t="s">
        <v>1655</v>
      </c>
    </row>
    <row r="18" spans="1:61" ht="18">
      <c r="A18" s="131">
        <v>9</v>
      </c>
      <c r="B18" s="171" t="s">
        <v>602</v>
      </c>
      <c r="C18" s="171" t="s">
        <v>20</v>
      </c>
      <c r="D18" s="171">
        <v>20920041</v>
      </c>
      <c r="E18" s="171">
        <v>7700016168</v>
      </c>
      <c r="F18" s="171" t="s">
        <v>845</v>
      </c>
      <c r="G18" s="131" t="s">
        <v>573</v>
      </c>
      <c r="H18" s="131" t="s">
        <v>1743</v>
      </c>
      <c r="I18" s="131" t="s">
        <v>1744</v>
      </c>
      <c r="J18" s="131" t="s">
        <v>1308</v>
      </c>
      <c r="K18" s="172">
        <v>33873</v>
      </c>
      <c r="L18" s="131">
        <f t="shared" ca="1" si="0"/>
        <v>33</v>
      </c>
      <c r="M18" s="131" t="s">
        <v>1745</v>
      </c>
      <c r="N18" s="131" t="s">
        <v>1592</v>
      </c>
      <c r="O18" s="131">
        <v>0</v>
      </c>
      <c r="P18" s="131">
        <v>0</v>
      </c>
      <c r="Q18" s="131">
        <v>0</v>
      </c>
      <c r="R18" s="173">
        <v>82233007249</v>
      </c>
      <c r="S18" s="131" t="s">
        <v>1746</v>
      </c>
      <c r="T18" s="131" t="s">
        <v>1747</v>
      </c>
      <c r="U18" s="131" t="s">
        <v>1595</v>
      </c>
      <c r="V18" s="173">
        <v>3576022609920000</v>
      </c>
      <c r="W18" s="131" t="s">
        <v>605</v>
      </c>
      <c r="X18" s="131">
        <v>2</v>
      </c>
      <c r="Y18" s="131">
        <v>3</v>
      </c>
      <c r="Z18" s="131" t="s">
        <v>1748</v>
      </c>
      <c r="AA18" s="131" t="s">
        <v>1295</v>
      </c>
      <c r="AB18" s="131" t="s">
        <v>1597</v>
      </c>
      <c r="AC18" s="131" t="s">
        <v>603</v>
      </c>
      <c r="AD18" s="131" t="s">
        <v>1738</v>
      </c>
      <c r="AE18" s="174"/>
      <c r="AF18" s="174"/>
      <c r="AG18" s="174"/>
      <c r="AH18" s="131" t="s">
        <v>1749</v>
      </c>
      <c r="AI18" s="172">
        <v>44036</v>
      </c>
      <c r="AJ18" s="172">
        <v>44044</v>
      </c>
      <c r="AK18" s="174"/>
      <c r="AL18" s="174"/>
      <c r="AM18" s="174"/>
      <c r="AN18" s="131">
        <v>1427069283</v>
      </c>
      <c r="AO18" s="131">
        <v>19046699872</v>
      </c>
      <c r="AP18" s="343"/>
      <c r="AQ18" s="172">
        <v>43435</v>
      </c>
      <c r="AR18" s="131" t="str">
        <f t="shared" ca="1" si="1"/>
        <v xml:space="preserve">7 tahun 1 bulan </v>
      </c>
      <c r="AS18" s="131" t="s">
        <v>1750</v>
      </c>
      <c r="AT18" s="131" t="s">
        <v>604</v>
      </c>
      <c r="AU18" s="131" t="s">
        <v>1751</v>
      </c>
      <c r="AV18" s="131" t="s">
        <v>1752</v>
      </c>
      <c r="AW18" s="131">
        <v>2011</v>
      </c>
      <c r="AX18" s="131">
        <v>2014</v>
      </c>
      <c r="AY18" s="131">
        <v>6411030022</v>
      </c>
      <c r="AZ18" s="131" t="s">
        <v>1753</v>
      </c>
      <c r="BA18" s="131" t="s">
        <v>775</v>
      </c>
      <c r="BB18" s="131" t="s">
        <v>1647</v>
      </c>
      <c r="BC18" s="131" t="s">
        <v>20</v>
      </c>
      <c r="BD18" s="174"/>
      <c r="BE18" s="174"/>
      <c r="BG18" t="str">
        <f t="shared" si="2"/>
        <v xml:space="preserve">7 tahun 1 bulan </v>
      </c>
      <c r="BI18" t="s">
        <v>1655</v>
      </c>
    </row>
    <row r="19" spans="1:61" ht="18">
      <c r="A19" s="131">
        <v>19</v>
      </c>
      <c r="B19" s="171" t="s">
        <v>637</v>
      </c>
      <c r="C19" s="171" t="s">
        <v>20</v>
      </c>
      <c r="D19" s="171">
        <v>22940011</v>
      </c>
      <c r="E19" s="171">
        <v>7700016090</v>
      </c>
      <c r="F19" s="171" t="s">
        <v>845</v>
      </c>
      <c r="G19" s="131" t="s">
        <v>573</v>
      </c>
      <c r="H19" s="131" t="s">
        <v>1621</v>
      </c>
      <c r="I19" s="131" t="s">
        <v>1754</v>
      </c>
      <c r="J19" s="131" t="s">
        <v>1755</v>
      </c>
      <c r="K19" s="172">
        <v>34656</v>
      </c>
      <c r="L19" s="131">
        <f t="shared" ca="1" si="0"/>
        <v>31</v>
      </c>
      <c r="M19" s="131" t="s">
        <v>1756</v>
      </c>
      <c r="N19" s="131" t="s">
        <v>1592</v>
      </c>
      <c r="O19" s="131">
        <v>0</v>
      </c>
      <c r="P19" s="131">
        <v>0</v>
      </c>
      <c r="Q19" s="131">
        <v>0</v>
      </c>
      <c r="R19" s="173">
        <v>81336683116</v>
      </c>
      <c r="S19" s="131" t="s">
        <v>1757</v>
      </c>
      <c r="T19" s="131" t="s">
        <v>1758</v>
      </c>
      <c r="U19" s="131" t="s">
        <v>1595</v>
      </c>
      <c r="V19" s="173">
        <v>3528045811940000</v>
      </c>
      <c r="W19" s="131" t="s">
        <v>640</v>
      </c>
      <c r="X19" s="131">
        <v>1</v>
      </c>
      <c r="Y19" s="131">
        <v>8</v>
      </c>
      <c r="Z19" s="131" t="s">
        <v>1759</v>
      </c>
      <c r="AA19" s="131" t="s">
        <v>1760</v>
      </c>
      <c r="AB19" s="131" t="s">
        <v>1597</v>
      </c>
      <c r="AC19" s="131" t="s">
        <v>638</v>
      </c>
      <c r="AD19" s="131" t="s">
        <v>1738</v>
      </c>
      <c r="AE19" s="174"/>
      <c r="AF19" s="174"/>
      <c r="AG19" s="174"/>
      <c r="AH19" s="131" t="s">
        <v>1761</v>
      </c>
      <c r="AI19" s="172">
        <v>43825</v>
      </c>
      <c r="AJ19" s="172">
        <v>43831</v>
      </c>
      <c r="AK19" s="174"/>
      <c r="AL19" s="174"/>
      <c r="AM19" s="174"/>
      <c r="AN19" s="131">
        <v>1307555188</v>
      </c>
      <c r="AO19" s="131">
        <v>19064362668</v>
      </c>
      <c r="AP19" s="343"/>
      <c r="AQ19" s="172">
        <v>43709</v>
      </c>
      <c r="AR19" s="131" t="str">
        <f t="shared" ca="1" si="1"/>
        <v xml:space="preserve">6 tahun 4 bulan </v>
      </c>
      <c r="AS19" s="131" t="s">
        <v>1599</v>
      </c>
      <c r="AT19" s="131" t="s">
        <v>639</v>
      </c>
      <c r="AU19" s="131" t="s">
        <v>1670</v>
      </c>
      <c r="AV19" s="131" t="s">
        <v>1762</v>
      </c>
      <c r="AW19" s="131">
        <v>2012</v>
      </c>
      <c r="AX19" s="131">
        <v>2016</v>
      </c>
      <c r="AY19" s="131">
        <v>71211632017</v>
      </c>
      <c r="AZ19" s="131" t="s">
        <v>1763</v>
      </c>
      <c r="BA19" s="131" t="s">
        <v>1603</v>
      </c>
      <c r="BB19" s="131" t="s">
        <v>1764</v>
      </c>
      <c r="BC19" s="131" t="s">
        <v>20</v>
      </c>
      <c r="BD19" s="174"/>
      <c r="BE19" s="174"/>
      <c r="BG19" t="str">
        <f t="shared" si="2"/>
        <v xml:space="preserve">6 tahun 4 bulan </v>
      </c>
      <c r="BI19" t="s">
        <v>1764</v>
      </c>
    </row>
    <row r="20" spans="1:61" ht="18">
      <c r="A20" s="131">
        <v>29</v>
      </c>
      <c r="B20" s="171" t="s">
        <v>666</v>
      </c>
      <c r="C20" s="171" t="s">
        <v>20</v>
      </c>
      <c r="D20" s="171">
        <v>25910028</v>
      </c>
      <c r="E20" s="171">
        <v>7700016589</v>
      </c>
      <c r="F20" s="171" t="s">
        <v>845</v>
      </c>
      <c r="G20" s="131" t="s">
        <v>573</v>
      </c>
      <c r="H20" s="131" t="s">
        <v>1588</v>
      </c>
      <c r="I20" s="131" t="s">
        <v>1765</v>
      </c>
      <c r="J20" s="131" t="s">
        <v>1295</v>
      </c>
      <c r="K20" s="172">
        <v>33505</v>
      </c>
      <c r="L20" s="131">
        <f t="shared" ca="1" si="0"/>
        <v>34</v>
      </c>
      <c r="M20" s="131" t="s">
        <v>1766</v>
      </c>
      <c r="N20" s="131" t="s">
        <v>1624</v>
      </c>
      <c r="O20" s="131">
        <v>0</v>
      </c>
      <c r="P20" s="131">
        <v>0</v>
      </c>
      <c r="Q20" s="131">
        <v>0</v>
      </c>
      <c r="R20" s="173">
        <v>81252474645</v>
      </c>
      <c r="S20" s="131" t="s">
        <v>1767</v>
      </c>
      <c r="T20" s="131" t="s">
        <v>1768</v>
      </c>
      <c r="U20" s="131" t="s">
        <v>1595</v>
      </c>
      <c r="V20" s="173">
        <v>3516132409910000</v>
      </c>
      <c r="W20" s="131" t="s">
        <v>667</v>
      </c>
      <c r="X20" s="131">
        <v>2</v>
      </c>
      <c r="Y20" s="131">
        <v>11</v>
      </c>
      <c r="Z20" s="131" t="s">
        <v>1769</v>
      </c>
      <c r="AA20" s="131" t="s">
        <v>1295</v>
      </c>
      <c r="AB20" s="131" t="s">
        <v>1597</v>
      </c>
      <c r="AC20" s="131" t="s">
        <v>603</v>
      </c>
      <c r="AD20" s="131" t="s">
        <v>1738</v>
      </c>
      <c r="AE20" s="174"/>
      <c r="AF20" s="174"/>
      <c r="AG20" s="174"/>
      <c r="AH20" s="131" t="s">
        <v>1770</v>
      </c>
      <c r="AI20" s="172">
        <v>43825</v>
      </c>
      <c r="AJ20" s="172">
        <v>43831</v>
      </c>
      <c r="AK20" s="174"/>
      <c r="AL20" s="174"/>
      <c r="AM20" s="174"/>
      <c r="AN20" s="131" t="e">
        <v>#N/A</v>
      </c>
      <c r="AO20" s="131">
        <v>20003723614</v>
      </c>
      <c r="AP20" s="343"/>
      <c r="AQ20" s="172">
        <v>43831</v>
      </c>
      <c r="AR20" s="131" t="str">
        <f t="shared" ca="1" si="1"/>
        <v xml:space="preserve">6 tahun 0 bulan </v>
      </c>
      <c r="AS20" s="131" t="s">
        <v>1599</v>
      </c>
      <c r="AT20" s="131" t="s">
        <v>621</v>
      </c>
      <c r="AU20" s="131" t="s">
        <v>1771</v>
      </c>
      <c r="AV20" s="131" t="s">
        <v>1772</v>
      </c>
      <c r="AW20" s="131">
        <v>2009</v>
      </c>
      <c r="AX20" s="131">
        <v>2014</v>
      </c>
      <c r="AY20" s="131" t="s">
        <v>1773</v>
      </c>
      <c r="AZ20" s="131" t="s">
        <v>1774</v>
      </c>
      <c r="BA20" s="131" t="s">
        <v>775</v>
      </c>
      <c r="BB20" s="131" t="s">
        <v>1647</v>
      </c>
      <c r="BC20" s="131" t="s">
        <v>20</v>
      </c>
      <c r="BD20" s="174"/>
      <c r="BE20" s="174"/>
      <c r="BG20" t="str">
        <f t="shared" si="2"/>
        <v xml:space="preserve">6 tahun 0 bulan </v>
      </c>
      <c r="BI20" t="s">
        <v>1655</v>
      </c>
    </row>
    <row r="21" spans="1:61" ht="18">
      <c r="A21" s="131">
        <v>31</v>
      </c>
      <c r="B21" s="171" t="s">
        <v>671</v>
      </c>
      <c r="C21" s="171" t="s">
        <v>20</v>
      </c>
      <c r="D21" s="171">
        <v>25960030</v>
      </c>
      <c r="E21" s="171">
        <v>7700015721</v>
      </c>
      <c r="F21" s="171" t="s">
        <v>845</v>
      </c>
      <c r="G21" s="131" t="s">
        <v>573</v>
      </c>
      <c r="H21" s="131" t="s">
        <v>1588</v>
      </c>
      <c r="I21" s="131" t="s">
        <v>1775</v>
      </c>
      <c r="J21" s="131" t="s">
        <v>1776</v>
      </c>
      <c r="K21" s="172">
        <v>35244</v>
      </c>
      <c r="L21" s="131">
        <f t="shared" ca="1" si="0"/>
        <v>29</v>
      </c>
      <c r="M21" s="131" t="s">
        <v>1777</v>
      </c>
      <c r="N21" s="131" t="s">
        <v>1592</v>
      </c>
      <c r="O21" s="131">
        <v>0</v>
      </c>
      <c r="P21" s="131">
        <v>0</v>
      </c>
      <c r="Q21" s="131">
        <v>0</v>
      </c>
      <c r="R21" s="173">
        <v>81231337940</v>
      </c>
      <c r="S21" s="131" t="s">
        <v>1778</v>
      </c>
      <c r="T21" s="131" t="s">
        <v>1779</v>
      </c>
      <c r="U21" s="131" t="s">
        <v>1595</v>
      </c>
      <c r="V21" s="173">
        <v>3524156806960000</v>
      </c>
      <c r="W21" s="131" t="s">
        <v>672</v>
      </c>
      <c r="X21" s="131">
        <v>4</v>
      </c>
      <c r="Y21" s="131">
        <v>1</v>
      </c>
      <c r="Z21" s="131" t="s">
        <v>1780</v>
      </c>
      <c r="AA21" s="131" t="s">
        <v>1776</v>
      </c>
      <c r="AB21" s="131" t="s">
        <v>1597</v>
      </c>
      <c r="AC21" s="131" t="s">
        <v>603</v>
      </c>
      <c r="AD21" s="131" t="s">
        <v>1738</v>
      </c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344">
        <v>43864</v>
      </c>
      <c r="AQ21" s="172">
        <v>44197</v>
      </c>
      <c r="AR21" s="131" t="str">
        <f t="shared" ca="1" si="1"/>
        <v xml:space="preserve">5 tahun 0 bulan </v>
      </c>
      <c r="AS21" s="131" t="s">
        <v>1599</v>
      </c>
      <c r="AT21" s="131" t="s">
        <v>611</v>
      </c>
      <c r="AU21" s="131" t="s">
        <v>1781</v>
      </c>
      <c r="AV21" s="131" t="s">
        <v>1782</v>
      </c>
      <c r="AW21" s="174"/>
      <c r="AX21" s="131">
        <v>2018</v>
      </c>
      <c r="AY21" s="131" t="s">
        <v>1783</v>
      </c>
      <c r="AZ21" s="131" t="s">
        <v>1784</v>
      </c>
      <c r="BA21" s="131" t="s">
        <v>1603</v>
      </c>
      <c r="BB21" s="131" t="s">
        <v>1604</v>
      </c>
      <c r="BC21" s="131" t="s">
        <v>20</v>
      </c>
      <c r="BD21" s="174"/>
      <c r="BE21" s="174"/>
      <c r="BG21" t="str">
        <f t="shared" si="2"/>
        <v xml:space="preserve">5 tahun 0 bulan </v>
      </c>
      <c r="BI21" t="s">
        <v>1655</v>
      </c>
    </row>
    <row r="22" spans="1:61" ht="18">
      <c r="A22" s="131">
        <v>36</v>
      </c>
      <c r="B22" s="171" t="s">
        <v>684</v>
      </c>
      <c r="C22" s="171" t="s">
        <v>20</v>
      </c>
      <c r="D22" s="171">
        <v>23970025</v>
      </c>
      <c r="E22" s="226"/>
      <c r="F22" s="171" t="s">
        <v>884</v>
      </c>
      <c r="G22" s="131" t="s">
        <v>573</v>
      </c>
      <c r="H22" s="131" t="s">
        <v>1605</v>
      </c>
      <c r="I22" s="131" t="e">
        <v>#N/A</v>
      </c>
      <c r="J22" s="131" t="s">
        <v>1785</v>
      </c>
      <c r="K22" s="172">
        <v>35646</v>
      </c>
      <c r="L22" s="131">
        <f t="shared" ca="1" si="0"/>
        <v>28</v>
      </c>
      <c r="M22" s="131" t="s">
        <v>1786</v>
      </c>
      <c r="N22" s="131" t="s">
        <v>1592</v>
      </c>
      <c r="O22" s="131">
        <v>0</v>
      </c>
      <c r="P22" s="131">
        <v>0</v>
      </c>
      <c r="Q22" s="131">
        <v>0</v>
      </c>
      <c r="R22" s="173">
        <v>81217541711</v>
      </c>
      <c r="S22" s="131" t="s">
        <v>1787</v>
      </c>
      <c r="T22" s="131" t="s">
        <v>1788</v>
      </c>
      <c r="U22" s="131" t="s">
        <v>1595</v>
      </c>
      <c r="V22" s="173">
        <v>3508210408970000</v>
      </c>
      <c r="W22" s="131" t="s">
        <v>686</v>
      </c>
      <c r="X22" s="131">
        <v>6</v>
      </c>
      <c r="Y22" s="131">
        <v>1</v>
      </c>
      <c r="Z22" s="131" t="s">
        <v>1789</v>
      </c>
      <c r="AA22" s="131" t="s">
        <v>1785</v>
      </c>
      <c r="AB22" s="131" t="s">
        <v>1597</v>
      </c>
      <c r="AC22" s="131" t="s">
        <v>685</v>
      </c>
      <c r="AD22" s="131" t="s">
        <v>1790</v>
      </c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344">
        <v>44743</v>
      </c>
      <c r="AQ22" s="172">
        <v>45170</v>
      </c>
      <c r="AR22" s="131" t="str">
        <f t="shared" ca="1" si="1"/>
        <v xml:space="preserve">2 tahun 4 bulan </v>
      </c>
      <c r="AS22" s="131" t="s">
        <v>1599</v>
      </c>
      <c r="AT22" s="131" t="s">
        <v>575</v>
      </c>
      <c r="AU22" s="131" t="s">
        <v>1659</v>
      </c>
      <c r="AV22" s="131" t="s">
        <v>1791</v>
      </c>
      <c r="AW22" s="131">
        <v>2020</v>
      </c>
      <c r="AX22" s="131">
        <v>2022</v>
      </c>
      <c r="AY22" s="131">
        <v>1103208049</v>
      </c>
      <c r="AZ22" s="131" t="s">
        <v>1792</v>
      </c>
      <c r="BA22" s="131" t="s">
        <v>775</v>
      </c>
      <c r="BB22" s="131" t="s">
        <v>1604</v>
      </c>
      <c r="BC22" s="131" t="s">
        <v>20</v>
      </c>
      <c r="BD22" s="174"/>
      <c r="BE22" s="174"/>
      <c r="BG22" t="str">
        <f t="shared" si="2"/>
        <v xml:space="preserve">2 tahun 4 bulan </v>
      </c>
      <c r="BH22" t="str">
        <f>DATEDIF(AP22,DATE(2026,1,1),"y")&amp;" tahun "&amp;DATEDIF(AP22,DATE(2026,1,1),"ym")&amp;" bulan "</f>
        <v xml:space="preserve">3 tahun 6 bulan </v>
      </c>
      <c r="BI22" t="s">
        <v>1604</v>
      </c>
    </row>
    <row r="23" spans="1:61" ht="18">
      <c r="A23" s="131">
        <v>44</v>
      </c>
      <c r="B23" s="171" t="s">
        <v>708</v>
      </c>
      <c r="C23" s="171" t="s">
        <v>20</v>
      </c>
      <c r="D23" s="171">
        <v>62400053</v>
      </c>
      <c r="E23" s="226"/>
      <c r="F23" s="171" t="s">
        <v>884</v>
      </c>
      <c r="G23" s="131" t="s">
        <v>573</v>
      </c>
      <c r="H23" s="131" t="s">
        <v>1605</v>
      </c>
      <c r="I23" s="131" t="e">
        <v>#N/A</v>
      </c>
      <c r="J23" s="131" t="s">
        <v>1308</v>
      </c>
      <c r="K23" s="172">
        <v>36676</v>
      </c>
      <c r="L23" s="131">
        <f t="shared" ca="1" si="0"/>
        <v>25</v>
      </c>
      <c r="M23" s="174"/>
      <c r="N23" s="131" t="s">
        <v>1624</v>
      </c>
      <c r="O23" s="131">
        <v>0</v>
      </c>
      <c r="P23" s="131">
        <v>0</v>
      </c>
      <c r="Q23" s="131">
        <v>0</v>
      </c>
      <c r="R23" s="173">
        <v>895338336224</v>
      </c>
      <c r="S23" s="131"/>
      <c r="T23" s="131" t="s">
        <v>1793</v>
      </c>
      <c r="U23" s="131" t="s">
        <v>1595</v>
      </c>
      <c r="V23" s="173">
        <v>3515187005000000</v>
      </c>
      <c r="W23" s="131" t="s">
        <v>710</v>
      </c>
      <c r="X23" s="131">
        <v>2</v>
      </c>
      <c r="Y23" s="131">
        <v>2</v>
      </c>
      <c r="Z23" s="131" t="s">
        <v>1794</v>
      </c>
      <c r="AA23" s="131" t="s">
        <v>1308</v>
      </c>
      <c r="AB23" s="131" t="s">
        <v>1597</v>
      </c>
      <c r="AC23" s="131" t="s">
        <v>709</v>
      </c>
      <c r="AD23" s="131" t="s">
        <v>1790</v>
      </c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344">
        <v>45566</v>
      </c>
      <c r="AQ23" s="180">
        <v>45566</v>
      </c>
      <c r="AR23" s="131" t="str">
        <f t="shared" ca="1" si="1"/>
        <v xml:space="preserve">1 tahun 3 bulan </v>
      </c>
      <c r="AS23" s="131" t="s">
        <v>1599</v>
      </c>
      <c r="AT23" s="131" t="s">
        <v>621</v>
      </c>
      <c r="AU23" s="131" t="s">
        <v>1659</v>
      </c>
      <c r="AV23" s="131" t="s">
        <v>524</v>
      </c>
      <c r="AW23" s="174"/>
      <c r="AX23" s="174"/>
      <c r="AY23" s="174"/>
      <c r="AZ23" s="131" t="s">
        <v>1795</v>
      </c>
      <c r="BA23" s="131" t="s">
        <v>1603</v>
      </c>
      <c r="BB23" s="131" t="s">
        <v>1604</v>
      </c>
      <c r="BC23" s="131" t="s">
        <v>20</v>
      </c>
      <c r="BD23" s="174"/>
      <c r="BE23" s="174"/>
      <c r="BG23" t="str">
        <f t="shared" si="2"/>
        <v xml:space="preserve">1 tahun 3 bulan </v>
      </c>
      <c r="BI23" t="s">
        <v>1604</v>
      </c>
    </row>
    <row r="24" spans="1:61" ht="18">
      <c r="A24" s="131">
        <v>1</v>
      </c>
      <c r="B24" s="131" t="s">
        <v>572</v>
      </c>
      <c r="C24" s="131" t="s">
        <v>20</v>
      </c>
      <c r="D24" s="131">
        <v>20930001</v>
      </c>
      <c r="E24" s="171">
        <v>7700016584</v>
      </c>
      <c r="F24" s="171" t="s">
        <v>845</v>
      </c>
      <c r="G24" s="131" t="s">
        <v>573</v>
      </c>
      <c r="H24" s="131" t="s">
        <v>1621</v>
      </c>
      <c r="I24" s="131" t="s">
        <v>1796</v>
      </c>
      <c r="J24" s="131" t="s">
        <v>1797</v>
      </c>
      <c r="K24" s="172">
        <v>34006</v>
      </c>
      <c r="L24" s="131">
        <f t="shared" ca="1" si="0"/>
        <v>32</v>
      </c>
      <c r="M24" s="131" t="s">
        <v>1798</v>
      </c>
      <c r="N24" s="131" t="s">
        <v>1592</v>
      </c>
      <c r="O24" s="131">
        <v>3578216609920000</v>
      </c>
      <c r="P24" s="131" t="s">
        <v>1799</v>
      </c>
      <c r="Q24" s="131" t="s">
        <v>1800</v>
      </c>
      <c r="R24" s="173">
        <v>81334505778</v>
      </c>
      <c r="S24" s="131" t="s">
        <v>1801</v>
      </c>
      <c r="T24" s="131" t="s">
        <v>1802</v>
      </c>
      <c r="U24" s="131" t="s">
        <v>1595</v>
      </c>
      <c r="V24" s="173">
        <v>3578040602930000</v>
      </c>
      <c r="W24" s="131" t="s">
        <v>576</v>
      </c>
      <c r="X24" s="131">
        <v>5</v>
      </c>
      <c r="Y24" s="131">
        <v>2</v>
      </c>
      <c r="Z24" s="131" t="s">
        <v>1803</v>
      </c>
      <c r="AA24" s="131" t="s">
        <v>1308</v>
      </c>
      <c r="AB24" s="131" t="s">
        <v>1705</v>
      </c>
      <c r="AC24" s="131" t="s">
        <v>574</v>
      </c>
      <c r="AD24" s="131" t="s">
        <v>574</v>
      </c>
      <c r="AE24" s="174"/>
      <c r="AF24" s="174"/>
      <c r="AG24" s="174"/>
      <c r="AH24" s="131" t="s">
        <v>1804</v>
      </c>
      <c r="AI24" s="172">
        <v>43917</v>
      </c>
      <c r="AJ24" s="172">
        <v>43922</v>
      </c>
      <c r="AK24" s="174"/>
      <c r="AL24" s="174"/>
      <c r="AM24" s="174"/>
      <c r="AN24" s="131">
        <v>1542690459</v>
      </c>
      <c r="AO24" s="131">
        <v>19046699740</v>
      </c>
      <c r="AP24" s="343"/>
      <c r="AQ24" s="172">
        <v>43221</v>
      </c>
      <c r="AR24" s="131" t="str">
        <f t="shared" ca="1" si="1"/>
        <v xml:space="preserve">7 tahun 8 bulan </v>
      </c>
      <c r="AS24" s="131" t="s">
        <v>1599</v>
      </c>
      <c r="AT24" s="131" t="s">
        <v>575</v>
      </c>
      <c r="AU24" s="131" t="s">
        <v>1805</v>
      </c>
      <c r="AV24" s="131" t="s">
        <v>1806</v>
      </c>
      <c r="AW24" s="131">
        <v>2011</v>
      </c>
      <c r="AX24" s="131">
        <v>2015</v>
      </c>
      <c r="AY24" s="131">
        <v>431102263</v>
      </c>
      <c r="AZ24" s="131" t="s">
        <v>1807</v>
      </c>
      <c r="BA24" s="131" t="s">
        <v>775</v>
      </c>
      <c r="BB24" s="131" t="s">
        <v>1604</v>
      </c>
      <c r="BC24" s="131" t="s">
        <v>20</v>
      </c>
      <c r="BD24" s="174"/>
      <c r="BE24" s="174"/>
      <c r="BG24" t="str">
        <f t="shared" si="2"/>
        <v xml:space="preserve">7 tahun 8 bulan </v>
      </c>
      <c r="BI24" t="s">
        <v>1604</v>
      </c>
    </row>
    <row r="25" spans="1:61" ht="18">
      <c r="A25" s="131">
        <v>16</v>
      </c>
      <c r="B25" s="171" t="s">
        <v>627</v>
      </c>
      <c r="C25" s="171" t="s">
        <v>20</v>
      </c>
      <c r="D25" s="171">
        <v>22930017</v>
      </c>
      <c r="E25" s="171">
        <v>7700018133</v>
      </c>
      <c r="F25" s="171" t="s">
        <v>845</v>
      </c>
      <c r="G25" s="131" t="s">
        <v>573</v>
      </c>
      <c r="H25" s="131" t="s">
        <v>1588</v>
      </c>
      <c r="I25" s="131" t="s">
        <v>1808</v>
      </c>
      <c r="J25" s="131" t="s">
        <v>1308</v>
      </c>
      <c r="K25" s="172">
        <v>34148</v>
      </c>
      <c r="L25" s="131">
        <f t="shared" ca="1" si="0"/>
        <v>32</v>
      </c>
      <c r="M25" s="131" t="s">
        <v>1809</v>
      </c>
      <c r="N25" s="131" t="s">
        <v>1592</v>
      </c>
      <c r="O25" s="131">
        <v>0</v>
      </c>
      <c r="P25" s="131">
        <v>0</v>
      </c>
      <c r="Q25" s="131">
        <v>0</v>
      </c>
      <c r="R25" s="173">
        <v>81252988681</v>
      </c>
      <c r="S25" s="131" t="s">
        <v>1810</v>
      </c>
      <c r="T25" s="131" t="s">
        <v>1811</v>
      </c>
      <c r="U25" s="131" t="s">
        <v>1595</v>
      </c>
      <c r="V25" s="173">
        <v>3578042806930000</v>
      </c>
      <c r="W25" s="131" t="s">
        <v>629</v>
      </c>
      <c r="X25" s="131">
        <v>12</v>
      </c>
      <c r="Y25" s="131">
        <v>5</v>
      </c>
      <c r="Z25" s="131" t="s">
        <v>1812</v>
      </c>
      <c r="AA25" s="131" t="s">
        <v>1308</v>
      </c>
      <c r="AB25" s="131" t="s">
        <v>1597</v>
      </c>
      <c r="AC25" s="131" t="s">
        <v>628</v>
      </c>
      <c r="AD25" s="131" t="s">
        <v>574</v>
      </c>
      <c r="AE25" s="174"/>
      <c r="AF25" s="174"/>
      <c r="AG25" s="174"/>
      <c r="AH25" s="131" t="s">
        <v>1813</v>
      </c>
      <c r="AI25" s="172">
        <v>43892</v>
      </c>
      <c r="AJ25" s="172">
        <v>43892</v>
      </c>
      <c r="AK25" s="174"/>
      <c r="AL25" s="174"/>
      <c r="AM25" s="174"/>
      <c r="AN25" s="131">
        <v>2210629004</v>
      </c>
      <c r="AO25" s="131">
        <v>20024584284</v>
      </c>
      <c r="AP25" s="344">
        <v>43832</v>
      </c>
      <c r="AQ25" s="172">
        <v>43892</v>
      </c>
      <c r="AR25" s="131" t="str">
        <f t="shared" ca="1" si="1"/>
        <v xml:space="preserve">5 tahun 10 bulan </v>
      </c>
      <c r="AS25" s="131" t="s">
        <v>1599</v>
      </c>
      <c r="AT25" s="131" t="s">
        <v>583</v>
      </c>
      <c r="AU25" s="131" t="s">
        <v>1814</v>
      </c>
      <c r="AV25" s="131" t="s">
        <v>1510</v>
      </c>
      <c r="AW25" s="131">
        <v>2011</v>
      </c>
      <c r="AX25" s="131">
        <v>2015</v>
      </c>
      <c r="AY25" s="227">
        <v>1110204933</v>
      </c>
      <c r="AZ25" s="131" t="s">
        <v>1815</v>
      </c>
      <c r="BA25" s="131" t="s">
        <v>775</v>
      </c>
      <c r="BB25" s="131" t="s">
        <v>1604</v>
      </c>
      <c r="BC25" s="131" t="s">
        <v>20</v>
      </c>
      <c r="BD25" s="174"/>
      <c r="BE25" s="174"/>
      <c r="BG25" t="str">
        <f t="shared" si="2"/>
        <v xml:space="preserve">5 tahun 9 bulan </v>
      </c>
      <c r="BI25" t="s">
        <v>1604</v>
      </c>
    </row>
    <row r="26" spans="1:61" ht="18">
      <c r="A26" s="131">
        <v>17</v>
      </c>
      <c r="B26" s="171" t="s">
        <v>630</v>
      </c>
      <c r="C26" s="171" t="s">
        <v>20</v>
      </c>
      <c r="D26" s="171">
        <v>22920012</v>
      </c>
      <c r="E26" s="171">
        <v>7700016583</v>
      </c>
      <c r="F26" s="171" t="s">
        <v>845</v>
      </c>
      <c r="G26" s="131" t="s">
        <v>573</v>
      </c>
      <c r="H26" s="131" t="s">
        <v>1621</v>
      </c>
      <c r="I26" s="131" t="s">
        <v>1816</v>
      </c>
      <c r="J26" s="131" t="s">
        <v>1308</v>
      </c>
      <c r="K26" s="172">
        <v>33947</v>
      </c>
      <c r="L26" s="131">
        <f t="shared" ca="1" si="0"/>
        <v>33</v>
      </c>
      <c r="M26" s="131" t="s">
        <v>1817</v>
      </c>
      <c r="N26" s="131" t="s">
        <v>1592</v>
      </c>
      <c r="O26" s="131">
        <v>3578065104930000</v>
      </c>
      <c r="P26" s="131" t="s">
        <v>1818</v>
      </c>
      <c r="Q26" s="131" t="s">
        <v>1800</v>
      </c>
      <c r="R26" s="173">
        <v>81342282890</v>
      </c>
      <c r="S26" s="131" t="s">
        <v>1819</v>
      </c>
      <c r="T26" s="131" t="s">
        <v>1820</v>
      </c>
      <c r="U26" s="131" t="s">
        <v>1595</v>
      </c>
      <c r="V26" s="173">
        <v>3578210912920000</v>
      </c>
      <c r="W26" s="131" t="s">
        <v>632</v>
      </c>
      <c r="X26" s="131">
        <v>5</v>
      </c>
      <c r="Y26" s="131">
        <v>1</v>
      </c>
      <c r="Z26" s="131" t="s">
        <v>1821</v>
      </c>
      <c r="AA26" s="131" t="s">
        <v>1308</v>
      </c>
      <c r="AB26" s="131" t="s">
        <v>1153</v>
      </c>
      <c r="AC26" s="131" t="s">
        <v>631</v>
      </c>
      <c r="AD26" s="131" t="s">
        <v>574</v>
      </c>
      <c r="AE26" s="174"/>
      <c r="AF26" s="174"/>
      <c r="AG26" s="174"/>
      <c r="AH26" s="131" t="s">
        <v>1822</v>
      </c>
      <c r="AI26" s="172">
        <v>44062</v>
      </c>
      <c r="AJ26" s="172">
        <v>44075</v>
      </c>
      <c r="AK26" s="174"/>
      <c r="AL26" s="174"/>
      <c r="AM26" s="174"/>
      <c r="AN26" s="131">
        <v>1702155036</v>
      </c>
      <c r="AO26" s="131">
        <v>0</v>
      </c>
      <c r="AP26" s="344">
        <v>43892</v>
      </c>
      <c r="AQ26" s="172">
        <v>44105</v>
      </c>
      <c r="AR26" s="131" t="str">
        <f t="shared" ca="1" si="1"/>
        <v xml:space="preserve">5 tahun 3 bulan </v>
      </c>
      <c r="AS26" s="131" t="s">
        <v>1599</v>
      </c>
      <c r="AT26" s="131" t="s">
        <v>575</v>
      </c>
      <c r="AU26" s="131" t="s">
        <v>1805</v>
      </c>
      <c r="AV26" s="131" t="s">
        <v>1806</v>
      </c>
      <c r="AW26" s="131">
        <v>2014</v>
      </c>
      <c r="AX26" s="131">
        <v>2018</v>
      </c>
      <c r="AY26" s="131">
        <v>431302439</v>
      </c>
      <c r="AZ26" s="131" t="s">
        <v>1823</v>
      </c>
      <c r="BA26" s="131" t="s">
        <v>775</v>
      </c>
      <c r="BB26" s="131" t="s">
        <v>1647</v>
      </c>
      <c r="BC26" s="131" t="s">
        <v>20</v>
      </c>
      <c r="BD26" s="174"/>
      <c r="BE26" s="174"/>
      <c r="BG26" t="str">
        <f t="shared" si="2"/>
        <v xml:space="preserve">5 tahun 3 bulan </v>
      </c>
      <c r="BI26" t="s">
        <v>1604</v>
      </c>
    </row>
    <row r="27" spans="1:61" ht="18">
      <c r="A27" s="131">
        <v>26</v>
      </c>
      <c r="B27" s="181" t="s">
        <v>658</v>
      </c>
      <c r="C27" s="181" t="s">
        <v>46</v>
      </c>
      <c r="D27" s="181">
        <v>24920003</v>
      </c>
      <c r="E27" s="181">
        <v>7700016153</v>
      </c>
      <c r="F27" s="181" t="s">
        <v>845</v>
      </c>
      <c r="G27" s="181" t="s">
        <v>573</v>
      </c>
      <c r="H27" s="181" t="s">
        <v>1588</v>
      </c>
      <c r="I27" s="181" t="s">
        <v>1824</v>
      </c>
      <c r="J27" s="181" t="s">
        <v>1825</v>
      </c>
      <c r="K27" s="228">
        <v>33624</v>
      </c>
      <c r="L27" s="181">
        <f t="shared" ca="1" si="0"/>
        <v>33</v>
      </c>
      <c r="M27" s="181" t="s">
        <v>1826</v>
      </c>
      <c r="N27" s="181" t="s">
        <v>1592</v>
      </c>
      <c r="O27" s="181">
        <v>0</v>
      </c>
      <c r="P27" s="181">
        <v>0</v>
      </c>
      <c r="Q27" s="181">
        <v>0</v>
      </c>
      <c r="R27" s="229">
        <v>81328973454</v>
      </c>
      <c r="S27" s="181" t="s">
        <v>1827</v>
      </c>
      <c r="T27" s="181" t="s">
        <v>1828</v>
      </c>
      <c r="U27" s="181" t="s">
        <v>1595</v>
      </c>
      <c r="V27" s="229">
        <v>3578046101920000</v>
      </c>
      <c r="W27" s="181" t="s">
        <v>659</v>
      </c>
      <c r="X27" s="181">
        <v>7</v>
      </c>
      <c r="Y27" s="181">
        <v>1</v>
      </c>
      <c r="Z27" s="181" t="s">
        <v>1829</v>
      </c>
      <c r="AA27" s="181" t="s">
        <v>1308</v>
      </c>
      <c r="AB27" s="181" t="s">
        <v>1597</v>
      </c>
      <c r="AC27" s="181" t="s">
        <v>617</v>
      </c>
      <c r="AD27" s="181" t="s">
        <v>1830</v>
      </c>
      <c r="AE27" s="174"/>
      <c r="AF27" s="174"/>
      <c r="AG27" s="174"/>
      <c r="AH27" s="131" t="s">
        <v>1831</v>
      </c>
      <c r="AI27" s="172">
        <v>43825</v>
      </c>
      <c r="AJ27" s="172">
        <v>43831</v>
      </c>
      <c r="AK27" s="174"/>
      <c r="AL27" s="174"/>
      <c r="AM27" s="174"/>
      <c r="AN27" s="131" t="e">
        <v>#N/A</v>
      </c>
      <c r="AO27" s="131">
        <v>12045148785</v>
      </c>
      <c r="AP27" s="174"/>
      <c r="AQ27" s="172">
        <v>43709</v>
      </c>
      <c r="AR27" s="131" t="str">
        <f t="shared" ca="1" si="1"/>
        <v xml:space="preserve">6 tahun 4 bulan </v>
      </c>
      <c r="AS27" s="131" t="s">
        <v>1599</v>
      </c>
      <c r="AT27" s="131" t="s">
        <v>625</v>
      </c>
      <c r="AU27" s="131" t="s">
        <v>1670</v>
      </c>
      <c r="AV27" s="131" t="s">
        <v>1680</v>
      </c>
      <c r="AW27" s="131">
        <v>2012</v>
      </c>
      <c r="AX27" s="131">
        <v>2015</v>
      </c>
      <c r="AY27" s="131">
        <v>41211223052</v>
      </c>
      <c r="AZ27" s="131" t="s">
        <v>1832</v>
      </c>
      <c r="BA27" s="131" t="s">
        <v>1603</v>
      </c>
      <c r="BB27" s="131" t="s">
        <v>1604</v>
      </c>
      <c r="BC27" s="131" t="s">
        <v>20</v>
      </c>
      <c r="BD27" s="174"/>
      <c r="BE27" s="174"/>
      <c r="BG27" t="str">
        <f t="shared" si="2"/>
        <v xml:space="preserve">6 tahun 4 bulan </v>
      </c>
      <c r="BI27" t="s">
        <v>1604</v>
      </c>
    </row>
    <row r="28" spans="1:61" ht="18">
      <c r="A28" s="131">
        <v>20</v>
      </c>
      <c r="B28" s="171" t="s">
        <v>641</v>
      </c>
      <c r="C28" s="171" t="s">
        <v>20</v>
      </c>
      <c r="D28" s="171">
        <v>23930014</v>
      </c>
      <c r="E28" s="171">
        <v>7700016114</v>
      </c>
      <c r="F28" s="171" t="s">
        <v>845</v>
      </c>
      <c r="G28" s="131" t="s">
        <v>573</v>
      </c>
      <c r="H28" s="131" t="s">
        <v>1588</v>
      </c>
      <c r="I28" s="131" t="s">
        <v>1833</v>
      </c>
      <c r="J28" s="131" t="s">
        <v>1834</v>
      </c>
      <c r="K28" s="172">
        <v>34191</v>
      </c>
      <c r="L28" s="131">
        <f t="shared" ca="1" si="0"/>
        <v>32</v>
      </c>
      <c r="M28" s="131" t="s">
        <v>1835</v>
      </c>
      <c r="N28" s="131" t="s">
        <v>1592</v>
      </c>
      <c r="O28" s="131">
        <v>0</v>
      </c>
      <c r="P28" s="131">
        <v>0</v>
      </c>
      <c r="Q28" s="131">
        <v>0</v>
      </c>
      <c r="R28" s="173">
        <v>81222774817</v>
      </c>
      <c r="S28" s="131" t="s">
        <v>1836</v>
      </c>
      <c r="T28" s="131" t="s">
        <v>1837</v>
      </c>
      <c r="U28" s="131" t="s">
        <v>1595</v>
      </c>
      <c r="V28" s="173">
        <v>3573031008930000</v>
      </c>
      <c r="W28" s="131" t="s">
        <v>642</v>
      </c>
      <c r="X28" s="131">
        <v>8</v>
      </c>
      <c r="Y28" s="131">
        <v>11</v>
      </c>
      <c r="Z28" s="131" t="s">
        <v>1838</v>
      </c>
      <c r="AA28" s="131" t="s">
        <v>1312</v>
      </c>
      <c r="AB28" s="131" t="s">
        <v>1597</v>
      </c>
      <c r="AC28" s="131" t="s">
        <v>628</v>
      </c>
      <c r="AD28" s="131" t="s">
        <v>574</v>
      </c>
      <c r="AE28" s="174"/>
      <c r="AF28" s="174"/>
      <c r="AG28" s="174"/>
      <c r="AH28" s="131" t="s">
        <v>1839</v>
      </c>
      <c r="AI28" s="172">
        <v>43825</v>
      </c>
      <c r="AJ28" s="172">
        <v>43831</v>
      </c>
      <c r="AK28" s="174"/>
      <c r="AL28" s="174"/>
      <c r="AM28" s="174"/>
      <c r="AN28" s="131">
        <v>2917689434</v>
      </c>
      <c r="AO28" s="131">
        <v>20003723655</v>
      </c>
      <c r="AP28" s="344">
        <v>43614</v>
      </c>
      <c r="AQ28" s="172">
        <v>43831</v>
      </c>
      <c r="AR28" s="131" t="str">
        <f t="shared" ca="1" si="1"/>
        <v xml:space="preserve">6 tahun 0 bulan </v>
      </c>
      <c r="AS28" s="131" t="s">
        <v>1695</v>
      </c>
      <c r="AT28" s="131" t="s">
        <v>600</v>
      </c>
      <c r="AU28" s="131" t="s">
        <v>1740</v>
      </c>
      <c r="AV28" s="131" t="s">
        <v>1840</v>
      </c>
      <c r="AW28" s="131">
        <v>2012</v>
      </c>
      <c r="AX28" s="131">
        <v>2016</v>
      </c>
      <c r="AY28" s="131">
        <v>1241150049</v>
      </c>
      <c r="AZ28" s="131" t="s">
        <v>1841</v>
      </c>
      <c r="BA28" s="131" t="s">
        <v>775</v>
      </c>
      <c r="BB28" s="131" t="s">
        <v>1604</v>
      </c>
      <c r="BC28" s="131" t="s">
        <v>20</v>
      </c>
      <c r="BD28" s="174"/>
      <c r="BE28" s="174"/>
      <c r="BG28" t="str">
        <f t="shared" si="2"/>
        <v xml:space="preserve">6 tahun 0 bulan </v>
      </c>
      <c r="BI28" t="s">
        <v>1604</v>
      </c>
    </row>
    <row r="29" spans="1:61" ht="18">
      <c r="A29" s="131">
        <v>46</v>
      </c>
      <c r="B29" s="171" t="s">
        <v>715</v>
      </c>
      <c r="C29" s="171" t="s">
        <v>20</v>
      </c>
      <c r="D29" s="171">
        <v>62499055</v>
      </c>
      <c r="E29" s="226"/>
      <c r="F29" s="171" t="s">
        <v>884</v>
      </c>
      <c r="G29" s="131" t="s">
        <v>573</v>
      </c>
      <c r="H29" s="131" t="s">
        <v>1605</v>
      </c>
      <c r="I29" s="131" t="e">
        <v>#N/A</v>
      </c>
      <c r="J29" s="131" t="s">
        <v>1842</v>
      </c>
      <c r="K29" s="172">
        <v>36497</v>
      </c>
      <c r="L29" s="131">
        <f t="shared" ca="1" si="0"/>
        <v>26</v>
      </c>
      <c r="M29" s="174"/>
      <c r="N29" s="131" t="s">
        <v>1592</v>
      </c>
      <c r="O29" s="131">
        <v>0</v>
      </c>
      <c r="P29" s="131">
        <v>0</v>
      </c>
      <c r="Q29" s="131">
        <v>0</v>
      </c>
      <c r="R29" s="173">
        <v>8557822373</v>
      </c>
      <c r="S29" s="174"/>
      <c r="T29" s="131" t="s">
        <v>1843</v>
      </c>
      <c r="U29" s="131" t="s">
        <v>1595</v>
      </c>
      <c r="V29" s="173">
        <v>3523170312990000</v>
      </c>
      <c r="W29" s="131" t="s">
        <v>716</v>
      </c>
      <c r="X29" s="131">
        <v>3</v>
      </c>
      <c r="Y29" s="131">
        <v>2</v>
      </c>
      <c r="Z29" s="131" t="s">
        <v>1844</v>
      </c>
      <c r="AA29" s="131" t="s">
        <v>1842</v>
      </c>
      <c r="AB29" s="131" t="s">
        <v>1597</v>
      </c>
      <c r="AC29" s="131" t="s">
        <v>631</v>
      </c>
      <c r="AD29" s="131" t="s">
        <v>574</v>
      </c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344">
        <v>45566</v>
      </c>
      <c r="AQ29" s="180">
        <v>45566</v>
      </c>
      <c r="AR29" s="131" t="str">
        <f t="shared" ca="1" si="1"/>
        <v xml:space="preserve">1 tahun 3 bulan </v>
      </c>
      <c r="AS29" s="131" t="s">
        <v>1599</v>
      </c>
      <c r="AT29" s="131" t="s">
        <v>621</v>
      </c>
      <c r="AU29" s="131" t="s">
        <v>1659</v>
      </c>
      <c r="AV29" s="174"/>
      <c r="AW29" s="174"/>
      <c r="AX29" s="174"/>
      <c r="AY29" s="174"/>
      <c r="AZ29" s="131" t="s">
        <v>1845</v>
      </c>
      <c r="BA29" s="131" t="s">
        <v>775</v>
      </c>
      <c r="BB29" s="131" t="s">
        <v>1647</v>
      </c>
      <c r="BC29" s="131" t="s">
        <v>20</v>
      </c>
      <c r="BD29" s="174"/>
      <c r="BE29" s="174"/>
      <c r="BG29" t="str">
        <f t="shared" si="2"/>
        <v xml:space="preserve">1 tahun 3 bulan </v>
      </c>
      <c r="BI29" t="s">
        <v>1604</v>
      </c>
    </row>
    <row r="30" spans="1:61" ht="18">
      <c r="A30" s="131">
        <v>33</v>
      </c>
      <c r="B30" s="171" t="s">
        <v>676</v>
      </c>
      <c r="C30" s="171" t="s">
        <v>20</v>
      </c>
      <c r="D30" s="171">
        <v>22980040</v>
      </c>
      <c r="E30" s="226"/>
      <c r="F30" s="171" t="s">
        <v>884</v>
      </c>
      <c r="G30" s="131" t="s">
        <v>573</v>
      </c>
      <c r="H30" s="131" t="s">
        <v>1605</v>
      </c>
      <c r="I30" s="131" t="s">
        <v>1846</v>
      </c>
      <c r="J30" s="131" t="s">
        <v>1308</v>
      </c>
      <c r="K30" s="172">
        <v>35874</v>
      </c>
      <c r="L30" s="131">
        <f t="shared" ca="1" si="0"/>
        <v>27</v>
      </c>
      <c r="M30" s="131" t="s">
        <v>1847</v>
      </c>
      <c r="N30" s="131" t="s">
        <v>1592</v>
      </c>
      <c r="O30" s="131">
        <v>0</v>
      </c>
      <c r="P30" s="131">
        <v>0</v>
      </c>
      <c r="Q30" s="131">
        <v>0</v>
      </c>
      <c r="R30" s="173">
        <v>82332942125</v>
      </c>
      <c r="S30" s="131" t="s">
        <v>1848</v>
      </c>
      <c r="T30" s="131" t="s">
        <v>1849</v>
      </c>
      <c r="U30" s="131" t="s">
        <v>1595</v>
      </c>
      <c r="V30" s="173">
        <v>3529026003980000</v>
      </c>
      <c r="W30" s="131" t="s">
        <v>678</v>
      </c>
      <c r="X30" s="131">
        <v>4</v>
      </c>
      <c r="Y30" s="131">
        <v>4</v>
      </c>
      <c r="Z30" s="131" t="s">
        <v>1850</v>
      </c>
      <c r="AA30" s="131" t="s">
        <v>1851</v>
      </c>
      <c r="AB30" s="131" t="s">
        <v>1597</v>
      </c>
      <c r="AC30" s="131" t="s">
        <v>1852</v>
      </c>
      <c r="AD30" s="131" t="s">
        <v>1853</v>
      </c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344">
        <v>44348</v>
      </c>
      <c r="AQ30" s="172">
        <v>44774</v>
      </c>
      <c r="AR30" s="131" t="str">
        <f t="shared" ca="1" si="1"/>
        <v xml:space="preserve">3 tahun 5 bulan </v>
      </c>
      <c r="AS30" s="131" t="s">
        <v>1599</v>
      </c>
      <c r="AT30" s="131" t="s">
        <v>621</v>
      </c>
      <c r="AU30" s="131" t="s">
        <v>1854</v>
      </c>
      <c r="AV30" s="131" t="s">
        <v>1855</v>
      </c>
      <c r="AW30" s="131">
        <v>2016</v>
      </c>
      <c r="AX30" s="131">
        <v>2020</v>
      </c>
      <c r="AY30" s="131">
        <v>160411100010</v>
      </c>
      <c r="AZ30" s="131" t="s">
        <v>1856</v>
      </c>
      <c r="BA30" s="131" t="s">
        <v>1603</v>
      </c>
      <c r="BB30" s="131" t="s">
        <v>1604</v>
      </c>
      <c r="BC30" s="131" t="s">
        <v>20</v>
      </c>
      <c r="BD30" s="174"/>
      <c r="BE30" s="174"/>
      <c r="BG30" t="str">
        <f t="shared" si="2"/>
        <v xml:space="preserve">3 tahun 5 bulan </v>
      </c>
      <c r="BH30" t="str">
        <f>DATEDIF(AP30,DATE(2026,1,1),"y")&amp;" tahun "&amp;DATEDIF(AP30,DATE(2026,1,1),"ym")&amp;" bulan "</f>
        <v xml:space="preserve">4 tahun 7 bulan </v>
      </c>
      <c r="BI30" t="s">
        <v>1604</v>
      </c>
    </row>
    <row r="31" spans="1:61" ht="18">
      <c r="A31" s="131">
        <v>14</v>
      </c>
      <c r="B31" s="171" t="s">
        <v>619</v>
      </c>
      <c r="C31" s="171" t="s">
        <v>20</v>
      </c>
      <c r="D31" s="171">
        <v>22920014</v>
      </c>
      <c r="E31" s="171">
        <v>7700016125</v>
      </c>
      <c r="F31" s="171" t="s">
        <v>845</v>
      </c>
      <c r="G31" s="131" t="s">
        <v>573</v>
      </c>
      <c r="H31" s="131" t="s">
        <v>1621</v>
      </c>
      <c r="I31" s="131" t="s">
        <v>1857</v>
      </c>
      <c r="J31" s="131" t="s">
        <v>1858</v>
      </c>
      <c r="K31" s="172">
        <v>33692</v>
      </c>
      <c r="L31" s="131">
        <f t="shared" ca="1" si="0"/>
        <v>33</v>
      </c>
      <c r="M31" s="131" t="s">
        <v>1859</v>
      </c>
      <c r="N31" s="131" t="s">
        <v>1592</v>
      </c>
      <c r="O31" s="131">
        <v>0</v>
      </c>
      <c r="P31" s="131">
        <v>0</v>
      </c>
      <c r="Q31" s="131">
        <v>0</v>
      </c>
      <c r="R31" s="173">
        <v>81353484808</v>
      </c>
      <c r="S31" s="131" t="s">
        <v>1860</v>
      </c>
      <c r="T31" s="131" t="s">
        <v>1861</v>
      </c>
      <c r="U31" s="131" t="s">
        <v>1595</v>
      </c>
      <c r="V31" s="173">
        <v>3526032903920000</v>
      </c>
      <c r="W31" s="131" t="s">
        <v>622</v>
      </c>
      <c r="X31" s="131">
        <v>5</v>
      </c>
      <c r="Y31" s="131">
        <v>6</v>
      </c>
      <c r="Z31" s="131" t="s">
        <v>1862</v>
      </c>
      <c r="AA31" s="131" t="s">
        <v>1858</v>
      </c>
      <c r="AB31" s="131" t="s">
        <v>1153</v>
      </c>
      <c r="AC31" s="131" t="s">
        <v>620</v>
      </c>
      <c r="AD31" s="131" t="s">
        <v>1863</v>
      </c>
      <c r="AE31" s="174"/>
      <c r="AF31" s="174"/>
      <c r="AG31" s="174"/>
      <c r="AH31" s="131" t="s">
        <v>1864</v>
      </c>
      <c r="AI31" s="172">
        <v>43892</v>
      </c>
      <c r="AJ31" s="172">
        <v>43892</v>
      </c>
      <c r="AK31" s="174"/>
      <c r="AL31" s="174"/>
      <c r="AM31" s="174"/>
      <c r="AN31" s="131">
        <v>116474556</v>
      </c>
      <c r="AO31" s="131">
        <v>18035701731</v>
      </c>
      <c r="AP31" s="344">
        <v>43832</v>
      </c>
      <c r="AQ31" s="172">
        <v>43892</v>
      </c>
      <c r="AR31" s="131" t="str">
        <f t="shared" ca="1" si="1"/>
        <v xml:space="preserve">5 tahun 10 bulan </v>
      </c>
      <c r="AS31" s="131" t="s">
        <v>1599</v>
      </c>
      <c r="AT31" s="131" t="s">
        <v>621</v>
      </c>
      <c r="AU31" s="131" t="s">
        <v>1865</v>
      </c>
      <c r="AV31" s="131" t="s">
        <v>1855</v>
      </c>
      <c r="AW31" s="131">
        <v>2010</v>
      </c>
      <c r="AX31" s="131">
        <v>2015</v>
      </c>
      <c r="AY31" s="131">
        <v>201010370311133</v>
      </c>
      <c r="AZ31" s="131" t="s">
        <v>1866</v>
      </c>
      <c r="BA31" s="131" t="s">
        <v>775</v>
      </c>
      <c r="BB31" s="131" t="s">
        <v>1647</v>
      </c>
      <c r="BC31" s="131" t="s">
        <v>20</v>
      </c>
      <c r="BD31" s="174"/>
      <c r="BE31" s="174"/>
      <c r="BG31" t="str">
        <f t="shared" si="2"/>
        <v xml:space="preserve">5 tahun 9 bulan </v>
      </c>
      <c r="BI31" t="s">
        <v>1655</v>
      </c>
    </row>
    <row r="32" spans="1:61" ht="18">
      <c r="A32" s="131">
        <v>30</v>
      </c>
      <c r="B32" s="171" t="s">
        <v>668</v>
      </c>
      <c r="C32" s="171" t="s">
        <v>20</v>
      </c>
      <c r="D32" s="171">
        <v>25989012</v>
      </c>
      <c r="E32" s="171">
        <v>7700016109</v>
      </c>
      <c r="F32" s="171" t="s">
        <v>845</v>
      </c>
      <c r="G32" s="131" t="s">
        <v>573</v>
      </c>
      <c r="H32" s="131" t="s">
        <v>1588</v>
      </c>
      <c r="I32" s="131" t="s">
        <v>1867</v>
      </c>
      <c r="J32" s="131" t="s">
        <v>1825</v>
      </c>
      <c r="K32" s="172">
        <v>36133</v>
      </c>
      <c r="L32" s="131">
        <f t="shared" ca="1" si="0"/>
        <v>27</v>
      </c>
      <c r="M32" s="131" t="s">
        <v>1868</v>
      </c>
      <c r="N32" s="131" t="s">
        <v>1592</v>
      </c>
      <c r="O32" s="131">
        <v>0</v>
      </c>
      <c r="P32" s="131">
        <v>0</v>
      </c>
      <c r="Q32" s="131">
        <v>0</v>
      </c>
      <c r="R32" s="173">
        <v>82140863668</v>
      </c>
      <c r="S32" s="131" t="s">
        <v>1869</v>
      </c>
      <c r="T32" s="131" t="s">
        <v>1870</v>
      </c>
      <c r="U32" s="131" t="s">
        <v>1595</v>
      </c>
      <c r="V32" s="173">
        <v>3525130412980000</v>
      </c>
      <c r="W32" s="131" t="s">
        <v>670</v>
      </c>
      <c r="X32" s="131">
        <v>1</v>
      </c>
      <c r="Y32" s="131">
        <v>1</v>
      </c>
      <c r="Z32" s="131" t="s">
        <v>670</v>
      </c>
      <c r="AA32" s="131" t="s">
        <v>1825</v>
      </c>
      <c r="AB32" s="131" t="s">
        <v>1597</v>
      </c>
      <c r="AC32" s="131" t="s">
        <v>669</v>
      </c>
      <c r="AD32" s="131" t="s">
        <v>1871</v>
      </c>
      <c r="AE32" s="174"/>
      <c r="AF32" s="174"/>
      <c r="AG32" s="174"/>
      <c r="AH32" s="131" t="s">
        <v>1872</v>
      </c>
      <c r="AI32" s="172">
        <v>43976</v>
      </c>
      <c r="AJ32" s="172">
        <v>44006</v>
      </c>
      <c r="AK32" s="174"/>
      <c r="AL32" s="174"/>
      <c r="AM32" s="174"/>
      <c r="AN32" s="131">
        <v>1109832366</v>
      </c>
      <c r="AO32" s="131">
        <v>20039332810</v>
      </c>
      <c r="AP32" s="344">
        <v>43873</v>
      </c>
      <c r="AQ32" s="172">
        <v>43976</v>
      </c>
      <c r="AR32" s="131" t="str">
        <f t="shared" ca="1" si="1"/>
        <v xml:space="preserve">5 tahun 7 bulan </v>
      </c>
      <c r="AS32" s="131" t="s">
        <v>1599</v>
      </c>
      <c r="AT32" s="131" t="s">
        <v>621</v>
      </c>
      <c r="AU32" s="131" t="s">
        <v>1873</v>
      </c>
      <c r="AV32" s="131" t="s">
        <v>1414</v>
      </c>
      <c r="AW32" s="131">
        <v>2015</v>
      </c>
      <c r="AX32" s="131">
        <v>2019</v>
      </c>
      <c r="AY32" s="131">
        <v>3011510005</v>
      </c>
      <c r="AZ32" s="131" t="s">
        <v>1874</v>
      </c>
      <c r="BA32" s="131" t="s">
        <v>775</v>
      </c>
      <c r="BB32" s="131" t="s">
        <v>1604</v>
      </c>
      <c r="BC32" s="131" t="s">
        <v>20</v>
      </c>
      <c r="BD32" s="174"/>
      <c r="BE32" s="174"/>
      <c r="BG32" t="str">
        <f t="shared" si="2"/>
        <v xml:space="preserve">5 tahun 7 bulan </v>
      </c>
      <c r="BI32" t="s">
        <v>1604</v>
      </c>
    </row>
    <row r="33" spans="1:61" ht="18">
      <c r="A33" s="131">
        <v>5</v>
      </c>
      <c r="B33" s="131" t="s">
        <v>588</v>
      </c>
      <c r="C33" s="131" t="s">
        <v>20</v>
      </c>
      <c r="D33" s="131">
        <v>20850009</v>
      </c>
      <c r="E33" s="171">
        <v>7700016585</v>
      </c>
      <c r="F33" s="171" t="s">
        <v>845</v>
      </c>
      <c r="G33" s="131" t="s">
        <v>573</v>
      </c>
      <c r="H33" s="131" t="s">
        <v>1621</v>
      </c>
      <c r="I33" s="131" t="s">
        <v>1875</v>
      </c>
      <c r="J33" s="131" t="s">
        <v>1876</v>
      </c>
      <c r="K33" s="172">
        <v>31330</v>
      </c>
      <c r="L33" s="131">
        <f t="shared" ca="1" si="0"/>
        <v>40</v>
      </c>
      <c r="M33" s="131" t="s">
        <v>1877</v>
      </c>
      <c r="N33" s="131" t="s">
        <v>1592</v>
      </c>
      <c r="O33" s="131">
        <v>0</v>
      </c>
      <c r="P33" s="131">
        <v>0</v>
      </c>
      <c r="Q33" s="131">
        <v>0</v>
      </c>
      <c r="R33" s="173">
        <v>81336134584</v>
      </c>
      <c r="S33" s="131" t="s">
        <v>1878</v>
      </c>
      <c r="T33" s="131" t="s">
        <v>1879</v>
      </c>
      <c r="U33" s="131" t="s">
        <v>1595</v>
      </c>
      <c r="V33" s="173">
        <v>3578055010850000</v>
      </c>
      <c r="W33" s="131" t="s">
        <v>591</v>
      </c>
      <c r="X33" s="131">
        <v>5</v>
      </c>
      <c r="Y33" s="131">
        <v>5</v>
      </c>
      <c r="Z33" s="131" t="s">
        <v>1880</v>
      </c>
      <c r="AA33" s="131" t="s">
        <v>1308</v>
      </c>
      <c r="AB33" s="131" t="s">
        <v>1153</v>
      </c>
      <c r="AC33" s="131" t="s">
        <v>589</v>
      </c>
      <c r="AD33" s="131" t="s">
        <v>1881</v>
      </c>
      <c r="AE33" s="174"/>
      <c r="AF33" s="174"/>
      <c r="AG33" s="174"/>
      <c r="AH33" s="131" t="s">
        <v>1882</v>
      </c>
      <c r="AI33" s="172">
        <v>44036</v>
      </c>
      <c r="AJ33" s="172">
        <v>44044</v>
      </c>
      <c r="AK33" s="174"/>
      <c r="AL33" s="174"/>
      <c r="AM33" s="174"/>
      <c r="AN33" s="131" t="e">
        <v>#N/A</v>
      </c>
      <c r="AO33" s="131">
        <v>19046699922</v>
      </c>
      <c r="AP33" s="343"/>
      <c r="AQ33" s="172">
        <v>43252</v>
      </c>
      <c r="AR33" s="131" t="str">
        <f t="shared" ca="1" si="1"/>
        <v xml:space="preserve">7 tahun 7 bulan </v>
      </c>
      <c r="AS33" s="131" t="s">
        <v>1695</v>
      </c>
      <c r="AT33" s="131" t="s">
        <v>590</v>
      </c>
      <c r="AU33" s="131" t="s">
        <v>1751</v>
      </c>
      <c r="AV33" s="131" t="s">
        <v>524</v>
      </c>
      <c r="AW33" s="131">
        <v>2004</v>
      </c>
      <c r="AX33" s="131">
        <v>2009</v>
      </c>
      <c r="AY33" s="131">
        <v>7404040069</v>
      </c>
      <c r="AZ33" s="131" t="s">
        <v>1883</v>
      </c>
      <c r="BA33" s="131" t="s">
        <v>1603</v>
      </c>
      <c r="BB33" s="131" t="s">
        <v>1604</v>
      </c>
      <c r="BC33" s="131" t="s">
        <v>20</v>
      </c>
      <c r="BD33" s="174"/>
      <c r="BE33" s="174"/>
      <c r="BG33" t="str">
        <f t="shared" si="2"/>
        <v xml:space="preserve">7 tahun 7 bulan </v>
      </c>
      <c r="BI33" t="s">
        <v>1604</v>
      </c>
    </row>
    <row r="34" spans="1:61" ht="18">
      <c r="A34" s="131">
        <v>11</v>
      </c>
      <c r="B34" s="171" t="s">
        <v>609</v>
      </c>
      <c r="C34" s="171" t="s">
        <v>20</v>
      </c>
      <c r="D34" s="171">
        <v>22900027</v>
      </c>
      <c r="E34" s="171">
        <v>7700017486</v>
      </c>
      <c r="F34" s="171" t="s">
        <v>845</v>
      </c>
      <c r="G34" s="131" t="s">
        <v>573</v>
      </c>
      <c r="H34" s="131" t="s">
        <v>1621</v>
      </c>
      <c r="I34" s="131" t="s">
        <v>1884</v>
      </c>
      <c r="J34" s="131" t="s">
        <v>1885</v>
      </c>
      <c r="K34" s="172">
        <v>32921</v>
      </c>
      <c r="L34" s="131">
        <f t="shared" ref="L34:L65" ca="1" si="3">DATEDIF(K34,TODAY(),"y")</f>
        <v>35</v>
      </c>
      <c r="M34" s="131" t="s">
        <v>1886</v>
      </c>
      <c r="N34" s="131" t="s">
        <v>1624</v>
      </c>
      <c r="O34" s="131">
        <v>0</v>
      </c>
      <c r="P34" s="131">
        <v>0</v>
      </c>
      <c r="Q34" s="131">
        <v>0</v>
      </c>
      <c r="R34" s="173">
        <v>82335716017</v>
      </c>
      <c r="S34" s="131" t="s">
        <v>1887</v>
      </c>
      <c r="T34" s="131" t="s">
        <v>1888</v>
      </c>
      <c r="U34" s="131" t="s">
        <v>1595</v>
      </c>
      <c r="V34" s="173">
        <v>3515115702900000</v>
      </c>
      <c r="W34" s="131" t="s">
        <v>612</v>
      </c>
      <c r="X34" s="131">
        <v>2</v>
      </c>
      <c r="Y34" s="131">
        <v>2</v>
      </c>
      <c r="Z34" s="131" t="s">
        <v>1889</v>
      </c>
      <c r="AA34" s="131" t="s">
        <v>1617</v>
      </c>
      <c r="AB34" s="131" t="s">
        <v>1705</v>
      </c>
      <c r="AC34" s="131" t="s">
        <v>610</v>
      </c>
      <c r="AD34" s="131" t="s">
        <v>1881</v>
      </c>
      <c r="AE34" s="174"/>
      <c r="AF34" s="174"/>
      <c r="AG34" s="174"/>
      <c r="AH34" s="131" t="s">
        <v>1890</v>
      </c>
      <c r="AI34" s="172">
        <v>43825</v>
      </c>
      <c r="AJ34" s="172">
        <v>43831</v>
      </c>
      <c r="AK34" s="174"/>
      <c r="AL34" s="174"/>
      <c r="AM34" s="174"/>
      <c r="AN34" s="131">
        <v>1539350897</v>
      </c>
      <c r="AO34" s="131">
        <v>13042709512</v>
      </c>
      <c r="AP34" s="343"/>
      <c r="AQ34" s="172">
        <v>43739</v>
      </c>
      <c r="AR34" s="131" t="str">
        <f t="shared" ca="1" si="1"/>
        <v xml:space="preserve">6 tahun 3 bulan </v>
      </c>
      <c r="AS34" s="131" t="s">
        <v>1599</v>
      </c>
      <c r="AT34" s="131" t="s">
        <v>611</v>
      </c>
      <c r="AU34" s="131" t="s">
        <v>1611</v>
      </c>
      <c r="AV34" s="131" t="s">
        <v>1891</v>
      </c>
      <c r="AW34" s="131">
        <v>2007</v>
      </c>
      <c r="AX34" s="131">
        <v>2011</v>
      </c>
      <c r="AY34" s="131">
        <v>74674210</v>
      </c>
      <c r="AZ34" s="131" t="s">
        <v>1892</v>
      </c>
      <c r="BA34" s="131" t="s">
        <v>1603</v>
      </c>
      <c r="BB34" s="131" t="s">
        <v>1604</v>
      </c>
      <c r="BC34" s="131" t="s">
        <v>20</v>
      </c>
      <c r="BD34" s="174"/>
      <c r="BE34" s="174"/>
      <c r="BG34" t="str">
        <f t="shared" si="2"/>
        <v xml:space="preserve">6 tahun 3 bulan </v>
      </c>
      <c r="BI34" t="s">
        <v>1604</v>
      </c>
    </row>
    <row r="35" spans="1:61" ht="18">
      <c r="A35" s="131">
        <v>23</v>
      </c>
      <c r="B35" s="171" t="s">
        <v>648</v>
      </c>
      <c r="C35" s="171" t="s">
        <v>20</v>
      </c>
      <c r="D35" s="171">
        <v>23980039</v>
      </c>
      <c r="E35" s="171">
        <v>7700016115</v>
      </c>
      <c r="F35" s="171" t="s">
        <v>845</v>
      </c>
      <c r="G35" s="131" t="s">
        <v>573</v>
      </c>
      <c r="H35" s="131" t="s">
        <v>1605</v>
      </c>
      <c r="I35" s="131" t="s">
        <v>1893</v>
      </c>
      <c r="J35" s="131" t="s">
        <v>1308</v>
      </c>
      <c r="K35" s="172">
        <v>35874</v>
      </c>
      <c r="L35" s="131">
        <f t="shared" ca="1" si="3"/>
        <v>27</v>
      </c>
      <c r="M35" s="131" t="s">
        <v>1894</v>
      </c>
      <c r="N35" s="131" t="s">
        <v>1592</v>
      </c>
      <c r="O35" s="131">
        <v>0</v>
      </c>
      <c r="P35" s="131">
        <v>0</v>
      </c>
      <c r="Q35" s="131">
        <v>0</v>
      </c>
      <c r="R35" s="173">
        <v>82131433223</v>
      </c>
      <c r="S35" s="131" t="s">
        <v>1895</v>
      </c>
      <c r="T35" s="131" t="s">
        <v>1896</v>
      </c>
      <c r="U35" s="131" t="s">
        <v>1595</v>
      </c>
      <c r="V35" s="173">
        <v>3578102003980010</v>
      </c>
      <c r="W35" s="131" t="s">
        <v>651</v>
      </c>
      <c r="X35" s="131">
        <v>7</v>
      </c>
      <c r="Y35" s="131">
        <v>4</v>
      </c>
      <c r="Z35" s="131" t="s">
        <v>1897</v>
      </c>
      <c r="AA35" s="131" t="s">
        <v>1308</v>
      </c>
      <c r="AB35" s="131" t="s">
        <v>1597</v>
      </c>
      <c r="AC35" s="131" t="s">
        <v>649</v>
      </c>
      <c r="AD35" s="131" t="s">
        <v>1881</v>
      </c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344">
        <v>43864</v>
      </c>
      <c r="AQ35" s="172">
        <v>44197</v>
      </c>
      <c r="AR35" s="131" t="str">
        <f t="shared" ca="1" si="1"/>
        <v xml:space="preserve">5 tahun 0 bulan </v>
      </c>
      <c r="AS35" s="131" t="s">
        <v>1750</v>
      </c>
      <c r="AT35" s="131" t="s">
        <v>650</v>
      </c>
      <c r="AU35" s="131" t="s">
        <v>1898</v>
      </c>
      <c r="AV35" s="131" t="s">
        <v>1899</v>
      </c>
      <c r="AW35" s="131">
        <v>2016</v>
      </c>
      <c r="AX35" s="131">
        <v>2019</v>
      </c>
      <c r="AY35" s="131">
        <v>140416018</v>
      </c>
      <c r="AZ35" s="131" t="s">
        <v>1900</v>
      </c>
      <c r="BA35" s="131" t="s">
        <v>775</v>
      </c>
      <c r="BB35" s="131" t="s">
        <v>1604</v>
      </c>
      <c r="BC35" s="131" t="s">
        <v>20</v>
      </c>
      <c r="BD35" s="174"/>
      <c r="BE35" s="174"/>
      <c r="BG35" t="str">
        <f t="shared" si="2"/>
        <v xml:space="preserve">5 tahun 0 bulan </v>
      </c>
      <c r="BI35" t="s">
        <v>1604</v>
      </c>
    </row>
    <row r="36" spans="1:61" ht="18">
      <c r="A36" s="131">
        <v>24</v>
      </c>
      <c r="B36" s="171" t="s">
        <v>652</v>
      </c>
      <c r="C36" s="171" t="s">
        <v>20</v>
      </c>
      <c r="D36" s="171">
        <v>23950022</v>
      </c>
      <c r="E36" s="226"/>
      <c r="F36" s="171" t="s">
        <v>845</v>
      </c>
      <c r="G36" s="131" t="s">
        <v>573</v>
      </c>
      <c r="H36" s="131" t="s">
        <v>1588</v>
      </c>
      <c r="I36" s="131" t="s">
        <v>1901</v>
      </c>
      <c r="J36" s="131" t="s">
        <v>1902</v>
      </c>
      <c r="K36" s="172">
        <v>34884</v>
      </c>
      <c r="L36" s="131">
        <f t="shared" ca="1" si="3"/>
        <v>30</v>
      </c>
      <c r="M36" s="131" t="s">
        <v>1903</v>
      </c>
      <c r="N36" s="131" t="s">
        <v>1624</v>
      </c>
      <c r="O36" s="131">
        <v>0</v>
      </c>
      <c r="P36" s="131">
        <v>0</v>
      </c>
      <c r="Q36" s="131">
        <v>0</v>
      </c>
      <c r="R36" s="173">
        <v>81334323355</v>
      </c>
      <c r="S36" s="131" t="s">
        <v>1904</v>
      </c>
      <c r="T36" s="131" t="s">
        <v>1905</v>
      </c>
      <c r="U36" s="131" t="s">
        <v>1595</v>
      </c>
      <c r="V36" s="173">
        <v>3507244704950000</v>
      </c>
      <c r="W36" s="131" t="s">
        <v>654</v>
      </c>
      <c r="X36" s="131">
        <v>3</v>
      </c>
      <c r="Y36" s="131">
        <v>3</v>
      </c>
      <c r="Z36" s="131" t="s">
        <v>1906</v>
      </c>
      <c r="AA36" s="131" t="s">
        <v>1312</v>
      </c>
      <c r="AB36" s="131" t="s">
        <v>1597</v>
      </c>
      <c r="AC36" s="131" t="s">
        <v>649</v>
      </c>
      <c r="AD36" s="131" t="s">
        <v>1881</v>
      </c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344">
        <v>44020</v>
      </c>
      <c r="AQ36" s="172">
        <v>44531</v>
      </c>
      <c r="AR36" s="131" t="str">
        <f t="shared" ca="1" si="1"/>
        <v xml:space="preserve">4 tahun 1 bulan </v>
      </c>
      <c r="AS36" s="131" t="s">
        <v>1599</v>
      </c>
      <c r="AT36" s="131" t="s">
        <v>653</v>
      </c>
      <c r="AU36" s="131" t="s">
        <v>1631</v>
      </c>
      <c r="AV36" s="131" t="s">
        <v>1907</v>
      </c>
      <c r="AW36" s="131">
        <v>2013</v>
      </c>
      <c r="AX36" s="131">
        <v>2017</v>
      </c>
      <c r="AY36" s="131">
        <v>135120207111001</v>
      </c>
      <c r="AZ36" s="131" t="s">
        <v>1908</v>
      </c>
      <c r="BA36" s="131" t="s">
        <v>1603</v>
      </c>
      <c r="BB36" s="131" t="s">
        <v>1604</v>
      </c>
      <c r="BC36" s="131" t="s">
        <v>20</v>
      </c>
      <c r="BD36" s="174"/>
      <c r="BE36" s="174"/>
      <c r="BG36" t="str">
        <f t="shared" si="2"/>
        <v xml:space="preserve">4 tahun 1 bulan </v>
      </c>
      <c r="BI36" t="s">
        <v>1604</v>
      </c>
    </row>
    <row r="37" spans="1:61" ht="18">
      <c r="A37" s="131">
        <v>25</v>
      </c>
      <c r="B37" s="171" t="s">
        <v>655</v>
      </c>
      <c r="C37" s="171" t="s">
        <v>20</v>
      </c>
      <c r="D37" s="171">
        <v>23950025</v>
      </c>
      <c r="E37" s="226"/>
      <c r="F37" s="171" t="s">
        <v>845</v>
      </c>
      <c r="G37" s="131" t="s">
        <v>573</v>
      </c>
      <c r="H37" s="131" t="s">
        <v>1588</v>
      </c>
      <c r="I37" s="131" t="s">
        <v>1909</v>
      </c>
      <c r="J37" s="131" t="s">
        <v>1308</v>
      </c>
      <c r="K37" s="172">
        <v>34809</v>
      </c>
      <c r="L37" s="131">
        <f t="shared" ca="1" si="3"/>
        <v>30</v>
      </c>
      <c r="M37" s="174"/>
      <c r="N37" s="131" t="s">
        <v>1592</v>
      </c>
      <c r="O37" s="131">
        <v>0</v>
      </c>
      <c r="P37" s="131">
        <v>0</v>
      </c>
      <c r="Q37" s="131">
        <v>0</v>
      </c>
      <c r="R37" s="173">
        <v>82142624461</v>
      </c>
      <c r="S37" s="131" t="s">
        <v>1910</v>
      </c>
      <c r="T37" s="131" t="s">
        <v>1911</v>
      </c>
      <c r="U37" s="131" t="s">
        <v>1595</v>
      </c>
      <c r="V37" s="173">
        <v>3573056004950000</v>
      </c>
      <c r="W37" s="131" t="s">
        <v>657</v>
      </c>
      <c r="X37" s="131">
        <v>3</v>
      </c>
      <c r="Y37" s="131">
        <v>14</v>
      </c>
      <c r="Z37" s="131" t="s">
        <v>1912</v>
      </c>
      <c r="AA37" s="131" t="s">
        <v>1312</v>
      </c>
      <c r="AB37" s="131" t="s">
        <v>1597</v>
      </c>
      <c r="AC37" s="131" t="s">
        <v>656</v>
      </c>
      <c r="AD37" s="131" t="s">
        <v>1881</v>
      </c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344">
        <v>44287</v>
      </c>
      <c r="AQ37" s="172">
        <v>44621</v>
      </c>
      <c r="AR37" s="131" t="str">
        <f t="shared" ca="1" si="1"/>
        <v xml:space="preserve">3 tahun 10 bulan </v>
      </c>
      <c r="AS37" s="131" t="s">
        <v>1599</v>
      </c>
      <c r="AT37" s="131" t="s">
        <v>583</v>
      </c>
      <c r="AU37" s="131" t="s">
        <v>1631</v>
      </c>
      <c r="AV37" s="131" t="s">
        <v>1913</v>
      </c>
      <c r="AW37" s="131">
        <v>2013</v>
      </c>
      <c r="AX37" s="131">
        <v>2018</v>
      </c>
      <c r="AY37" s="131">
        <v>135020207111050</v>
      </c>
      <c r="AZ37" s="131" t="s">
        <v>1914</v>
      </c>
      <c r="BA37" s="131" t="s">
        <v>1603</v>
      </c>
      <c r="BB37" s="131" t="s">
        <v>1604</v>
      </c>
      <c r="BC37" s="131" t="s">
        <v>20</v>
      </c>
      <c r="BD37" s="174"/>
      <c r="BE37" s="174"/>
      <c r="BG37" t="str">
        <f t="shared" si="2"/>
        <v xml:space="preserve">3 tahun 10 bulan </v>
      </c>
      <c r="BI37" t="s">
        <v>1604</v>
      </c>
    </row>
    <row r="38" spans="1:61" ht="18">
      <c r="A38" s="131">
        <v>27</v>
      </c>
      <c r="B38" s="171" t="s">
        <v>660</v>
      </c>
      <c r="C38" s="171" t="s">
        <v>20</v>
      </c>
      <c r="D38" s="171">
        <v>24880004</v>
      </c>
      <c r="E38" s="171">
        <v>7700016590</v>
      </c>
      <c r="F38" s="171" t="s">
        <v>845</v>
      </c>
      <c r="G38" s="131" t="s">
        <v>573</v>
      </c>
      <c r="H38" s="131" t="s">
        <v>1588</v>
      </c>
      <c r="I38" s="131" t="s">
        <v>1915</v>
      </c>
      <c r="J38" s="131" t="s">
        <v>1308</v>
      </c>
      <c r="K38" s="172">
        <v>32160</v>
      </c>
      <c r="L38" s="131">
        <f t="shared" ca="1" si="3"/>
        <v>38</v>
      </c>
      <c r="M38" s="131" t="s">
        <v>1916</v>
      </c>
      <c r="N38" s="131" t="s">
        <v>1592</v>
      </c>
      <c r="O38" s="131">
        <v>3578094401870000</v>
      </c>
      <c r="P38" s="131" t="s">
        <v>1917</v>
      </c>
      <c r="Q38" s="131" t="s">
        <v>1800</v>
      </c>
      <c r="R38" s="173">
        <v>81217831761</v>
      </c>
      <c r="S38" s="131" t="s">
        <v>1918</v>
      </c>
      <c r="T38" s="131" t="s">
        <v>1919</v>
      </c>
      <c r="U38" s="131" t="s">
        <v>1595</v>
      </c>
      <c r="V38" s="173">
        <v>3578021801880000</v>
      </c>
      <c r="W38" s="131" t="s">
        <v>663</v>
      </c>
      <c r="X38" s="131">
        <v>5</v>
      </c>
      <c r="Y38" s="131">
        <v>5</v>
      </c>
      <c r="Z38" s="131" t="s">
        <v>1920</v>
      </c>
      <c r="AA38" s="131" t="s">
        <v>1308</v>
      </c>
      <c r="AB38" s="131" t="s">
        <v>1597</v>
      </c>
      <c r="AC38" s="131" t="s">
        <v>661</v>
      </c>
      <c r="AD38" s="131" t="s">
        <v>1881</v>
      </c>
      <c r="AE38" s="174"/>
      <c r="AF38" s="174"/>
      <c r="AG38" s="174"/>
      <c r="AH38" s="131" t="s">
        <v>1921</v>
      </c>
      <c r="AI38" s="172">
        <v>43892</v>
      </c>
      <c r="AJ38" s="172">
        <v>43892</v>
      </c>
      <c r="AK38" s="174"/>
      <c r="AL38" s="174"/>
      <c r="AM38" s="174"/>
      <c r="AN38" s="131" t="e">
        <v>#N/A</v>
      </c>
      <c r="AO38" s="131">
        <v>19074943986</v>
      </c>
      <c r="AP38" s="344">
        <v>43832</v>
      </c>
      <c r="AQ38" s="172">
        <v>43892</v>
      </c>
      <c r="AR38" s="131" t="str">
        <f t="shared" ca="1" si="1"/>
        <v xml:space="preserve">5 tahun 10 bulan </v>
      </c>
      <c r="AS38" s="131" t="s">
        <v>1599</v>
      </c>
      <c r="AT38" s="131" t="s">
        <v>662</v>
      </c>
      <c r="AU38" s="131" t="s">
        <v>1922</v>
      </c>
      <c r="AV38" s="131" t="s">
        <v>1923</v>
      </c>
      <c r="AW38" s="131">
        <v>2005</v>
      </c>
      <c r="AX38" s="131">
        <v>2009</v>
      </c>
      <c r="AY38" s="131">
        <v>502025</v>
      </c>
      <c r="AZ38" s="131" t="s">
        <v>1924</v>
      </c>
      <c r="BA38" s="131" t="s">
        <v>775</v>
      </c>
      <c r="BB38" s="131" t="s">
        <v>1604</v>
      </c>
      <c r="BC38" s="131" t="s">
        <v>20</v>
      </c>
      <c r="BD38" s="174"/>
      <c r="BE38" s="174"/>
      <c r="BG38" t="str">
        <f t="shared" si="2"/>
        <v xml:space="preserve">5 tahun 9 bulan </v>
      </c>
      <c r="BI38" t="s">
        <v>1604</v>
      </c>
    </row>
    <row r="39" spans="1:61" ht="18.95">
      <c r="A39" s="131">
        <v>38</v>
      </c>
      <c r="B39" s="171" t="s">
        <v>689</v>
      </c>
      <c r="C39" s="171" t="s">
        <v>20</v>
      </c>
      <c r="D39" s="177">
        <v>82400010</v>
      </c>
      <c r="E39" s="226"/>
      <c r="F39" s="171" t="s">
        <v>1925</v>
      </c>
      <c r="G39" s="131" t="s">
        <v>573</v>
      </c>
      <c r="H39" s="131" t="s">
        <v>1926</v>
      </c>
      <c r="I39" s="131" t="e">
        <v>#N/A</v>
      </c>
      <c r="J39" s="131" t="s">
        <v>1312</v>
      </c>
      <c r="K39" s="172">
        <v>36590</v>
      </c>
      <c r="L39" s="131">
        <f t="shared" ca="1" si="3"/>
        <v>25</v>
      </c>
      <c r="M39" s="174"/>
      <c r="N39" s="131" t="s">
        <v>1624</v>
      </c>
      <c r="O39" s="131">
        <v>0</v>
      </c>
      <c r="P39" s="131">
        <v>0</v>
      </c>
      <c r="Q39" s="131">
        <v>0</v>
      </c>
      <c r="R39" s="173">
        <v>85230251932</v>
      </c>
      <c r="S39" s="131" t="s">
        <v>1927</v>
      </c>
      <c r="T39" s="131" t="e">
        <v>#N/A</v>
      </c>
      <c r="U39" s="131" t="s">
        <v>1595</v>
      </c>
      <c r="V39" s="173">
        <v>3507314503000000</v>
      </c>
      <c r="W39" s="131" t="s">
        <v>692</v>
      </c>
      <c r="X39" s="131">
        <v>23</v>
      </c>
      <c r="Y39" s="131">
        <v>3</v>
      </c>
      <c r="Z39" s="131" t="s">
        <v>1928</v>
      </c>
      <c r="AA39" s="131" t="s">
        <v>1312</v>
      </c>
      <c r="AB39" s="131" t="s">
        <v>1597</v>
      </c>
      <c r="AC39" s="131" t="s">
        <v>690</v>
      </c>
      <c r="AD39" s="131" t="s">
        <v>1881</v>
      </c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345">
        <v>25013768285</v>
      </c>
      <c r="AP39" s="344">
        <v>43825</v>
      </c>
      <c r="AQ39" s="174"/>
      <c r="AR39" s="131"/>
      <c r="AS39" s="131" t="s">
        <v>1929</v>
      </c>
      <c r="AT39" s="178" t="s">
        <v>511</v>
      </c>
      <c r="AU39" s="178" t="s">
        <v>511</v>
      </c>
      <c r="AV39" s="178" t="s">
        <v>511</v>
      </c>
      <c r="AW39" s="131">
        <v>2018</v>
      </c>
      <c r="AX39" s="178" t="s">
        <v>511</v>
      </c>
      <c r="AY39" s="178" t="s">
        <v>511</v>
      </c>
      <c r="AZ39" s="131" t="s">
        <v>1930</v>
      </c>
      <c r="BA39" s="131" t="s">
        <v>1603</v>
      </c>
      <c r="BB39" s="131" t="s">
        <v>1604</v>
      </c>
      <c r="BC39" s="131" t="s">
        <v>694</v>
      </c>
      <c r="BD39" s="174"/>
      <c r="BE39" s="174"/>
      <c r="BG39" t="str">
        <f t="shared" si="2"/>
        <v xml:space="preserve">126 tahun 0 bulan </v>
      </c>
      <c r="BI39" t="s">
        <v>1604</v>
      </c>
    </row>
    <row r="40" spans="1:61" ht="18">
      <c r="A40" s="131">
        <v>39</v>
      </c>
      <c r="B40" s="171" t="s">
        <v>693</v>
      </c>
      <c r="C40" s="171" t="s">
        <v>20</v>
      </c>
      <c r="D40" s="171">
        <v>13199909</v>
      </c>
      <c r="E40" s="226"/>
      <c r="F40" s="171" t="s">
        <v>1931</v>
      </c>
      <c r="G40" s="131" t="s">
        <v>573</v>
      </c>
      <c r="H40" s="178" t="s">
        <v>511</v>
      </c>
      <c r="I40" s="131" t="e">
        <v>#N/A</v>
      </c>
      <c r="J40" s="131" t="s">
        <v>1308</v>
      </c>
      <c r="K40" s="172">
        <v>36397</v>
      </c>
      <c r="L40" s="131">
        <f t="shared" ca="1" si="3"/>
        <v>26</v>
      </c>
      <c r="M40" s="174"/>
      <c r="N40" s="131" t="s">
        <v>1624</v>
      </c>
      <c r="O40" s="131">
        <v>0</v>
      </c>
      <c r="P40" s="131">
        <v>0</v>
      </c>
      <c r="Q40" s="131">
        <v>0</v>
      </c>
      <c r="R40" s="173">
        <v>82230394139</v>
      </c>
      <c r="S40" s="178" t="s">
        <v>511</v>
      </c>
      <c r="T40" s="131" t="e">
        <v>#N/A</v>
      </c>
      <c r="U40" s="131" t="s">
        <v>1595</v>
      </c>
      <c r="V40" s="173">
        <v>3578226508990000</v>
      </c>
      <c r="W40" s="131" t="s">
        <v>696</v>
      </c>
      <c r="X40" s="131">
        <v>6</v>
      </c>
      <c r="Y40" s="131">
        <v>1</v>
      </c>
      <c r="Z40" s="131" t="s">
        <v>1932</v>
      </c>
      <c r="AA40" s="131" t="s">
        <v>1308</v>
      </c>
      <c r="AB40" s="131" t="s">
        <v>1597</v>
      </c>
      <c r="AC40" s="131" t="s">
        <v>695</v>
      </c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31"/>
      <c r="AS40" s="131" t="s">
        <v>1929</v>
      </c>
      <c r="AT40" s="178" t="s">
        <v>511</v>
      </c>
      <c r="AU40" s="178" t="s">
        <v>511</v>
      </c>
      <c r="AV40" s="178" t="s">
        <v>511</v>
      </c>
      <c r="AW40" s="131">
        <v>2019</v>
      </c>
      <c r="AX40" s="178" t="s">
        <v>511</v>
      </c>
      <c r="AY40" s="178" t="s">
        <v>511</v>
      </c>
      <c r="AZ40" s="131" t="s">
        <v>1933</v>
      </c>
      <c r="BA40" s="131" t="s">
        <v>1603</v>
      </c>
      <c r="BB40" s="131" t="s">
        <v>1604</v>
      </c>
      <c r="BC40" s="131" t="s">
        <v>694</v>
      </c>
      <c r="BD40" s="174"/>
      <c r="BE40" s="174"/>
      <c r="BG40" t="str">
        <f t="shared" si="2"/>
        <v xml:space="preserve">126 tahun 0 bulan </v>
      </c>
      <c r="BI40" t="s">
        <v>1604</v>
      </c>
    </row>
    <row r="41" spans="1:61" ht="18">
      <c r="A41" s="131">
        <v>40</v>
      </c>
      <c r="B41" s="171" t="s">
        <v>697</v>
      </c>
      <c r="C41" s="171" t="s">
        <v>20</v>
      </c>
      <c r="D41" s="171">
        <v>13230430</v>
      </c>
      <c r="E41" s="226"/>
      <c r="F41" s="171" t="s">
        <v>1931</v>
      </c>
      <c r="G41" s="131" t="s">
        <v>573</v>
      </c>
      <c r="H41" s="178" t="s">
        <v>511</v>
      </c>
      <c r="I41" s="131" t="e">
        <v>#N/A</v>
      </c>
      <c r="J41" s="131" t="s">
        <v>1308</v>
      </c>
      <c r="K41" s="172">
        <v>38122</v>
      </c>
      <c r="L41" s="131">
        <f t="shared" ca="1" si="3"/>
        <v>21</v>
      </c>
      <c r="M41" s="174"/>
      <c r="N41" s="131" t="s">
        <v>1624</v>
      </c>
      <c r="O41" s="131">
        <v>0</v>
      </c>
      <c r="P41" s="131">
        <v>0</v>
      </c>
      <c r="Q41" s="131">
        <v>0</v>
      </c>
      <c r="R41" s="173">
        <v>81357326196</v>
      </c>
      <c r="S41" s="178" t="s">
        <v>511</v>
      </c>
      <c r="T41" s="131" t="e">
        <v>#N/A</v>
      </c>
      <c r="U41" s="131" t="s">
        <v>1595</v>
      </c>
      <c r="V41" s="173">
        <v>3517082104010000</v>
      </c>
      <c r="W41" s="131" t="s">
        <v>698</v>
      </c>
      <c r="X41" s="174"/>
      <c r="Y41" s="174"/>
      <c r="Z41" s="131" t="s">
        <v>1934</v>
      </c>
      <c r="AA41" s="131" t="s">
        <v>1935</v>
      </c>
      <c r="AB41" s="131" t="s">
        <v>1597</v>
      </c>
      <c r="AC41" s="131" t="s">
        <v>695</v>
      </c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31"/>
      <c r="AS41" s="131" t="s">
        <v>1929</v>
      </c>
      <c r="AT41" s="178" t="s">
        <v>511</v>
      </c>
      <c r="AU41" s="178" t="s">
        <v>511</v>
      </c>
      <c r="AV41" s="178" t="s">
        <v>511</v>
      </c>
      <c r="AW41" s="178" t="s">
        <v>511</v>
      </c>
      <c r="AX41" s="178" t="s">
        <v>511</v>
      </c>
      <c r="AY41" s="178" t="s">
        <v>511</v>
      </c>
      <c r="AZ41" s="131" t="s">
        <v>1936</v>
      </c>
      <c r="BA41" s="131" t="s">
        <v>775</v>
      </c>
      <c r="BB41" s="131" t="s">
        <v>1604</v>
      </c>
      <c r="BC41" s="131" t="s">
        <v>694</v>
      </c>
      <c r="BD41" s="174"/>
      <c r="BE41" s="174"/>
      <c r="BG41" t="str">
        <f t="shared" si="2"/>
        <v xml:space="preserve">126 tahun 0 bulan </v>
      </c>
      <c r="BI41" t="s">
        <v>1604</v>
      </c>
    </row>
    <row r="42" spans="1:61" ht="18">
      <c r="A42" s="131">
        <v>41</v>
      </c>
      <c r="B42" s="171" t="s">
        <v>699</v>
      </c>
      <c r="C42" s="171" t="s">
        <v>20</v>
      </c>
      <c r="D42" s="177" t="s">
        <v>700</v>
      </c>
      <c r="E42" s="226"/>
      <c r="F42" s="171" t="s">
        <v>1931</v>
      </c>
      <c r="G42" s="131" t="s">
        <v>573</v>
      </c>
      <c r="H42" s="131" t="s">
        <v>1926</v>
      </c>
      <c r="I42" s="131" t="e">
        <v>#N/A</v>
      </c>
      <c r="J42" s="131" t="s">
        <v>1308</v>
      </c>
      <c r="K42" s="172">
        <v>30211</v>
      </c>
      <c r="L42" s="131">
        <f t="shared" ca="1" si="3"/>
        <v>43</v>
      </c>
      <c r="M42" s="174"/>
      <c r="N42" s="131" t="s">
        <v>1592</v>
      </c>
      <c r="O42" s="131">
        <v>0</v>
      </c>
      <c r="P42" s="131">
        <v>0</v>
      </c>
      <c r="Q42" s="131">
        <v>0</v>
      </c>
      <c r="R42" s="173">
        <v>82141138917</v>
      </c>
      <c r="S42" s="131" t="s">
        <v>1937</v>
      </c>
      <c r="T42" s="131" t="e">
        <v>#N/A</v>
      </c>
      <c r="U42" s="131" t="s">
        <v>1595</v>
      </c>
      <c r="V42" s="173">
        <v>3578131709820000</v>
      </c>
      <c r="W42" s="131" t="s">
        <v>702</v>
      </c>
      <c r="X42" s="174"/>
      <c r="Y42" s="174"/>
      <c r="Z42" s="131" t="s">
        <v>1938</v>
      </c>
      <c r="AA42" s="131" t="s">
        <v>1308</v>
      </c>
      <c r="AB42" s="131" t="s">
        <v>1597</v>
      </c>
      <c r="AC42" s="131" t="s">
        <v>646</v>
      </c>
      <c r="AD42" s="131" t="s">
        <v>1598</v>
      </c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2"/>
      <c r="AQ42" s="172">
        <v>44531</v>
      </c>
      <c r="AR42" s="131" t="str">
        <f ca="1">DATEDIF(AQ42,TODAY(),"y")&amp;" tahun "&amp;DATEDIF(AQ42,TODAY(),"ym")&amp;" bulan "</f>
        <v xml:space="preserve">4 tahun 1 bulan </v>
      </c>
      <c r="AS42" s="131" t="s">
        <v>1939</v>
      </c>
      <c r="AT42" s="131" t="s">
        <v>701</v>
      </c>
      <c r="AU42" s="131" t="s">
        <v>1940</v>
      </c>
      <c r="AV42" s="131" t="s">
        <v>1941</v>
      </c>
      <c r="AW42" s="178" t="s">
        <v>511</v>
      </c>
      <c r="AX42" s="178" t="s">
        <v>511</v>
      </c>
      <c r="AY42" s="178" t="s">
        <v>511</v>
      </c>
      <c r="AZ42" s="131" t="s">
        <v>1942</v>
      </c>
      <c r="BA42" s="131" t="s">
        <v>775</v>
      </c>
      <c r="BB42" s="131" t="s">
        <v>1604</v>
      </c>
      <c r="BC42" s="131" t="s">
        <v>694</v>
      </c>
      <c r="BD42" s="174"/>
      <c r="BE42" s="174"/>
      <c r="BG42" t="str">
        <f t="shared" si="2"/>
        <v xml:space="preserve">4 tahun 1 bulan </v>
      </c>
      <c r="BI42" t="s">
        <v>1604</v>
      </c>
    </row>
    <row r="43" spans="1:61" ht="18">
      <c r="A43" s="131">
        <v>42</v>
      </c>
      <c r="B43" s="171" t="s">
        <v>703</v>
      </c>
      <c r="C43" s="171" t="s">
        <v>20</v>
      </c>
      <c r="D43" s="171">
        <v>13239726</v>
      </c>
      <c r="E43" s="226"/>
      <c r="F43" s="171" t="s">
        <v>695</v>
      </c>
      <c r="G43" s="131" t="s">
        <v>573</v>
      </c>
      <c r="H43" s="178" t="s">
        <v>511</v>
      </c>
      <c r="I43" s="131" t="e">
        <v>#N/A</v>
      </c>
      <c r="J43" s="131" t="s">
        <v>1935</v>
      </c>
      <c r="K43" s="172">
        <v>35453</v>
      </c>
      <c r="L43" s="131">
        <f t="shared" ca="1" si="3"/>
        <v>28</v>
      </c>
      <c r="M43" s="174"/>
      <c r="N43" s="131" t="s">
        <v>1592</v>
      </c>
      <c r="O43" s="131">
        <v>0</v>
      </c>
      <c r="P43" s="131">
        <v>0</v>
      </c>
      <c r="Q43" s="131">
        <v>0</v>
      </c>
      <c r="R43" s="179"/>
      <c r="S43" s="131" t="s">
        <v>1943</v>
      </c>
      <c r="T43" s="131" t="e">
        <v>#N/A</v>
      </c>
      <c r="U43" s="131" t="s">
        <v>1595</v>
      </c>
      <c r="V43" s="173">
        <v>3517092301970000</v>
      </c>
      <c r="W43" s="131" t="s">
        <v>704</v>
      </c>
      <c r="X43" s="174"/>
      <c r="Y43" s="174"/>
      <c r="Z43" s="174"/>
      <c r="AA43" s="131" t="s">
        <v>1935</v>
      </c>
      <c r="AB43" s="131" t="s">
        <v>1597</v>
      </c>
      <c r="AC43" s="131" t="s">
        <v>695</v>
      </c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31"/>
      <c r="AS43" s="131" t="s">
        <v>1599</v>
      </c>
      <c r="AT43" s="174"/>
      <c r="AU43" s="131" t="s">
        <v>1716</v>
      </c>
      <c r="AV43" s="178" t="s">
        <v>511</v>
      </c>
      <c r="AW43" s="174"/>
      <c r="AX43" s="174"/>
      <c r="AY43" s="174"/>
      <c r="AZ43" s="131" t="s">
        <v>703</v>
      </c>
      <c r="BA43" s="131" t="s">
        <v>775</v>
      </c>
      <c r="BB43" s="131" t="s">
        <v>1604</v>
      </c>
      <c r="BC43" s="131" t="s">
        <v>694</v>
      </c>
      <c r="BD43" s="174"/>
      <c r="BE43" s="174"/>
      <c r="BG43" t="str">
        <f t="shared" si="2"/>
        <v xml:space="preserve">126 tahun 0 bulan </v>
      </c>
      <c r="BI43" t="s">
        <v>1604</v>
      </c>
    </row>
    <row r="44" spans="1:61" ht="18.95">
      <c r="A44" s="131">
        <v>43</v>
      </c>
      <c r="B44" s="171" t="s">
        <v>705</v>
      </c>
      <c r="C44" s="171" t="s">
        <v>20</v>
      </c>
      <c r="D44" s="171">
        <v>82400011</v>
      </c>
      <c r="E44" s="226"/>
      <c r="F44" s="171" t="s">
        <v>1925</v>
      </c>
      <c r="G44" s="131" t="s">
        <v>573</v>
      </c>
      <c r="H44" s="131" t="s">
        <v>1926</v>
      </c>
      <c r="I44" s="131" t="e">
        <v>#N/A</v>
      </c>
      <c r="J44" s="131" t="s">
        <v>1935</v>
      </c>
      <c r="K44" s="172">
        <v>36751</v>
      </c>
      <c r="L44" s="131">
        <f t="shared" ca="1" si="3"/>
        <v>25</v>
      </c>
      <c r="M44" s="174"/>
      <c r="N44" s="131" t="s">
        <v>1592</v>
      </c>
      <c r="O44" s="131">
        <v>0</v>
      </c>
      <c r="P44" s="131">
        <v>0</v>
      </c>
      <c r="Q44" s="131">
        <v>0</v>
      </c>
      <c r="R44" s="173">
        <v>83833519680</v>
      </c>
      <c r="S44" s="174"/>
      <c r="T44" s="131" t="e">
        <v>#N/A</v>
      </c>
      <c r="U44" s="131" t="s">
        <v>1595</v>
      </c>
      <c r="V44" s="173">
        <v>3515185308000000</v>
      </c>
      <c r="W44" s="131" t="s">
        <v>707</v>
      </c>
      <c r="X44" s="131">
        <v>2</v>
      </c>
      <c r="Y44" s="131">
        <v>3</v>
      </c>
      <c r="Z44" s="131" t="s">
        <v>1944</v>
      </c>
      <c r="AA44" s="131" t="s">
        <v>1617</v>
      </c>
      <c r="AB44" s="131" t="s">
        <v>1597</v>
      </c>
      <c r="AC44" s="131" t="s">
        <v>638</v>
      </c>
      <c r="AD44" s="131" t="s">
        <v>1738</v>
      </c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345">
        <v>25013768210</v>
      </c>
      <c r="AP44" s="344">
        <v>45231</v>
      </c>
      <c r="AQ44" s="174"/>
      <c r="AR44" s="174"/>
      <c r="AS44" s="131" t="s">
        <v>1750</v>
      </c>
      <c r="AT44" s="131" t="s">
        <v>706</v>
      </c>
      <c r="AU44" s="131" t="s">
        <v>1670</v>
      </c>
      <c r="AV44" s="131" t="s">
        <v>1945</v>
      </c>
      <c r="AW44" s="174"/>
      <c r="AX44" s="174"/>
      <c r="AY44" s="174"/>
      <c r="AZ44" s="131" t="s">
        <v>1946</v>
      </c>
      <c r="BA44" s="131" t="s">
        <v>1603</v>
      </c>
      <c r="BB44" s="131" t="s">
        <v>1764</v>
      </c>
      <c r="BC44" s="131" t="s">
        <v>694</v>
      </c>
      <c r="BD44" s="174"/>
      <c r="BE44" s="174"/>
      <c r="BG44" t="str">
        <f t="shared" si="2"/>
        <v xml:space="preserve">126 tahun 0 bulan </v>
      </c>
      <c r="BI44" t="s">
        <v>1764</v>
      </c>
    </row>
    <row r="45" spans="1:61" ht="18">
      <c r="A45" s="131">
        <v>6</v>
      </c>
      <c r="B45" s="171" t="s">
        <v>592</v>
      </c>
      <c r="C45" s="171" t="s">
        <v>20</v>
      </c>
      <c r="D45" s="171">
        <v>20950024</v>
      </c>
      <c r="E45" s="171">
        <v>7700016100</v>
      </c>
      <c r="F45" s="171" t="s">
        <v>845</v>
      </c>
      <c r="G45" s="131" t="s">
        <v>573</v>
      </c>
      <c r="H45" s="131" t="s">
        <v>1621</v>
      </c>
      <c r="I45" s="131" t="s">
        <v>1947</v>
      </c>
      <c r="J45" s="131" t="s">
        <v>1948</v>
      </c>
      <c r="K45" s="172">
        <v>34779</v>
      </c>
      <c r="L45" s="131">
        <f t="shared" ca="1" si="3"/>
        <v>30</v>
      </c>
      <c r="M45" s="131" t="s">
        <v>1949</v>
      </c>
      <c r="N45" s="131" t="s">
        <v>1592</v>
      </c>
      <c r="O45" s="131">
        <v>3578090508940000</v>
      </c>
      <c r="P45" s="131" t="s">
        <v>1950</v>
      </c>
      <c r="Q45" s="131" t="s">
        <v>1639</v>
      </c>
      <c r="R45" s="173">
        <v>81220285518</v>
      </c>
      <c r="S45" s="131" t="s">
        <v>1951</v>
      </c>
      <c r="T45" s="131" t="s">
        <v>1952</v>
      </c>
      <c r="U45" s="131" t="s">
        <v>1595</v>
      </c>
      <c r="V45" s="173">
        <v>3578236103950000</v>
      </c>
      <c r="W45" s="131" t="s">
        <v>595</v>
      </c>
      <c r="X45" s="131">
        <v>10</v>
      </c>
      <c r="Y45" s="131">
        <v>1</v>
      </c>
      <c r="Z45" s="131" t="s">
        <v>1953</v>
      </c>
      <c r="AA45" s="131" t="s">
        <v>1308</v>
      </c>
      <c r="AB45" s="131" t="s">
        <v>1597</v>
      </c>
      <c r="AC45" s="131" t="s">
        <v>593</v>
      </c>
      <c r="AD45" s="131" t="s">
        <v>1830</v>
      </c>
      <c r="AE45" s="174"/>
      <c r="AF45" s="174"/>
      <c r="AG45" s="174"/>
      <c r="AH45" s="131" t="s">
        <v>1954</v>
      </c>
      <c r="AI45" s="172">
        <v>44036</v>
      </c>
      <c r="AJ45" s="172">
        <v>44044</v>
      </c>
      <c r="AK45" s="174"/>
      <c r="AL45" s="174"/>
      <c r="AM45" s="174"/>
      <c r="AN45" s="131">
        <v>2917613147</v>
      </c>
      <c r="AO45" s="131">
        <v>19046699732</v>
      </c>
      <c r="AP45" s="343"/>
      <c r="AQ45" s="172">
        <v>43252</v>
      </c>
      <c r="AR45" s="131" t="str">
        <f ca="1">DATEDIF(AQ45,TODAY(),"y")&amp;" tahun "&amp;DATEDIF(AQ45,TODAY(),"ym")&amp;" bulan "</f>
        <v xml:space="preserve">7 tahun 7 bulan </v>
      </c>
      <c r="AS45" s="131" t="s">
        <v>1599</v>
      </c>
      <c r="AT45" s="131" t="s">
        <v>594</v>
      </c>
      <c r="AU45" s="131" t="s">
        <v>1725</v>
      </c>
      <c r="AV45" s="131" t="s">
        <v>1955</v>
      </c>
      <c r="AW45" s="131">
        <v>2013</v>
      </c>
      <c r="AX45" s="131">
        <v>2017</v>
      </c>
      <c r="AY45" s="131">
        <v>5130190</v>
      </c>
      <c r="AZ45" s="131" t="s">
        <v>1956</v>
      </c>
      <c r="BA45" s="131" t="s">
        <v>1603</v>
      </c>
      <c r="BB45" s="131" t="s">
        <v>1604</v>
      </c>
      <c r="BC45" s="131" t="s">
        <v>20</v>
      </c>
      <c r="BD45" s="174"/>
      <c r="BE45" s="174"/>
      <c r="BG45" t="str">
        <f t="shared" si="2"/>
        <v xml:space="preserve">7 tahun 7 bulan </v>
      </c>
      <c r="BI45" t="s">
        <v>1604</v>
      </c>
    </row>
    <row r="46" spans="1:61" ht="18">
      <c r="A46" s="131">
        <v>12</v>
      </c>
      <c r="B46" s="171" t="s">
        <v>613</v>
      </c>
      <c r="C46" s="171" t="s">
        <v>20</v>
      </c>
      <c r="D46" s="171">
        <v>22930015</v>
      </c>
      <c r="E46" s="171">
        <v>7700016591</v>
      </c>
      <c r="F46" s="171" t="s">
        <v>845</v>
      </c>
      <c r="G46" s="131" t="s">
        <v>573</v>
      </c>
      <c r="H46" s="131" t="s">
        <v>1621</v>
      </c>
      <c r="I46" s="131" t="s">
        <v>1957</v>
      </c>
      <c r="J46" s="131" t="s">
        <v>1876</v>
      </c>
      <c r="K46" s="172">
        <v>34098</v>
      </c>
      <c r="L46" s="131">
        <f t="shared" ca="1" si="3"/>
        <v>32</v>
      </c>
      <c r="M46" s="131" t="s">
        <v>1958</v>
      </c>
      <c r="N46" s="131" t="s">
        <v>1592</v>
      </c>
      <c r="O46" s="131">
        <v>0</v>
      </c>
      <c r="P46" s="131">
        <v>0</v>
      </c>
      <c r="Q46" s="131">
        <v>0</v>
      </c>
      <c r="R46" s="173">
        <v>82231074322</v>
      </c>
      <c r="S46" s="131" t="s">
        <v>1959</v>
      </c>
      <c r="T46" s="131" t="s">
        <v>1960</v>
      </c>
      <c r="U46" s="131" t="s">
        <v>1595</v>
      </c>
      <c r="V46" s="173">
        <v>3578044905930000</v>
      </c>
      <c r="W46" s="131" t="s">
        <v>615</v>
      </c>
      <c r="X46" s="131">
        <v>3</v>
      </c>
      <c r="Y46" s="131">
        <v>4</v>
      </c>
      <c r="Z46" s="131" t="s">
        <v>1829</v>
      </c>
      <c r="AA46" s="131" t="s">
        <v>1308</v>
      </c>
      <c r="AB46" s="131" t="s">
        <v>1597</v>
      </c>
      <c r="AC46" s="131" t="s">
        <v>593</v>
      </c>
      <c r="AD46" s="131" t="s">
        <v>1830</v>
      </c>
      <c r="AE46" s="174"/>
      <c r="AF46" s="174"/>
      <c r="AG46" s="174"/>
      <c r="AH46" s="131" t="s">
        <v>1961</v>
      </c>
      <c r="AI46" s="172">
        <v>43825</v>
      </c>
      <c r="AJ46" s="172">
        <v>43831</v>
      </c>
      <c r="AK46" s="174"/>
      <c r="AL46" s="174"/>
      <c r="AM46" s="174"/>
      <c r="AN46" s="131">
        <v>1893570636</v>
      </c>
      <c r="AO46" s="131">
        <v>20003723671</v>
      </c>
      <c r="AP46" s="344">
        <v>43600</v>
      </c>
      <c r="AQ46" s="172">
        <v>43831</v>
      </c>
      <c r="AR46" s="131" t="str">
        <f ca="1">DATEDIF(AQ46,TODAY(),"y")&amp;" tahun "&amp;DATEDIF(AQ46,TODAY(),"ym")&amp;" bulan "</f>
        <v xml:space="preserve">6 tahun 0 bulan </v>
      </c>
      <c r="AS46" s="131" t="s">
        <v>1599</v>
      </c>
      <c r="AT46" s="131" t="s">
        <v>614</v>
      </c>
      <c r="AU46" s="131" t="s">
        <v>1725</v>
      </c>
      <c r="AV46" s="131" t="s">
        <v>1726</v>
      </c>
      <c r="AW46" s="131">
        <v>2015</v>
      </c>
      <c r="AX46" s="131">
        <v>2019</v>
      </c>
      <c r="AY46" s="131">
        <v>130315906</v>
      </c>
      <c r="AZ46" s="131" t="s">
        <v>1962</v>
      </c>
      <c r="BA46" s="131" t="s">
        <v>1603</v>
      </c>
      <c r="BB46" s="131" t="s">
        <v>1604</v>
      </c>
      <c r="BC46" s="131" t="s">
        <v>20</v>
      </c>
      <c r="BD46" s="174"/>
      <c r="BE46" s="174"/>
      <c r="BG46" t="str">
        <f t="shared" si="2"/>
        <v xml:space="preserve">6 tahun 0 bulan </v>
      </c>
      <c r="BI46" t="s">
        <v>1604</v>
      </c>
    </row>
    <row r="47" spans="1:61" ht="18">
      <c r="A47" s="131">
        <v>13</v>
      </c>
      <c r="B47" s="171" t="s">
        <v>616</v>
      </c>
      <c r="C47" s="171" t="s">
        <v>20</v>
      </c>
      <c r="D47" s="171">
        <v>22950018</v>
      </c>
      <c r="E47" s="171">
        <v>7700016056</v>
      </c>
      <c r="F47" s="171" t="s">
        <v>845</v>
      </c>
      <c r="G47" s="131" t="s">
        <v>573</v>
      </c>
      <c r="H47" s="131" t="s">
        <v>1621</v>
      </c>
      <c r="I47" s="131" t="s">
        <v>1963</v>
      </c>
      <c r="J47" s="131" t="s">
        <v>1308</v>
      </c>
      <c r="K47" s="172">
        <v>35047</v>
      </c>
      <c r="L47" s="131">
        <f t="shared" ca="1" si="3"/>
        <v>30</v>
      </c>
      <c r="M47" s="131" t="s">
        <v>1964</v>
      </c>
      <c r="N47" s="131" t="s">
        <v>1592</v>
      </c>
      <c r="O47" s="131">
        <v>0</v>
      </c>
      <c r="P47" s="131" t="s">
        <v>1965</v>
      </c>
      <c r="Q47" s="131" t="s">
        <v>1639</v>
      </c>
      <c r="R47" s="173">
        <v>85233100036</v>
      </c>
      <c r="S47" s="131" t="s">
        <v>1966</v>
      </c>
      <c r="T47" s="131" t="s">
        <v>1967</v>
      </c>
      <c r="U47" s="131" t="s">
        <v>1595</v>
      </c>
      <c r="V47" s="173">
        <v>3578065412950000</v>
      </c>
      <c r="W47" s="131" t="s">
        <v>618</v>
      </c>
      <c r="X47" s="131">
        <v>2</v>
      </c>
      <c r="Y47" s="131">
        <v>1</v>
      </c>
      <c r="Z47" s="131" t="s">
        <v>1968</v>
      </c>
      <c r="AA47" s="131" t="s">
        <v>1308</v>
      </c>
      <c r="AB47" s="131" t="s">
        <v>1153</v>
      </c>
      <c r="AC47" s="131" t="s">
        <v>617</v>
      </c>
      <c r="AD47" s="131" t="s">
        <v>1830</v>
      </c>
      <c r="AE47" s="174"/>
      <c r="AF47" s="174"/>
      <c r="AG47" s="174"/>
      <c r="AH47" s="131" t="s">
        <v>1969</v>
      </c>
      <c r="AI47" s="172">
        <v>43825</v>
      </c>
      <c r="AJ47" s="172">
        <v>43831</v>
      </c>
      <c r="AK47" s="174"/>
      <c r="AL47" s="174"/>
      <c r="AM47" s="174"/>
      <c r="AN47" s="131">
        <v>2887304837</v>
      </c>
      <c r="AO47" s="131">
        <v>18033978067</v>
      </c>
      <c r="AP47" s="344">
        <v>43800</v>
      </c>
      <c r="AQ47" s="172">
        <v>43831</v>
      </c>
      <c r="AR47" s="131" t="str">
        <f ca="1">DATEDIF(AQ47,TODAY(),"y")&amp;" tahun "&amp;DATEDIF(AQ47,TODAY(),"ym")&amp;" bulan "</f>
        <v xml:space="preserve">6 tahun 0 bulan </v>
      </c>
      <c r="AS47" s="131" t="s">
        <v>1599</v>
      </c>
      <c r="AT47" s="131" t="s">
        <v>594</v>
      </c>
      <c r="AU47" s="131" t="s">
        <v>1725</v>
      </c>
      <c r="AV47" s="131" t="s">
        <v>1955</v>
      </c>
      <c r="AW47" s="131">
        <v>2013</v>
      </c>
      <c r="AX47" s="131">
        <v>2017</v>
      </c>
      <c r="AY47" s="131">
        <v>5130333</v>
      </c>
      <c r="AZ47" s="131" t="s">
        <v>1970</v>
      </c>
      <c r="BA47" s="131" t="s">
        <v>1603</v>
      </c>
      <c r="BB47" s="131" t="s">
        <v>1604</v>
      </c>
      <c r="BC47" s="131" t="s">
        <v>20</v>
      </c>
      <c r="BD47" s="174"/>
      <c r="BE47" s="174"/>
      <c r="BG47" t="str">
        <f t="shared" si="2"/>
        <v xml:space="preserve">6 tahun 0 bulan </v>
      </c>
      <c r="BI47" t="s">
        <v>1604</v>
      </c>
    </row>
    <row r="48" spans="1:61" ht="18.95">
      <c r="A48" s="131">
        <v>47</v>
      </c>
      <c r="B48" s="171" t="s">
        <v>717</v>
      </c>
      <c r="C48" s="171" t="s">
        <v>20</v>
      </c>
      <c r="D48" s="171">
        <v>82400014</v>
      </c>
      <c r="E48" s="226"/>
      <c r="F48" s="171" t="s">
        <v>1925</v>
      </c>
      <c r="G48" s="131" t="s">
        <v>573</v>
      </c>
      <c r="H48" s="131" t="s">
        <v>1926</v>
      </c>
      <c r="I48" s="131" t="e">
        <v>#N/A</v>
      </c>
      <c r="J48" s="131" t="s">
        <v>1308</v>
      </c>
      <c r="K48" s="172">
        <v>36775</v>
      </c>
      <c r="L48" s="131">
        <f t="shared" ca="1" si="3"/>
        <v>25</v>
      </c>
      <c r="M48" s="174"/>
      <c r="N48" s="131" t="s">
        <v>1624</v>
      </c>
      <c r="O48" s="131">
        <v>0</v>
      </c>
      <c r="P48" s="131">
        <v>0</v>
      </c>
      <c r="Q48" s="131">
        <v>0</v>
      </c>
      <c r="R48" s="173">
        <v>81284320928</v>
      </c>
      <c r="S48" s="174"/>
      <c r="T48" s="131" t="e">
        <v>#N/A</v>
      </c>
      <c r="U48" s="131" t="s">
        <v>1595</v>
      </c>
      <c r="V48" s="173">
        <v>3578230609000000</v>
      </c>
      <c r="W48" s="131" t="s">
        <v>720</v>
      </c>
      <c r="X48" s="131">
        <v>10</v>
      </c>
      <c r="Y48" s="131">
        <v>1</v>
      </c>
      <c r="Z48" s="131" t="s">
        <v>1953</v>
      </c>
      <c r="AA48" s="131" t="s">
        <v>1308</v>
      </c>
      <c r="AB48" s="131" t="s">
        <v>1597</v>
      </c>
      <c r="AC48" s="131" t="s">
        <v>718</v>
      </c>
      <c r="AD48" s="131" t="s">
        <v>1598</v>
      </c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345">
        <v>25013768228</v>
      </c>
      <c r="AP48" s="344">
        <v>45313</v>
      </c>
      <c r="AQ48" s="174"/>
      <c r="AR48" s="174"/>
      <c r="AS48" s="131" t="s">
        <v>1599</v>
      </c>
      <c r="AT48" s="131" t="s">
        <v>719</v>
      </c>
      <c r="AU48" s="131" t="s">
        <v>1971</v>
      </c>
      <c r="AV48" s="131" t="s">
        <v>1972</v>
      </c>
      <c r="AW48" s="174"/>
      <c r="AX48" s="174"/>
      <c r="AY48" s="174"/>
      <c r="AZ48" s="131" t="s">
        <v>1973</v>
      </c>
      <c r="BA48" s="131" t="s">
        <v>775</v>
      </c>
      <c r="BB48" s="131" t="s">
        <v>1604</v>
      </c>
      <c r="BC48" s="131" t="s">
        <v>694</v>
      </c>
      <c r="BD48" s="174"/>
      <c r="BE48" s="174"/>
      <c r="BG48" t="str">
        <f t="shared" si="2"/>
        <v xml:space="preserve">126 tahun 0 bulan </v>
      </c>
      <c r="BI48" t="s">
        <v>1604</v>
      </c>
    </row>
    <row r="49" spans="1:61" ht="18">
      <c r="A49" s="131">
        <v>48</v>
      </c>
      <c r="B49" s="181" t="s">
        <v>721</v>
      </c>
      <c r="C49" s="181" t="s">
        <v>46</v>
      </c>
      <c r="D49" s="181">
        <v>82400016</v>
      </c>
      <c r="E49" s="182"/>
      <c r="F49" s="181" t="s">
        <v>1925</v>
      </c>
      <c r="G49" s="181" t="s">
        <v>573</v>
      </c>
      <c r="H49" s="181" t="s">
        <v>1926</v>
      </c>
      <c r="I49" s="181" t="e">
        <v>#N/A</v>
      </c>
      <c r="J49" s="181" t="s">
        <v>1308</v>
      </c>
      <c r="K49" s="228">
        <v>36871</v>
      </c>
      <c r="L49" s="181">
        <f t="shared" ca="1" si="3"/>
        <v>25</v>
      </c>
      <c r="M49" s="182"/>
      <c r="N49" s="181" t="s">
        <v>1624</v>
      </c>
      <c r="O49" s="181">
        <v>0</v>
      </c>
      <c r="P49" s="181">
        <v>0</v>
      </c>
      <c r="Q49" s="181">
        <v>0</v>
      </c>
      <c r="R49" s="183"/>
      <c r="S49" s="182"/>
      <c r="T49" s="181" t="e">
        <v>#N/A</v>
      </c>
      <c r="U49" s="181" t="s">
        <v>1974</v>
      </c>
      <c r="V49" s="229">
        <v>3578221112000000</v>
      </c>
      <c r="W49" s="181" t="s">
        <v>722</v>
      </c>
      <c r="X49" s="181">
        <v>2</v>
      </c>
      <c r="Y49" s="181">
        <v>5</v>
      </c>
      <c r="Z49" s="181" t="s">
        <v>1975</v>
      </c>
      <c r="AA49" s="181" t="s">
        <v>1308</v>
      </c>
      <c r="AB49" s="181" t="s">
        <v>1597</v>
      </c>
      <c r="AC49" s="181" t="s">
        <v>718</v>
      </c>
      <c r="AD49" s="181" t="s">
        <v>1598</v>
      </c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1" t="s">
        <v>1599</v>
      </c>
      <c r="AT49" s="181" t="s">
        <v>621</v>
      </c>
      <c r="AU49" s="181" t="s">
        <v>1659</v>
      </c>
      <c r="AV49" s="181" t="s">
        <v>235</v>
      </c>
      <c r="AW49" s="182"/>
      <c r="AX49" s="182"/>
      <c r="AY49" s="182"/>
      <c r="AZ49" s="181" t="s">
        <v>1976</v>
      </c>
      <c r="BA49" s="181" t="s">
        <v>775</v>
      </c>
      <c r="BB49" s="182"/>
      <c r="BC49" s="181" t="s">
        <v>46</v>
      </c>
      <c r="BD49" s="182"/>
      <c r="BE49" s="182"/>
      <c r="BI49" t="s">
        <v>1604</v>
      </c>
    </row>
    <row r="50" spans="1:61" ht="18.95">
      <c r="A50" s="131">
        <v>49</v>
      </c>
      <c r="B50" s="171" t="s">
        <v>723</v>
      </c>
      <c r="C50" s="171" t="s">
        <v>20</v>
      </c>
      <c r="D50" s="171">
        <v>82401017</v>
      </c>
      <c r="E50" s="226"/>
      <c r="F50" s="171" t="s">
        <v>1925</v>
      </c>
      <c r="G50" s="131" t="s">
        <v>573</v>
      </c>
      <c r="H50" s="131" t="s">
        <v>1926</v>
      </c>
      <c r="I50" s="131" t="e">
        <v>#N/A</v>
      </c>
      <c r="J50" s="131" t="s">
        <v>1617</v>
      </c>
      <c r="K50" s="172">
        <v>36951</v>
      </c>
      <c r="L50" s="131">
        <f t="shared" ca="1" si="3"/>
        <v>24</v>
      </c>
      <c r="M50" s="174"/>
      <c r="N50" s="131" t="s">
        <v>1624</v>
      </c>
      <c r="O50" s="131">
        <v>0</v>
      </c>
      <c r="P50" s="131">
        <v>0</v>
      </c>
      <c r="Q50" s="131">
        <v>0</v>
      </c>
      <c r="R50" s="173">
        <v>81231909102</v>
      </c>
      <c r="S50" s="174"/>
      <c r="T50" s="131" t="e">
        <v>#N/A</v>
      </c>
      <c r="U50" s="131" t="s">
        <v>1595</v>
      </c>
      <c r="V50" s="173">
        <v>3515130103010000</v>
      </c>
      <c r="W50" s="131" t="s">
        <v>725</v>
      </c>
      <c r="X50" s="131">
        <v>19</v>
      </c>
      <c r="Y50" s="131">
        <v>3</v>
      </c>
      <c r="Z50" s="131" t="s">
        <v>1977</v>
      </c>
      <c r="AA50" s="131" t="s">
        <v>1617</v>
      </c>
      <c r="AB50" s="131" t="s">
        <v>1597</v>
      </c>
      <c r="AC50" s="131" t="s">
        <v>724</v>
      </c>
      <c r="AD50" s="131" t="s">
        <v>1668</v>
      </c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345">
        <v>25013768236</v>
      </c>
      <c r="AP50" s="344">
        <v>45293</v>
      </c>
      <c r="AQ50" s="174"/>
      <c r="AR50" s="174"/>
      <c r="AS50" s="131" t="s">
        <v>1599</v>
      </c>
      <c r="AT50" s="131" t="s">
        <v>575</v>
      </c>
      <c r="AU50" s="131" t="s">
        <v>1659</v>
      </c>
      <c r="AV50" s="131" t="s">
        <v>370</v>
      </c>
      <c r="AW50" s="174"/>
      <c r="AX50" s="174"/>
      <c r="AY50" s="174"/>
      <c r="AZ50" s="131" t="s">
        <v>1978</v>
      </c>
      <c r="BA50" s="131" t="s">
        <v>775</v>
      </c>
      <c r="BB50" s="131" t="s">
        <v>1604</v>
      </c>
      <c r="BC50" s="131" t="s">
        <v>694</v>
      </c>
      <c r="BD50" s="174"/>
      <c r="BE50" s="174"/>
      <c r="BG50" t="str">
        <f t="shared" ref="BG50:BG56" si="4">DATEDIF(AQ50,DATE(2026,1,1),"y")&amp;" tahun "&amp;DATEDIF(AQ50,DATE(2026,1,1),"ym")&amp;" bulan "</f>
        <v xml:space="preserve">126 tahun 0 bulan </v>
      </c>
      <c r="BI50" t="s">
        <v>1604</v>
      </c>
    </row>
    <row r="51" spans="1:61" ht="18.95">
      <c r="A51" s="131">
        <v>50</v>
      </c>
      <c r="B51" s="171" t="s">
        <v>726</v>
      </c>
      <c r="C51" s="171" t="s">
        <v>20</v>
      </c>
      <c r="D51" s="171">
        <v>82400018</v>
      </c>
      <c r="E51" s="226"/>
      <c r="F51" s="171" t="s">
        <v>1925</v>
      </c>
      <c r="G51" s="131" t="s">
        <v>573</v>
      </c>
      <c r="H51" s="131" t="s">
        <v>1926</v>
      </c>
      <c r="I51" s="131" t="e">
        <v>#N/A</v>
      </c>
      <c r="J51" s="131" t="s">
        <v>1308</v>
      </c>
      <c r="K51" s="172">
        <v>36539</v>
      </c>
      <c r="L51" s="131">
        <f t="shared" ca="1" si="3"/>
        <v>26</v>
      </c>
      <c r="M51" s="174"/>
      <c r="N51" s="131" t="s">
        <v>1624</v>
      </c>
      <c r="O51" s="131">
        <v>0</v>
      </c>
      <c r="P51" s="131">
        <v>0</v>
      </c>
      <c r="Q51" s="131">
        <v>0</v>
      </c>
      <c r="R51" s="173">
        <v>82132977153</v>
      </c>
      <c r="S51" s="174"/>
      <c r="T51" s="131" t="e">
        <v>#N/A</v>
      </c>
      <c r="U51" s="131" t="s">
        <v>1595</v>
      </c>
      <c r="V51" s="173">
        <v>3515185401000000</v>
      </c>
      <c r="W51" s="131" t="s">
        <v>727</v>
      </c>
      <c r="X51" s="131">
        <v>2</v>
      </c>
      <c r="Y51" s="131">
        <v>9</v>
      </c>
      <c r="Z51" s="131" t="s">
        <v>1979</v>
      </c>
      <c r="AA51" s="131" t="s">
        <v>1617</v>
      </c>
      <c r="AB51" s="131" t="s">
        <v>1597</v>
      </c>
      <c r="AC51" s="131" t="s">
        <v>646</v>
      </c>
      <c r="AD51" s="131" t="s">
        <v>1598</v>
      </c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345">
        <v>25013768244</v>
      </c>
      <c r="AP51" s="344">
        <v>45250</v>
      </c>
      <c r="AQ51" s="174"/>
      <c r="AR51" s="174"/>
      <c r="AS51" s="131" t="s">
        <v>1599</v>
      </c>
      <c r="AT51" s="131" t="s">
        <v>575</v>
      </c>
      <c r="AU51" s="131" t="s">
        <v>1659</v>
      </c>
      <c r="AV51" s="131" t="s">
        <v>370</v>
      </c>
      <c r="AW51" s="174"/>
      <c r="AX51" s="174"/>
      <c r="AY51" s="174"/>
      <c r="AZ51" s="131" t="s">
        <v>1980</v>
      </c>
      <c r="BA51" s="131" t="s">
        <v>1603</v>
      </c>
      <c r="BB51" s="131" t="s">
        <v>1604</v>
      </c>
      <c r="BC51" s="131" t="s">
        <v>694</v>
      </c>
      <c r="BD51" s="174"/>
      <c r="BE51" s="174"/>
      <c r="BG51" t="str">
        <f t="shared" si="4"/>
        <v xml:space="preserve">126 tahun 0 bulan </v>
      </c>
      <c r="BI51" t="s">
        <v>1604</v>
      </c>
    </row>
    <row r="52" spans="1:61" s="187" customFormat="1" ht="18">
      <c r="A52" s="131">
        <v>51</v>
      </c>
      <c r="B52" s="181" t="s">
        <v>728</v>
      </c>
      <c r="C52" s="181" t="s">
        <v>46</v>
      </c>
      <c r="D52" s="230" t="s">
        <v>730</v>
      </c>
      <c r="E52" s="182"/>
      <c r="F52" s="181" t="s">
        <v>1925</v>
      </c>
      <c r="G52" s="181" t="s">
        <v>573</v>
      </c>
      <c r="H52" s="181" t="s">
        <v>1926</v>
      </c>
      <c r="I52" s="181" t="e">
        <v>#N/A</v>
      </c>
      <c r="J52" s="181" t="s">
        <v>1825</v>
      </c>
      <c r="K52" s="228">
        <v>37361</v>
      </c>
      <c r="L52" s="181">
        <f t="shared" ca="1" si="3"/>
        <v>23</v>
      </c>
      <c r="M52" s="182"/>
      <c r="N52" s="181" t="s">
        <v>1624</v>
      </c>
      <c r="O52" s="181">
        <v>0</v>
      </c>
      <c r="P52" s="181">
        <v>0</v>
      </c>
      <c r="Q52" s="181">
        <v>0</v>
      </c>
      <c r="R52" s="229">
        <v>8979851493</v>
      </c>
      <c r="S52" s="182"/>
      <c r="T52" s="181" t="e">
        <v>#N/A</v>
      </c>
      <c r="U52" s="181" t="s">
        <v>1595</v>
      </c>
      <c r="V52" s="229">
        <v>3525101504020000</v>
      </c>
      <c r="W52" s="181" t="s">
        <v>731</v>
      </c>
      <c r="X52" s="181">
        <v>2</v>
      </c>
      <c r="Y52" s="181">
        <v>2</v>
      </c>
      <c r="Z52" s="181" t="s">
        <v>1981</v>
      </c>
      <c r="AA52" s="181" t="s">
        <v>1825</v>
      </c>
      <c r="AB52" s="181" t="s">
        <v>1597</v>
      </c>
      <c r="AC52" s="181" t="s">
        <v>729</v>
      </c>
      <c r="AD52" s="181" t="s">
        <v>1863</v>
      </c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1" t="s">
        <v>1599</v>
      </c>
      <c r="AT52" s="181" t="s">
        <v>621</v>
      </c>
      <c r="AU52" s="181" t="s">
        <v>1659</v>
      </c>
      <c r="AV52" s="181" t="s">
        <v>1982</v>
      </c>
      <c r="AW52" s="181">
        <v>2020</v>
      </c>
      <c r="AX52" s="181">
        <v>2024</v>
      </c>
      <c r="AY52" s="181">
        <v>1204200115</v>
      </c>
      <c r="AZ52" s="181" t="s">
        <v>1983</v>
      </c>
      <c r="BA52" s="181" t="s">
        <v>775</v>
      </c>
      <c r="BB52" s="181" t="s">
        <v>1647</v>
      </c>
      <c r="BC52" s="181" t="s">
        <v>694</v>
      </c>
      <c r="BD52" s="182"/>
      <c r="BE52" s="182"/>
      <c r="BG52" s="187" t="str">
        <f t="shared" si="4"/>
        <v xml:space="preserve">126 tahun 0 bulan </v>
      </c>
      <c r="BI52" t="s">
        <v>1604</v>
      </c>
    </row>
    <row r="53" spans="1:61" ht="18.95">
      <c r="A53" s="131">
        <v>52</v>
      </c>
      <c r="B53" s="171" t="s">
        <v>732</v>
      </c>
      <c r="C53" s="171" t="s">
        <v>20</v>
      </c>
      <c r="D53" s="177" t="s">
        <v>733</v>
      </c>
      <c r="E53" s="226"/>
      <c r="F53" s="171" t="s">
        <v>1925</v>
      </c>
      <c r="G53" s="131" t="s">
        <v>573</v>
      </c>
      <c r="H53" s="131" t="s">
        <v>1926</v>
      </c>
      <c r="I53" s="131" t="s">
        <v>1984</v>
      </c>
      <c r="J53" s="131" t="s">
        <v>1308</v>
      </c>
      <c r="K53" s="172">
        <v>36819</v>
      </c>
      <c r="L53" s="131">
        <f t="shared" ca="1" si="3"/>
        <v>25</v>
      </c>
      <c r="M53" s="174"/>
      <c r="N53" s="131" t="s">
        <v>1624</v>
      </c>
      <c r="O53" s="131">
        <v>0</v>
      </c>
      <c r="P53" s="131">
        <v>0</v>
      </c>
      <c r="Q53" s="131">
        <v>0</v>
      </c>
      <c r="R53" s="173">
        <v>82245557424</v>
      </c>
      <c r="S53" s="174"/>
      <c r="T53" s="131" t="e">
        <v>#N/A</v>
      </c>
      <c r="U53" s="131" t="s">
        <v>1985</v>
      </c>
      <c r="V53" s="173">
        <v>3578135210000000</v>
      </c>
      <c r="W53" s="131" t="s">
        <v>735</v>
      </c>
      <c r="X53" s="131">
        <v>2</v>
      </c>
      <c r="Y53" s="131">
        <v>15</v>
      </c>
      <c r="Z53" s="131" t="s">
        <v>1986</v>
      </c>
      <c r="AA53" s="131" t="s">
        <v>1308</v>
      </c>
      <c r="AB53" s="131" t="s">
        <v>1597</v>
      </c>
      <c r="AC53" s="131" t="s">
        <v>646</v>
      </c>
      <c r="AD53" s="131" t="s">
        <v>1598</v>
      </c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345">
        <v>25013768269</v>
      </c>
      <c r="AP53" s="344">
        <v>45524</v>
      </c>
      <c r="AQ53" s="174"/>
      <c r="AR53" s="174"/>
      <c r="AS53" s="131" t="s">
        <v>1599</v>
      </c>
      <c r="AT53" s="131" t="s">
        <v>734</v>
      </c>
      <c r="AU53" s="131" t="s">
        <v>1611</v>
      </c>
      <c r="AV53" s="131" t="s">
        <v>1987</v>
      </c>
      <c r="AW53" s="131">
        <v>2018</v>
      </c>
      <c r="AX53" s="131">
        <v>2022</v>
      </c>
      <c r="AY53" s="174"/>
      <c r="AZ53" s="131" t="s">
        <v>1988</v>
      </c>
      <c r="BA53" s="131" t="s">
        <v>1603</v>
      </c>
      <c r="BB53" s="131" t="s">
        <v>1604</v>
      </c>
      <c r="BC53" s="131" t="s">
        <v>694</v>
      </c>
      <c r="BD53" s="174"/>
      <c r="BE53" s="174"/>
      <c r="BG53" t="str">
        <f t="shared" si="4"/>
        <v xml:space="preserve">126 tahun 0 bulan </v>
      </c>
      <c r="BI53" t="s">
        <v>1604</v>
      </c>
    </row>
    <row r="54" spans="1:61" s="130" customFormat="1" ht="18">
      <c r="A54" s="131">
        <v>53</v>
      </c>
      <c r="B54" s="391" t="s">
        <v>736</v>
      </c>
      <c r="C54" s="391" t="s">
        <v>20</v>
      </c>
      <c r="D54" s="392" t="s">
        <v>737</v>
      </c>
      <c r="E54" s="391"/>
      <c r="F54" s="391" t="s">
        <v>1925</v>
      </c>
      <c r="G54" s="391" t="s">
        <v>573</v>
      </c>
      <c r="H54" s="131" t="s">
        <v>1926</v>
      </c>
      <c r="I54" s="131" t="e">
        <v>#N/A</v>
      </c>
      <c r="J54" s="391" t="s">
        <v>1308</v>
      </c>
      <c r="K54" s="172">
        <v>36974</v>
      </c>
      <c r="L54" s="131">
        <f t="shared" ca="1" si="3"/>
        <v>24</v>
      </c>
      <c r="M54" s="391"/>
      <c r="N54" s="131" t="s">
        <v>1624</v>
      </c>
      <c r="O54" s="131">
        <v>0</v>
      </c>
      <c r="P54" s="131">
        <v>0</v>
      </c>
      <c r="Q54" s="131">
        <v>0</v>
      </c>
      <c r="R54" s="173">
        <v>83831760068</v>
      </c>
      <c r="S54" s="131"/>
      <c r="T54" s="131" t="e">
        <v>#N/A</v>
      </c>
      <c r="U54" s="131" t="s">
        <v>1595</v>
      </c>
      <c r="V54" s="393">
        <v>3578222403010000</v>
      </c>
      <c r="W54" s="391" t="s">
        <v>738</v>
      </c>
      <c r="X54" s="391">
        <v>6</v>
      </c>
      <c r="Y54" s="391">
        <v>6</v>
      </c>
      <c r="Z54" s="391" t="s">
        <v>1989</v>
      </c>
      <c r="AA54" s="391" t="s">
        <v>1308</v>
      </c>
      <c r="AB54" s="391" t="s">
        <v>1597</v>
      </c>
      <c r="AC54" s="131" t="s">
        <v>729</v>
      </c>
      <c r="AD54" s="131" t="s">
        <v>1863</v>
      </c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>
        <v>25013768277</v>
      </c>
      <c r="AP54" s="344">
        <v>45593</v>
      </c>
      <c r="AQ54" s="131"/>
      <c r="AR54" s="131"/>
      <c r="AS54" s="131" t="s">
        <v>1599</v>
      </c>
      <c r="AT54" s="131" t="s">
        <v>621</v>
      </c>
      <c r="AU54" s="131" t="s">
        <v>1659</v>
      </c>
      <c r="AV54" s="131" t="s">
        <v>524</v>
      </c>
      <c r="AW54" s="131"/>
      <c r="AX54" s="131"/>
      <c r="AY54" s="131"/>
      <c r="AZ54" s="391" t="s">
        <v>1990</v>
      </c>
      <c r="BA54" s="391" t="s">
        <v>775</v>
      </c>
      <c r="BB54" s="131" t="s">
        <v>1647</v>
      </c>
      <c r="BC54" s="131" t="s">
        <v>694</v>
      </c>
      <c r="BD54" s="131"/>
      <c r="BE54" s="131"/>
      <c r="BF54" s="394"/>
      <c r="BG54" t="str">
        <f t="shared" si="4"/>
        <v xml:space="preserve">126 tahun 0 bulan </v>
      </c>
      <c r="BH54" s="394"/>
      <c r="BI54" t="s">
        <v>1604</v>
      </c>
    </row>
    <row r="55" spans="1:61" s="130" customFormat="1" ht="18">
      <c r="A55" s="375">
        <v>54</v>
      </c>
      <c r="B55" s="395" t="s">
        <v>1991</v>
      </c>
      <c r="C55" s="395" t="s">
        <v>20</v>
      </c>
      <c r="D55" s="396" t="s">
        <v>1992</v>
      </c>
      <c r="E55" s="395"/>
      <c r="F55" s="395" t="s">
        <v>1925</v>
      </c>
      <c r="G55" s="395" t="s">
        <v>573</v>
      </c>
      <c r="H55" s="375" t="s">
        <v>1926</v>
      </c>
      <c r="I55" s="375" t="e">
        <v>#N/A</v>
      </c>
      <c r="J55" s="395" t="s">
        <v>1312</v>
      </c>
      <c r="K55" s="397">
        <v>36425</v>
      </c>
      <c r="L55" s="375">
        <f t="shared" ca="1" si="3"/>
        <v>26</v>
      </c>
      <c r="M55" s="395"/>
      <c r="N55" s="375" t="s">
        <v>1624</v>
      </c>
      <c r="O55" s="375">
        <v>0</v>
      </c>
      <c r="P55" s="375">
        <v>0</v>
      </c>
      <c r="Q55" s="375">
        <v>0</v>
      </c>
      <c r="R55" s="398">
        <v>85875161643</v>
      </c>
      <c r="S55" s="375"/>
      <c r="T55" s="131" t="e">
        <v>#N/A</v>
      </c>
      <c r="U55" s="375" t="s">
        <v>1595</v>
      </c>
      <c r="V55" s="399">
        <v>3573036209990000</v>
      </c>
      <c r="W55" s="395" t="s">
        <v>1993</v>
      </c>
      <c r="X55" s="395">
        <v>5</v>
      </c>
      <c r="Y55" s="395">
        <v>5</v>
      </c>
      <c r="Z55" s="395" t="s">
        <v>1994</v>
      </c>
      <c r="AA55" s="395" t="s">
        <v>1312</v>
      </c>
      <c r="AB55" s="395" t="s">
        <v>1597</v>
      </c>
      <c r="AC55" s="375" t="s">
        <v>1995</v>
      </c>
      <c r="AD55" s="375" t="s">
        <v>1853</v>
      </c>
      <c r="AE55" s="375"/>
      <c r="AF55" s="375"/>
      <c r="AG55" s="375"/>
      <c r="AH55" s="375"/>
      <c r="AI55" s="375"/>
      <c r="AJ55" s="375"/>
      <c r="AK55" s="375"/>
      <c r="AL55" s="375"/>
      <c r="AM55" s="375"/>
      <c r="AN55" s="375"/>
      <c r="AO55" s="375"/>
      <c r="AP55" s="376">
        <v>45818</v>
      </c>
      <c r="AQ55" s="375"/>
      <c r="AR55" s="375"/>
      <c r="AS55" s="375" t="s">
        <v>1599</v>
      </c>
      <c r="AT55" s="375" t="s">
        <v>614</v>
      </c>
      <c r="AU55" s="375" t="s">
        <v>1996</v>
      </c>
      <c r="AV55" s="375" t="s">
        <v>1731</v>
      </c>
      <c r="AW55" s="375">
        <v>2025</v>
      </c>
      <c r="AX55" s="375"/>
      <c r="AY55" s="375"/>
      <c r="AZ55" s="395" t="s">
        <v>1997</v>
      </c>
      <c r="BA55" s="395" t="s">
        <v>1603</v>
      </c>
      <c r="BB55" s="375" t="s">
        <v>1604</v>
      </c>
      <c r="BC55" s="131" t="s">
        <v>694</v>
      </c>
      <c r="BD55" s="375"/>
      <c r="BE55" s="375"/>
      <c r="BF55" s="394"/>
      <c r="BG55" t="str">
        <f t="shared" si="4"/>
        <v xml:space="preserve">126 tahun 0 bulan </v>
      </c>
      <c r="BH55" s="394"/>
      <c r="BI55" t="s">
        <v>1604</v>
      </c>
    </row>
    <row r="56" spans="1:61" s="130" customFormat="1" ht="19.5" customHeight="1">
      <c r="A56" s="131">
        <v>55</v>
      </c>
      <c r="B56" s="391" t="s">
        <v>1998</v>
      </c>
      <c r="C56" s="391" t="s">
        <v>20</v>
      </c>
      <c r="D56" s="400" t="s">
        <v>1999</v>
      </c>
      <c r="E56" s="391"/>
      <c r="F56" s="391" t="s">
        <v>1925</v>
      </c>
      <c r="G56" s="391" t="s">
        <v>573</v>
      </c>
      <c r="H56" s="131" t="s">
        <v>1926</v>
      </c>
      <c r="I56" s="375" t="e">
        <v>#N/A</v>
      </c>
      <c r="J56" s="391" t="s">
        <v>1617</v>
      </c>
      <c r="K56" s="172">
        <v>37790</v>
      </c>
      <c r="L56" s="131">
        <f t="shared" ca="1" si="3"/>
        <v>22</v>
      </c>
      <c r="M56" s="391"/>
      <c r="N56" s="131" t="s">
        <v>1624</v>
      </c>
      <c r="O56" s="131">
        <v>0</v>
      </c>
      <c r="P56" s="131">
        <v>0</v>
      </c>
      <c r="Q56" s="131">
        <v>0</v>
      </c>
      <c r="R56" s="401">
        <v>82140389989</v>
      </c>
      <c r="S56" s="131"/>
      <c r="T56" s="131" t="e">
        <v>#N/A</v>
      </c>
      <c r="U56" s="131" t="s">
        <v>1595</v>
      </c>
      <c r="V56" s="402" t="s">
        <v>2000</v>
      </c>
      <c r="W56" s="391" t="s">
        <v>2001</v>
      </c>
      <c r="X56" s="391">
        <v>3</v>
      </c>
      <c r="Y56" s="391">
        <v>1</v>
      </c>
      <c r="Z56" s="391" t="s">
        <v>2002</v>
      </c>
      <c r="AA56" s="391" t="s">
        <v>1617</v>
      </c>
      <c r="AB56" s="391" t="s">
        <v>1597</v>
      </c>
      <c r="AC56" s="131" t="s">
        <v>729</v>
      </c>
      <c r="AD56" s="131" t="s">
        <v>1863</v>
      </c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344">
        <v>45964</v>
      </c>
      <c r="AQ56" s="131"/>
      <c r="AR56" s="131"/>
      <c r="AS56" s="131" t="s">
        <v>1599</v>
      </c>
      <c r="AT56" s="131" t="s">
        <v>621</v>
      </c>
      <c r="AU56" s="131" t="s">
        <v>2003</v>
      </c>
      <c r="AV56" s="131" t="s">
        <v>524</v>
      </c>
      <c r="AW56" s="131"/>
      <c r="AX56" s="131">
        <v>2025</v>
      </c>
      <c r="AY56" s="403" t="s">
        <v>2004</v>
      </c>
      <c r="AZ56" s="391" t="s">
        <v>2005</v>
      </c>
      <c r="BA56" s="391" t="s">
        <v>775</v>
      </c>
      <c r="BB56" s="131" t="s">
        <v>1647</v>
      </c>
      <c r="BC56" s="131" t="s">
        <v>694</v>
      </c>
      <c r="BD56" s="131"/>
      <c r="BE56" s="131"/>
      <c r="BF56" s="394"/>
      <c r="BG56" t="str">
        <f t="shared" si="4"/>
        <v xml:space="preserve">126 tahun 0 bulan </v>
      </c>
      <c r="BH56" s="394"/>
      <c r="BI56"/>
    </row>
    <row r="57" spans="1:61" ht="18">
      <c r="B57" s="404" t="s">
        <v>739</v>
      </c>
      <c r="C57" s="225" t="s">
        <v>46</v>
      </c>
      <c r="D57" s="405">
        <v>13229922</v>
      </c>
      <c r="E57" s="187"/>
      <c r="F57" s="225" t="s">
        <v>884</v>
      </c>
      <c r="G57" s="406" t="s">
        <v>573</v>
      </c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377"/>
      <c r="S57" s="187"/>
      <c r="T57" s="187"/>
      <c r="U57" s="187"/>
      <c r="V57" s="377"/>
      <c r="W57" s="187"/>
      <c r="X57" s="187"/>
      <c r="Y57" s="187"/>
      <c r="Z57" s="187"/>
      <c r="AA57" s="187"/>
      <c r="AB57" s="407" t="s">
        <v>1597</v>
      </c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408" t="s">
        <v>1603</v>
      </c>
      <c r="BB57" s="187"/>
      <c r="BC57" s="378" t="s">
        <v>46</v>
      </c>
      <c r="BD57" s="187"/>
      <c r="BE57" s="379">
        <v>45139</v>
      </c>
    </row>
    <row r="58" spans="1:61" ht="18">
      <c r="B58" s="407" t="s">
        <v>740</v>
      </c>
      <c r="C58" s="144" t="s">
        <v>46</v>
      </c>
      <c r="D58" s="409">
        <v>20970009</v>
      </c>
      <c r="E58" s="187"/>
      <c r="F58" s="144" t="s">
        <v>884</v>
      </c>
      <c r="G58" s="410" t="s">
        <v>573</v>
      </c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377"/>
      <c r="S58" s="187"/>
      <c r="T58" s="187"/>
      <c r="U58" s="187"/>
      <c r="V58" s="377"/>
      <c r="W58" s="187"/>
      <c r="X58" s="187"/>
      <c r="Y58" s="187"/>
      <c r="Z58" s="187"/>
      <c r="AA58" s="187"/>
      <c r="AB58" s="407" t="s">
        <v>1597</v>
      </c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408" t="s">
        <v>1603</v>
      </c>
      <c r="BB58" s="187"/>
      <c r="BC58" s="380" t="s">
        <v>46</v>
      </c>
      <c r="BD58" s="187"/>
      <c r="BE58" s="379">
        <v>45195</v>
      </c>
    </row>
    <row r="59" spans="1:61" ht="18">
      <c r="B59" s="407" t="s">
        <v>741</v>
      </c>
      <c r="C59" s="144" t="s">
        <v>46</v>
      </c>
      <c r="D59" s="409">
        <v>20970018</v>
      </c>
      <c r="E59" s="187"/>
      <c r="F59" s="144" t="s">
        <v>884</v>
      </c>
      <c r="G59" s="410" t="s">
        <v>573</v>
      </c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377"/>
      <c r="S59" s="187"/>
      <c r="T59" s="187"/>
      <c r="U59" s="187"/>
      <c r="V59" s="377"/>
      <c r="W59" s="187"/>
      <c r="X59" s="187"/>
      <c r="Y59" s="187"/>
      <c r="Z59" s="187"/>
      <c r="AA59" s="187"/>
      <c r="AB59" s="407" t="s">
        <v>1597</v>
      </c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408" t="s">
        <v>1603</v>
      </c>
      <c r="BB59" s="187"/>
      <c r="BC59" s="380" t="s">
        <v>46</v>
      </c>
      <c r="BD59" s="187"/>
      <c r="BE59" s="379">
        <v>45292</v>
      </c>
    </row>
    <row r="60" spans="1:61" ht="18">
      <c r="B60" s="407" t="s">
        <v>742</v>
      </c>
      <c r="C60" s="144" t="s">
        <v>46</v>
      </c>
      <c r="D60" s="409">
        <v>22950004</v>
      </c>
      <c r="E60" s="187"/>
      <c r="F60" s="144" t="s">
        <v>884</v>
      </c>
      <c r="G60" s="410" t="s">
        <v>573</v>
      </c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377"/>
      <c r="S60" s="187"/>
      <c r="T60" s="187"/>
      <c r="U60" s="187"/>
      <c r="V60" s="377"/>
      <c r="W60" s="187"/>
      <c r="X60" s="187"/>
      <c r="Y60" s="187"/>
      <c r="Z60" s="187"/>
      <c r="AA60" s="187"/>
      <c r="AB60" s="407" t="s">
        <v>1597</v>
      </c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408" t="s">
        <v>1603</v>
      </c>
      <c r="BB60" s="187"/>
      <c r="BC60" s="380" t="s">
        <v>46</v>
      </c>
      <c r="BD60" s="187"/>
      <c r="BE60" s="379">
        <v>45292</v>
      </c>
    </row>
    <row r="61" spans="1:61" ht="18">
      <c r="B61" s="407" t="s">
        <v>743</v>
      </c>
      <c r="C61" s="144" t="s">
        <v>46</v>
      </c>
      <c r="D61" s="409">
        <v>22920015</v>
      </c>
      <c r="E61" s="187"/>
      <c r="F61" s="144" t="s">
        <v>884</v>
      </c>
      <c r="G61" s="410" t="s">
        <v>573</v>
      </c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377"/>
      <c r="S61" s="187"/>
      <c r="T61" s="187"/>
      <c r="U61" s="187"/>
      <c r="V61" s="377"/>
      <c r="W61" s="187"/>
      <c r="X61" s="187"/>
      <c r="Y61" s="187"/>
      <c r="Z61" s="187"/>
      <c r="AA61" s="187"/>
      <c r="AB61" s="407" t="s">
        <v>1597</v>
      </c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408" t="s">
        <v>1603</v>
      </c>
      <c r="BB61" s="187"/>
      <c r="BC61" s="380" t="s">
        <v>46</v>
      </c>
      <c r="BD61" s="187"/>
      <c r="BE61" s="379">
        <v>44866</v>
      </c>
    </row>
    <row r="62" spans="1:61" ht="18">
      <c r="B62" s="407" t="s">
        <v>744</v>
      </c>
      <c r="C62" s="144" t="s">
        <v>46</v>
      </c>
      <c r="D62" s="409">
        <v>23980025</v>
      </c>
      <c r="E62" s="187"/>
      <c r="F62" s="144" t="s">
        <v>884</v>
      </c>
      <c r="G62" s="410" t="s">
        <v>573</v>
      </c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377"/>
      <c r="S62" s="187"/>
      <c r="T62" s="187"/>
      <c r="U62" s="187"/>
      <c r="V62" s="377"/>
      <c r="W62" s="187"/>
      <c r="X62" s="187"/>
      <c r="Y62" s="187"/>
      <c r="Z62" s="187"/>
      <c r="AA62" s="187"/>
      <c r="AB62" s="407" t="s">
        <v>1597</v>
      </c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408" t="s">
        <v>1603</v>
      </c>
      <c r="BB62" s="187"/>
      <c r="BC62" s="380" t="s">
        <v>46</v>
      </c>
      <c r="BD62" s="187"/>
      <c r="BE62" s="379">
        <v>45292</v>
      </c>
    </row>
    <row r="63" spans="1:61" ht="18">
      <c r="B63" s="407" t="s">
        <v>745</v>
      </c>
      <c r="C63" s="144" t="s">
        <v>46</v>
      </c>
      <c r="D63" s="409"/>
      <c r="E63" s="187"/>
      <c r="F63" s="144" t="s">
        <v>884</v>
      </c>
      <c r="G63" s="410" t="s">
        <v>573</v>
      </c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377"/>
      <c r="S63" s="187"/>
      <c r="T63" s="187"/>
      <c r="U63" s="187"/>
      <c r="V63" s="377"/>
      <c r="W63" s="187"/>
      <c r="X63" s="187"/>
      <c r="Y63" s="187"/>
      <c r="Z63" s="187"/>
      <c r="AA63" s="187"/>
      <c r="AB63" s="407" t="s">
        <v>1597</v>
      </c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408" t="s">
        <v>1603</v>
      </c>
      <c r="BB63" s="187"/>
      <c r="BC63" s="380" t="s">
        <v>46</v>
      </c>
      <c r="BD63" s="187"/>
      <c r="BE63" s="379"/>
    </row>
    <row r="64" spans="1:61" ht="18">
      <c r="A64" s="1"/>
      <c r="B64" s="144" t="s">
        <v>746</v>
      </c>
      <c r="C64" s="144" t="s">
        <v>46</v>
      </c>
      <c r="D64" s="409">
        <v>23920004</v>
      </c>
      <c r="E64" s="381"/>
      <c r="F64" s="144" t="s">
        <v>884</v>
      </c>
      <c r="G64" s="144" t="s">
        <v>573</v>
      </c>
      <c r="H64" s="144" t="s">
        <v>1605</v>
      </c>
      <c r="I64" s="144" t="s">
        <v>2006</v>
      </c>
      <c r="J64" s="144" t="s">
        <v>2007</v>
      </c>
      <c r="K64" s="382">
        <v>33655</v>
      </c>
      <c r="L64" s="144">
        <f ca="1">DATEDIF(K64,TODAY(),"y")</f>
        <v>33</v>
      </c>
      <c r="M64" s="144" t="s">
        <v>2008</v>
      </c>
      <c r="N64" s="144" t="s">
        <v>1592</v>
      </c>
      <c r="O64" s="144">
        <v>0</v>
      </c>
      <c r="P64" s="144">
        <v>0</v>
      </c>
      <c r="Q64" s="144">
        <v>0</v>
      </c>
      <c r="R64" s="383">
        <v>81231885564</v>
      </c>
      <c r="S64" s="384" t="s">
        <v>2009</v>
      </c>
      <c r="T64" s="144" t="s">
        <v>2010</v>
      </c>
      <c r="U64" s="144" t="s">
        <v>1595</v>
      </c>
      <c r="V64" s="383">
        <v>3509192102920000</v>
      </c>
      <c r="W64" s="144" t="s">
        <v>748</v>
      </c>
      <c r="X64" s="144">
        <v>2</v>
      </c>
      <c r="Y64" s="144">
        <v>4</v>
      </c>
      <c r="Z64" s="144" t="s">
        <v>2011</v>
      </c>
      <c r="AA64" s="144" t="s">
        <v>2007</v>
      </c>
      <c r="AB64" s="144" t="s">
        <v>1597</v>
      </c>
      <c r="AC64" s="144" t="s">
        <v>747</v>
      </c>
      <c r="AD64" s="144" t="s">
        <v>1863</v>
      </c>
      <c r="AE64" s="381"/>
      <c r="AF64" s="381"/>
      <c r="AG64" s="381"/>
      <c r="AH64" s="381"/>
      <c r="AI64" s="381"/>
      <c r="AJ64" s="381"/>
      <c r="AK64" s="381"/>
      <c r="AL64" s="381"/>
      <c r="AM64" s="381"/>
      <c r="AN64" s="381"/>
      <c r="AO64" s="381"/>
      <c r="AP64" s="381"/>
      <c r="AQ64" s="382">
        <v>44958</v>
      </c>
      <c r="AR64" s="144" t="str">
        <f ca="1">DATEDIF(AQ64,TODAY(),"y")&amp;" tahun "&amp;DATEDIF(AQ64,TODAY(),"ym")&amp;" bulan "</f>
        <v xml:space="preserve">2 tahun 11 bulan </v>
      </c>
      <c r="AS64" s="144" t="s">
        <v>1599</v>
      </c>
      <c r="AT64" s="144" t="s">
        <v>621</v>
      </c>
      <c r="AU64" s="144" t="s">
        <v>1600</v>
      </c>
      <c r="AV64" s="144" t="s">
        <v>235</v>
      </c>
      <c r="AW64" s="144">
        <v>2010</v>
      </c>
      <c r="AX64" s="144">
        <v>2015</v>
      </c>
      <c r="AY64" s="144">
        <v>102410101064</v>
      </c>
      <c r="AZ64" s="380" t="s">
        <v>2012</v>
      </c>
      <c r="BA64" s="408" t="s">
        <v>775</v>
      </c>
      <c r="BB64" s="380" t="s">
        <v>1647</v>
      </c>
      <c r="BC64" s="380" t="s">
        <v>46</v>
      </c>
      <c r="BD64" s="385"/>
      <c r="BE64" s="379">
        <v>45566</v>
      </c>
    </row>
    <row r="65" spans="2:57" ht="18">
      <c r="B65" s="144" t="s">
        <v>749</v>
      </c>
      <c r="C65" s="144" t="s">
        <v>46</v>
      </c>
      <c r="D65" s="409"/>
      <c r="E65" s="187"/>
      <c r="F65" s="144" t="s">
        <v>884</v>
      </c>
      <c r="G65" s="144" t="s">
        <v>573</v>
      </c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377"/>
      <c r="S65" s="187"/>
      <c r="T65" s="187"/>
      <c r="U65" s="187"/>
      <c r="V65" s="37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408" t="s">
        <v>1603</v>
      </c>
      <c r="BB65" s="187"/>
      <c r="BC65" s="380" t="s">
        <v>46</v>
      </c>
      <c r="BD65" s="187"/>
      <c r="BE65" s="379">
        <v>44810</v>
      </c>
    </row>
    <row r="66" spans="2:57" ht="18">
      <c r="B66" s="144" t="s">
        <v>750</v>
      </c>
      <c r="C66" s="144" t="s">
        <v>46</v>
      </c>
      <c r="D66" s="409"/>
      <c r="E66" s="187"/>
      <c r="F66" s="144" t="s">
        <v>884</v>
      </c>
      <c r="G66" s="144" t="s">
        <v>573</v>
      </c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377"/>
      <c r="S66" s="187"/>
      <c r="T66" s="187"/>
      <c r="U66" s="187"/>
      <c r="V66" s="37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408" t="s">
        <v>1603</v>
      </c>
      <c r="BB66" s="187"/>
      <c r="BC66" s="380" t="s">
        <v>46</v>
      </c>
      <c r="BD66" s="187"/>
      <c r="BE66" s="187"/>
    </row>
    <row r="67" spans="2:57" ht="18">
      <c r="B67" s="144" t="s">
        <v>751</v>
      </c>
      <c r="C67" s="144" t="s">
        <v>46</v>
      </c>
      <c r="D67" s="409"/>
      <c r="E67" s="187"/>
      <c r="F67" s="144" t="s">
        <v>884</v>
      </c>
      <c r="G67" s="144" t="s">
        <v>573</v>
      </c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377"/>
      <c r="S67" s="187"/>
      <c r="T67" s="187"/>
      <c r="U67" s="187"/>
      <c r="V67" s="37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408" t="s">
        <v>1603</v>
      </c>
      <c r="BB67" s="187"/>
      <c r="BC67" s="380" t="s">
        <v>46</v>
      </c>
      <c r="BD67" s="187"/>
      <c r="BE67" s="187"/>
    </row>
    <row r="68" spans="2:57" ht="18">
      <c r="B68" s="144" t="s">
        <v>752</v>
      </c>
      <c r="C68" s="144" t="s">
        <v>46</v>
      </c>
      <c r="D68" s="187"/>
      <c r="E68" s="187"/>
      <c r="F68" s="144" t="s">
        <v>884</v>
      </c>
      <c r="G68" s="144" t="s">
        <v>573</v>
      </c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377"/>
      <c r="S68" s="187"/>
      <c r="T68" s="187"/>
      <c r="U68" s="187"/>
      <c r="V68" s="37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380" t="s">
        <v>46</v>
      </c>
      <c r="BD68" s="187"/>
      <c r="BE68" s="187"/>
    </row>
  </sheetData>
  <autoFilter ref="A1:BI68" xr:uid="{BD583047-7852-4E39-AEDF-F528AD84D475}"/>
  <hyperlinks>
    <hyperlink ref="S25" r:id="rId1" xr:uid="{B84F6FD3-99C4-4ACE-BBCB-F20A09317F7B}"/>
    <hyperlink ref="AT12" r:id="rId2" xr:uid="{75B7AEF7-84B1-49E2-A8EC-1AEA0EF6E8CD}"/>
    <hyperlink ref="S64" r:id="rId3" xr:uid="{B57474FC-8D7B-4164-8F25-1027D27CDB2A}"/>
    <hyperlink ref="S8" r:id="rId4" xr:uid="{08A89BFD-322D-45BE-8B8B-0CCC214F338A}"/>
    <hyperlink ref="S22" r:id="rId5" xr:uid="{B589E2D3-DB67-4025-BDC3-CDACB61E2C5A}"/>
    <hyperlink ref="T46" r:id="rId6" xr:uid="{E4B1666B-82F1-4E11-B284-89455AA959C5}"/>
    <hyperlink ref="T23" r:id="rId7" xr:uid="{0CBF00E5-F5CD-49B3-9D12-942283CDEFD1}"/>
    <hyperlink ref="T29" r:id="rId8" xr:uid="{76D29D23-0B36-457E-AD31-7078D3ADEBF4}"/>
    <hyperlink ref="T16" r:id="rId9" xr:uid="{C84BB537-80E3-4C62-9EEA-802DD42406EF}"/>
    <hyperlink ref="T13" r:id="rId10" xr:uid="{EE843735-920F-4BCA-91B6-7FF87C8B24F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D7F2-0790-443A-A86F-F74FEDA333B9}">
  <dimension ref="A1:BA46"/>
  <sheetViews>
    <sheetView workbookViewId="0">
      <pane xSplit="2" topLeftCell="J1" activePane="topRight" state="frozen"/>
      <selection pane="topRight" activeCell="L3" sqref="L3"/>
    </sheetView>
  </sheetViews>
  <sheetFormatPr defaultColWidth="9.140625" defaultRowHeight="15.75" customHeight="1"/>
  <cols>
    <col min="1" max="1" width="4.140625" style="10" bestFit="1" customWidth="1"/>
    <col min="2" max="2" width="52.85546875" style="10" customWidth="1"/>
    <col min="3" max="3" width="8.7109375" style="10" bestFit="1" customWidth="1"/>
    <col min="4" max="9" width="5.42578125" style="10" customWidth="1"/>
    <col min="10" max="10" width="10.140625" style="10" bestFit="1" customWidth="1"/>
    <col min="11" max="11" width="10" style="10" customWidth="1"/>
    <col min="12" max="12" width="13.28515625" style="10" customWidth="1"/>
    <col min="13" max="13" width="17.5703125" style="10" customWidth="1"/>
    <col min="14" max="14" width="14.42578125" style="10" bestFit="1" customWidth="1"/>
    <col min="15" max="15" width="8.42578125" style="10" customWidth="1"/>
    <col min="16" max="16" width="14.28515625" style="10" customWidth="1"/>
    <col min="17" max="17" width="13.5703125" style="10" customWidth="1"/>
    <col min="18" max="18" width="11.140625" style="10" customWidth="1"/>
    <col min="19" max="19" width="16.85546875" style="10" customWidth="1"/>
    <col min="20" max="20" width="6.28515625" style="10" customWidth="1"/>
    <col min="21" max="21" width="13" style="10" customWidth="1"/>
    <col min="22" max="22" width="15.42578125" style="10" hidden="1" customWidth="1"/>
    <col min="23" max="23" width="12.140625" style="10" hidden="1" customWidth="1"/>
    <col min="24" max="24" width="7" style="10" bestFit="1" customWidth="1"/>
    <col min="25" max="25" width="14.28515625" style="10" customWidth="1"/>
    <col min="26" max="26" width="9.28515625" style="10" bestFit="1" customWidth="1"/>
    <col min="27" max="27" width="7.42578125" style="10" bestFit="1" customWidth="1"/>
    <col min="28" max="28" width="11.140625" style="10" customWidth="1"/>
    <col min="29" max="29" width="23.42578125" style="10" hidden="1" customWidth="1"/>
    <col min="30" max="30" width="7.42578125" style="10" hidden="1" customWidth="1"/>
    <col min="31" max="31" width="21.140625" style="10" bestFit="1" customWidth="1"/>
    <col min="32" max="32" width="7.140625" style="10" bestFit="1" customWidth="1"/>
    <col min="33" max="33" width="66.28515625" style="10" customWidth="1"/>
    <col min="34" max="34" width="15.28515625" style="10" customWidth="1"/>
    <col min="35" max="45" width="8.140625" style="10" customWidth="1"/>
    <col min="46" max="46" width="13.85546875" style="10" bestFit="1" customWidth="1"/>
    <col min="47" max="50" width="9.140625" style="10"/>
    <col min="51" max="51" width="50.28515625" style="10" customWidth="1"/>
    <col min="52" max="16384" width="9.140625" style="10"/>
  </cols>
  <sheetData>
    <row r="1" spans="1:53" ht="15" customHeight="1">
      <c r="A1" s="446" t="s">
        <v>2013</v>
      </c>
      <c r="B1" s="446" t="s">
        <v>759</v>
      </c>
      <c r="C1" s="448" t="s">
        <v>2014</v>
      </c>
      <c r="D1" s="450" t="s">
        <v>2015</v>
      </c>
      <c r="E1" s="450"/>
      <c r="F1" s="450"/>
      <c r="G1" s="450"/>
      <c r="H1" s="450"/>
      <c r="I1" s="450"/>
      <c r="J1" s="450"/>
      <c r="K1" s="450"/>
      <c r="L1" s="450"/>
      <c r="M1" s="450"/>
      <c r="N1" s="350"/>
      <c r="O1" s="441" t="s">
        <v>2016</v>
      </c>
      <c r="P1" s="441"/>
      <c r="Q1" s="441"/>
      <c r="R1" s="441"/>
      <c r="S1" s="441"/>
      <c r="T1" s="441"/>
      <c r="U1" s="442" t="s">
        <v>2017</v>
      </c>
      <c r="V1" s="443"/>
      <c r="W1" s="443"/>
      <c r="X1" s="443"/>
      <c r="Y1" s="443"/>
      <c r="Z1" s="443"/>
      <c r="AA1" s="443"/>
      <c r="AB1" s="444"/>
      <c r="AC1" s="223"/>
      <c r="AD1" s="223"/>
      <c r="AE1" s="223"/>
    </row>
    <row r="2" spans="1:53" ht="30">
      <c r="A2" s="447"/>
      <c r="B2" s="447"/>
      <c r="C2" s="449"/>
      <c r="D2" s="351">
        <v>1920</v>
      </c>
      <c r="E2" s="351">
        <v>2021</v>
      </c>
      <c r="F2" s="351">
        <v>2122</v>
      </c>
      <c r="G2" s="351">
        <v>2223</v>
      </c>
      <c r="H2" s="351">
        <v>2324</v>
      </c>
      <c r="I2" s="351">
        <v>2425</v>
      </c>
      <c r="J2" s="351">
        <v>2526</v>
      </c>
      <c r="K2" s="351" t="s">
        <v>2018</v>
      </c>
      <c r="L2" s="351" t="s">
        <v>2019</v>
      </c>
      <c r="M2" s="351" t="s">
        <v>2020</v>
      </c>
      <c r="N2" s="352" t="s">
        <v>2021</v>
      </c>
      <c r="O2" s="353" t="s">
        <v>2022</v>
      </c>
      <c r="P2" s="354" t="s">
        <v>2023</v>
      </c>
      <c r="Q2" s="354" t="s">
        <v>2016</v>
      </c>
      <c r="R2" s="349" t="s">
        <v>2024</v>
      </c>
      <c r="S2" s="354" t="s">
        <v>2025</v>
      </c>
      <c r="T2" s="354" t="s">
        <v>2026</v>
      </c>
      <c r="U2" s="355" t="s">
        <v>2027</v>
      </c>
      <c r="V2" s="356" t="s">
        <v>2028</v>
      </c>
      <c r="W2" s="356" t="s">
        <v>2029</v>
      </c>
      <c r="X2" s="355" t="s">
        <v>2030</v>
      </c>
      <c r="Y2" s="357" t="s">
        <v>2031</v>
      </c>
      <c r="Z2" s="355" t="s">
        <v>2019</v>
      </c>
      <c r="AA2" s="355" t="s">
        <v>2020</v>
      </c>
      <c r="AB2" s="356" t="s">
        <v>2032</v>
      </c>
      <c r="AC2" s="223" t="s">
        <v>2033</v>
      </c>
      <c r="AD2" s="7" t="s">
        <v>2020</v>
      </c>
      <c r="AE2" s="223"/>
      <c r="AI2" s="222" t="s">
        <v>2034</v>
      </c>
      <c r="AJ2" s="221" t="s">
        <v>2035</v>
      </c>
      <c r="AK2" s="221" t="s">
        <v>2036</v>
      </c>
      <c r="AL2" s="221" t="s">
        <v>2037</v>
      </c>
      <c r="AM2" s="221" t="s">
        <v>2038</v>
      </c>
      <c r="AN2" s="221" t="s">
        <v>2039</v>
      </c>
      <c r="AO2" s="221" t="s">
        <v>2040</v>
      </c>
      <c r="AP2" s="221" t="s">
        <v>2041</v>
      </c>
      <c r="AQ2" s="221" t="s">
        <v>2042</v>
      </c>
      <c r="AR2" s="221" t="s">
        <v>2043</v>
      </c>
      <c r="AS2" s="221" t="s">
        <v>2044</v>
      </c>
      <c r="AT2" s="221" t="s">
        <v>2045</v>
      </c>
    </row>
    <row r="3" spans="1:53" ht="15" customHeight="1">
      <c r="A3" s="317">
        <v>1</v>
      </c>
      <c r="B3" s="359" t="s">
        <v>107</v>
      </c>
      <c r="C3" s="214">
        <v>27</v>
      </c>
      <c r="D3" s="390">
        <v>0</v>
      </c>
      <c r="E3" s="390">
        <v>0</v>
      </c>
      <c r="F3" s="390">
        <v>33</v>
      </c>
      <c r="G3" s="390">
        <v>116</v>
      </c>
      <c r="H3" s="390">
        <v>124</v>
      </c>
      <c r="I3" s="390">
        <v>183</v>
      </c>
      <c r="J3" s="358">
        <v>220</v>
      </c>
      <c r="K3" s="358">
        <f>SUM(D3:J3)</f>
        <v>676</v>
      </c>
      <c r="L3" s="219">
        <f>COUNTIFS(Dosen!D:D,B3,Dosen!C:C,"Aktif")</f>
        <v>16</v>
      </c>
      <c r="M3" s="217">
        <f t="shared" ref="M3:M13" si="0">K3/L3</f>
        <v>42.25</v>
      </c>
      <c r="N3" s="218">
        <f>IF(M3&lt;C3,0,ROUNDUP(K3/C3,0)-L3)</f>
        <v>10</v>
      </c>
      <c r="O3" s="14">
        <v>0.8</v>
      </c>
      <c r="P3" s="216">
        <f>ROUNDUP(O3*(SUM(D3:G3)),0)</f>
        <v>120</v>
      </c>
      <c r="Q3" s="216"/>
      <c r="R3" s="216">
        <f>P3</f>
        <v>120</v>
      </c>
      <c r="S3" s="13"/>
      <c r="T3" s="13">
        <f>K3-R3</f>
        <v>556</v>
      </c>
      <c r="U3" s="214">
        <v>200</v>
      </c>
      <c r="V3" s="214">
        <f>VLOOKUP(B3,$AG$3:$AI$13,3,FALSE)</f>
        <v>222</v>
      </c>
      <c r="W3" s="214">
        <f>U3</f>
        <v>200</v>
      </c>
      <c r="X3" s="219">
        <f>T3+W3</f>
        <v>756</v>
      </c>
      <c r="Y3" s="214">
        <f t="shared" ref="Y3:Y13" si="1">IF((ROUNDUP(((X3/C3)-L3),0))&lt;0,0,ROUNDUP(((X3/C3)-L3),0))</f>
        <v>12</v>
      </c>
      <c r="Z3" s="214">
        <f>L3+Y3</f>
        <v>28</v>
      </c>
      <c r="AA3" s="9">
        <f>X3/L3</f>
        <v>47.25</v>
      </c>
      <c r="AB3" s="9">
        <f t="shared" ref="AB3:AB13" si="2">X3/Z3</f>
        <v>27</v>
      </c>
      <c r="AC3" s="223">
        <f t="shared" ref="AC3:AC13" si="3">IF((ROUNDDOWN(((X3/C3)-L3),0))&lt;0,0,ROUNDDOWN(((X3/C3)-L3),0))</f>
        <v>12</v>
      </c>
      <c r="AD3" s="224">
        <f>X3/(L3+AC3)</f>
        <v>27</v>
      </c>
      <c r="AE3" s="223"/>
      <c r="AG3" s="212" t="s">
        <v>201</v>
      </c>
      <c r="AH3" s="220" t="s">
        <v>2046</v>
      </c>
      <c r="AI3" s="211">
        <v>70</v>
      </c>
      <c r="AJ3" s="211">
        <v>83</v>
      </c>
      <c r="AK3" s="211">
        <v>80</v>
      </c>
      <c r="AL3" s="211">
        <v>565</v>
      </c>
      <c r="AM3" s="211">
        <v>228</v>
      </c>
      <c r="AN3" s="211">
        <v>79</v>
      </c>
      <c r="AO3" s="256">
        <v>65</v>
      </c>
      <c r="AP3" s="211">
        <v>63</v>
      </c>
      <c r="AQ3" s="211">
        <v>64</v>
      </c>
      <c r="AR3" s="211">
        <v>7</v>
      </c>
      <c r="AS3" s="211">
        <v>149</v>
      </c>
      <c r="AT3" s="211">
        <v>-1</v>
      </c>
    </row>
    <row r="4" spans="1:53" ht="15" customHeight="1">
      <c r="A4" s="317">
        <v>2</v>
      </c>
      <c r="B4" s="16" t="s">
        <v>22</v>
      </c>
      <c r="C4" s="214">
        <v>40</v>
      </c>
      <c r="D4" s="390">
        <v>0</v>
      </c>
      <c r="E4" s="390">
        <v>0</v>
      </c>
      <c r="F4" s="390">
        <v>33</v>
      </c>
      <c r="G4" s="390">
        <v>93</v>
      </c>
      <c r="H4" s="390">
        <v>107</v>
      </c>
      <c r="I4" s="390">
        <v>183</v>
      </c>
      <c r="J4" s="358">
        <v>248</v>
      </c>
      <c r="K4" s="358">
        <f t="shared" ref="K4:K14" si="4">SUM(D4:J4)</f>
        <v>664</v>
      </c>
      <c r="L4" s="219">
        <f>COUNTIFS(Dosen!D:D,B4,Dosen!C:C,"Aktif")</f>
        <v>14</v>
      </c>
      <c r="M4" s="217">
        <f t="shared" si="0"/>
        <v>47.428571428571431</v>
      </c>
      <c r="N4" s="218">
        <f t="shared" ref="N4:N13" si="5">IF(M4&lt;C4,0,ROUNDUP(K4/C4,0)-L4)</f>
        <v>3</v>
      </c>
      <c r="O4" s="14">
        <f>$O$3</f>
        <v>0.8</v>
      </c>
      <c r="P4" s="216">
        <f t="shared" ref="P4:P13" si="6">ROUNDUP(O4*(SUM(D4:G4)),0)</f>
        <v>101</v>
      </c>
      <c r="Q4" s="216"/>
      <c r="R4" s="216">
        <f t="shared" ref="R4:R13" si="7">P4</f>
        <v>101</v>
      </c>
      <c r="S4" s="13"/>
      <c r="T4" s="13">
        <f t="shared" ref="T4:T13" si="8">K4-R4</f>
        <v>563</v>
      </c>
      <c r="U4" s="214">
        <v>240</v>
      </c>
      <c r="V4" s="214">
        <f t="shared" ref="V4:V13" si="9">VLOOKUP(B4,$AG$3:$AI$13,3,FALSE)</f>
        <v>254</v>
      </c>
      <c r="W4" s="214">
        <f t="shared" ref="W4:W13" si="10">U4</f>
        <v>240</v>
      </c>
      <c r="X4" s="219">
        <f t="shared" ref="X4:X13" si="11">T4+W4</f>
        <v>803</v>
      </c>
      <c r="Y4" s="214">
        <f t="shared" si="1"/>
        <v>7</v>
      </c>
      <c r="Z4" s="214">
        <f t="shared" ref="Z4:Z13" si="12">L4+Y4</f>
        <v>21</v>
      </c>
      <c r="AA4" s="9">
        <f t="shared" ref="AA4:AA13" si="13">X4/L4</f>
        <v>57.357142857142854</v>
      </c>
      <c r="AB4" s="9">
        <f t="shared" si="2"/>
        <v>38.238095238095241</v>
      </c>
      <c r="AC4" s="223">
        <f t="shared" si="3"/>
        <v>6</v>
      </c>
      <c r="AD4" s="224">
        <f t="shared" ref="AD4:AD13" si="14">X4/(L4+AC4)</f>
        <v>40.15</v>
      </c>
      <c r="AE4" s="223"/>
      <c r="AG4" s="213" t="s">
        <v>22</v>
      </c>
      <c r="AH4" s="220" t="s">
        <v>2047</v>
      </c>
      <c r="AI4" s="211">
        <v>254</v>
      </c>
      <c r="AJ4" s="211">
        <v>185</v>
      </c>
      <c r="AK4" s="211">
        <v>240</v>
      </c>
      <c r="AL4" s="211">
        <v>589</v>
      </c>
      <c r="AM4" s="211">
        <v>695</v>
      </c>
      <c r="AN4" s="211">
        <v>270</v>
      </c>
      <c r="AO4" s="256">
        <v>242</v>
      </c>
      <c r="AP4" s="211">
        <v>238</v>
      </c>
      <c r="AQ4" s="211">
        <v>207</v>
      </c>
      <c r="AR4" s="211">
        <v>11</v>
      </c>
      <c r="AS4" s="211">
        <v>425</v>
      </c>
      <c r="AT4" s="211">
        <v>30</v>
      </c>
    </row>
    <row r="5" spans="1:53" ht="15" customHeight="1">
      <c r="A5" s="317">
        <v>3</v>
      </c>
      <c r="B5" s="359" t="s">
        <v>201</v>
      </c>
      <c r="C5" s="214">
        <f>C$3</f>
        <v>27</v>
      </c>
      <c r="D5" s="390">
        <v>0</v>
      </c>
      <c r="E5" s="390">
        <v>0</v>
      </c>
      <c r="F5" s="390">
        <v>3</v>
      </c>
      <c r="G5" s="390">
        <v>43</v>
      </c>
      <c r="H5" s="390">
        <v>71</v>
      </c>
      <c r="I5" s="390">
        <v>86</v>
      </c>
      <c r="J5" s="358">
        <v>71</v>
      </c>
      <c r="K5" s="358">
        <f t="shared" si="4"/>
        <v>274</v>
      </c>
      <c r="L5" s="219">
        <f>COUNTIFS(Dosen!D:D,B5,Dosen!C:C,"Aktif")</f>
        <v>9</v>
      </c>
      <c r="M5" s="217">
        <f t="shared" si="0"/>
        <v>30.444444444444443</v>
      </c>
      <c r="N5" s="218">
        <f t="shared" si="5"/>
        <v>2</v>
      </c>
      <c r="O5" s="14">
        <f t="shared" ref="O5:O13" si="15">$O$3</f>
        <v>0.8</v>
      </c>
      <c r="P5" s="216">
        <f t="shared" si="6"/>
        <v>37</v>
      </c>
      <c r="Q5" s="216"/>
      <c r="R5" s="216">
        <f t="shared" si="7"/>
        <v>37</v>
      </c>
      <c r="S5" s="13"/>
      <c r="T5" s="13">
        <f t="shared" si="8"/>
        <v>237</v>
      </c>
      <c r="U5" s="214">
        <v>80</v>
      </c>
      <c r="V5" s="214">
        <f t="shared" si="9"/>
        <v>70</v>
      </c>
      <c r="W5" s="214">
        <f t="shared" si="10"/>
        <v>80</v>
      </c>
      <c r="X5" s="219">
        <f t="shared" si="11"/>
        <v>317</v>
      </c>
      <c r="Y5" s="214">
        <f t="shared" si="1"/>
        <v>3</v>
      </c>
      <c r="Z5" s="214">
        <f t="shared" si="12"/>
        <v>12</v>
      </c>
      <c r="AA5" s="9">
        <f t="shared" si="13"/>
        <v>35.222222222222221</v>
      </c>
      <c r="AB5" s="9">
        <f t="shared" si="2"/>
        <v>26.416666666666668</v>
      </c>
      <c r="AC5" s="223">
        <f t="shared" si="3"/>
        <v>2</v>
      </c>
      <c r="AD5" s="224">
        <f t="shared" si="14"/>
        <v>28.818181818181817</v>
      </c>
      <c r="AE5" s="223"/>
      <c r="AG5" s="212" t="s">
        <v>448</v>
      </c>
      <c r="AH5" s="220" t="s">
        <v>2048</v>
      </c>
      <c r="AI5" s="211">
        <v>31</v>
      </c>
      <c r="AJ5" s="211">
        <v>28</v>
      </c>
      <c r="AK5" s="211">
        <v>40</v>
      </c>
      <c r="AL5" s="211">
        <v>41</v>
      </c>
      <c r="AM5" s="211">
        <v>109</v>
      </c>
      <c r="AN5" s="211">
        <v>36</v>
      </c>
      <c r="AO5" s="256">
        <v>30</v>
      </c>
      <c r="AP5" s="211">
        <v>29</v>
      </c>
      <c r="AQ5" s="211">
        <v>24</v>
      </c>
      <c r="AR5" s="211">
        <v>2</v>
      </c>
      <c r="AS5" s="211">
        <v>73</v>
      </c>
      <c r="AT5" s="211">
        <v>-4</v>
      </c>
    </row>
    <row r="6" spans="1:53" ht="15" customHeight="1">
      <c r="A6" s="317">
        <v>4</v>
      </c>
      <c r="B6" s="11" t="s">
        <v>448</v>
      </c>
      <c r="C6" s="214">
        <f t="shared" ref="C6:C13" si="16">C$3</f>
        <v>27</v>
      </c>
      <c r="D6" s="390">
        <v>0</v>
      </c>
      <c r="E6" s="390">
        <v>0</v>
      </c>
      <c r="F6" s="390">
        <v>2</v>
      </c>
      <c r="G6" s="390">
        <v>17</v>
      </c>
      <c r="H6" s="390">
        <v>29</v>
      </c>
      <c r="I6" s="390">
        <v>28</v>
      </c>
      <c r="J6" s="358">
        <v>40</v>
      </c>
      <c r="K6" s="358">
        <f t="shared" si="4"/>
        <v>116</v>
      </c>
      <c r="L6" s="219">
        <f>COUNTIFS(Dosen!D:D,B6,Dosen!C:C,"Aktif")</f>
        <v>5</v>
      </c>
      <c r="M6" s="217">
        <f t="shared" si="0"/>
        <v>23.2</v>
      </c>
      <c r="N6" s="218">
        <f t="shared" si="5"/>
        <v>0</v>
      </c>
      <c r="O6" s="14">
        <f t="shared" si="15"/>
        <v>0.8</v>
      </c>
      <c r="P6" s="216">
        <f t="shared" si="6"/>
        <v>16</v>
      </c>
      <c r="Q6" s="216"/>
      <c r="R6" s="216">
        <f t="shared" si="7"/>
        <v>16</v>
      </c>
      <c r="S6" s="13"/>
      <c r="T6" s="13">
        <f t="shared" si="8"/>
        <v>100</v>
      </c>
      <c r="U6" s="214">
        <v>40</v>
      </c>
      <c r="V6" s="214">
        <f t="shared" si="9"/>
        <v>31</v>
      </c>
      <c r="W6" s="214">
        <f t="shared" si="10"/>
        <v>40</v>
      </c>
      <c r="X6" s="219">
        <f t="shared" si="11"/>
        <v>140</v>
      </c>
      <c r="Y6" s="214">
        <f t="shared" si="1"/>
        <v>1</v>
      </c>
      <c r="Z6" s="214">
        <f t="shared" si="12"/>
        <v>6</v>
      </c>
      <c r="AA6" s="9">
        <f t="shared" si="13"/>
        <v>28</v>
      </c>
      <c r="AB6" s="9">
        <f t="shared" si="2"/>
        <v>23.333333333333332</v>
      </c>
      <c r="AC6" s="223">
        <f t="shared" si="3"/>
        <v>0</v>
      </c>
      <c r="AD6" s="224">
        <f t="shared" si="14"/>
        <v>28</v>
      </c>
      <c r="AE6" s="223"/>
      <c r="AG6" s="212" t="s">
        <v>107</v>
      </c>
      <c r="AH6" s="220" t="s">
        <v>2049</v>
      </c>
      <c r="AI6" s="211">
        <v>222</v>
      </c>
      <c r="AJ6" s="211">
        <v>187</v>
      </c>
      <c r="AK6" s="211">
        <v>240</v>
      </c>
      <c r="AL6" s="211">
        <v>446</v>
      </c>
      <c r="AM6" s="211">
        <v>481</v>
      </c>
      <c r="AN6" s="211">
        <v>241</v>
      </c>
      <c r="AO6" s="256">
        <v>207</v>
      </c>
      <c r="AP6" s="211">
        <v>208</v>
      </c>
      <c r="AQ6" s="211">
        <v>194</v>
      </c>
      <c r="AR6" s="211">
        <v>15</v>
      </c>
      <c r="AS6" s="211">
        <v>240</v>
      </c>
      <c r="AT6" s="211">
        <v>1</v>
      </c>
      <c r="AY6" s="255" t="s">
        <v>1853</v>
      </c>
      <c r="AZ6" s="254" t="s">
        <v>2040</v>
      </c>
      <c r="BA6" s="254"/>
    </row>
    <row r="7" spans="1:53" ht="15" customHeight="1">
      <c r="A7" s="317">
        <v>5</v>
      </c>
      <c r="B7" s="359" t="s">
        <v>413</v>
      </c>
      <c r="C7" s="214">
        <f t="shared" si="16"/>
        <v>27</v>
      </c>
      <c r="D7" s="390">
        <v>11</v>
      </c>
      <c r="E7" s="390">
        <v>20</v>
      </c>
      <c r="F7" s="390">
        <v>15</v>
      </c>
      <c r="G7" s="390">
        <v>34</v>
      </c>
      <c r="H7" s="390">
        <v>44</v>
      </c>
      <c r="I7" s="390">
        <v>56</v>
      </c>
      <c r="J7" s="358">
        <v>41</v>
      </c>
      <c r="K7" s="358">
        <f t="shared" si="4"/>
        <v>221</v>
      </c>
      <c r="L7" s="219">
        <f>COUNTIFS(Dosen!D:D,B7,Dosen!C:C,"Aktif")</f>
        <v>7</v>
      </c>
      <c r="M7" s="217">
        <f t="shared" si="0"/>
        <v>31.571428571428573</v>
      </c>
      <c r="N7" s="218">
        <f t="shared" si="5"/>
        <v>2</v>
      </c>
      <c r="O7" s="14">
        <f t="shared" si="15"/>
        <v>0.8</v>
      </c>
      <c r="P7" s="216">
        <f t="shared" si="6"/>
        <v>64</v>
      </c>
      <c r="Q7" s="216"/>
      <c r="R7" s="216">
        <f t="shared" si="7"/>
        <v>64</v>
      </c>
      <c r="S7" s="13"/>
      <c r="T7" s="13">
        <f t="shared" si="8"/>
        <v>157</v>
      </c>
      <c r="U7" s="214">
        <v>40</v>
      </c>
      <c r="V7" s="214">
        <f t="shared" si="9"/>
        <v>38</v>
      </c>
      <c r="W7" s="214">
        <f t="shared" si="10"/>
        <v>40</v>
      </c>
      <c r="X7" s="219">
        <f t="shared" si="11"/>
        <v>197</v>
      </c>
      <c r="Y7" s="214">
        <f t="shared" si="1"/>
        <v>1</v>
      </c>
      <c r="Z7" s="214">
        <f t="shared" si="12"/>
        <v>8</v>
      </c>
      <c r="AA7" s="9">
        <f t="shared" si="13"/>
        <v>28.142857142857142</v>
      </c>
      <c r="AB7" s="9">
        <f t="shared" si="2"/>
        <v>24.625</v>
      </c>
      <c r="AC7" s="223">
        <f t="shared" si="3"/>
        <v>0</v>
      </c>
      <c r="AD7" s="224">
        <f t="shared" si="14"/>
        <v>28.142857142857142</v>
      </c>
      <c r="AE7" s="223"/>
      <c r="AG7" s="212" t="s">
        <v>170</v>
      </c>
      <c r="AH7" s="220" t="s">
        <v>2050</v>
      </c>
      <c r="AI7" s="211">
        <v>39</v>
      </c>
      <c r="AJ7" s="211">
        <v>52</v>
      </c>
      <c r="AK7" s="211">
        <v>40</v>
      </c>
      <c r="AL7" s="211">
        <v>50</v>
      </c>
      <c r="AM7" s="211">
        <v>90</v>
      </c>
      <c r="AN7" s="211">
        <v>42</v>
      </c>
      <c r="AO7" s="256">
        <v>39</v>
      </c>
      <c r="AP7" s="211">
        <v>38</v>
      </c>
      <c r="AQ7" s="211">
        <v>41</v>
      </c>
      <c r="AR7" s="211">
        <v>0</v>
      </c>
      <c r="AS7" s="211">
        <v>48</v>
      </c>
      <c r="AT7" s="211">
        <v>2</v>
      </c>
      <c r="AY7" s="245" t="s">
        <v>2046</v>
      </c>
      <c r="AZ7" s="2">
        <v>65</v>
      </c>
      <c r="BA7" s="2"/>
    </row>
    <row r="8" spans="1:53" ht="15" customHeight="1">
      <c r="A8" s="317">
        <v>6</v>
      </c>
      <c r="B8" s="11" t="s">
        <v>524</v>
      </c>
      <c r="C8" s="214">
        <f t="shared" si="16"/>
        <v>27</v>
      </c>
      <c r="D8" s="390">
        <v>4</v>
      </c>
      <c r="E8" s="390">
        <v>35</v>
      </c>
      <c r="F8" s="390">
        <v>11</v>
      </c>
      <c r="G8" s="390">
        <v>52</v>
      </c>
      <c r="H8" s="390">
        <v>66</v>
      </c>
      <c r="I8" s="390">
        <v>91</v>
      </c>
      <c r="J8" s="358">
        <v>75</v>
      </c>
      <c r="K8" s="358">
        <f t="shared" si="4"/>
        <v>334</v>
      </c>
      <c r="L8" s="219">
        <f>COUNTIFS(Dosen!D:D,B8,Dosen!C:C,"Aktif")</f>
        <v>11</v>
      </c>
      <c r="M8" s="217">
        <f t="shared" si="0"/>
        <v>30.363636363636363</v>
      </c>
      <c r="N8" s="218">
        <f t="shared" si="5"/>
        <v>2</v>
      </c>
      <c r="O8" s="14">
        <f t="shared" si="15"/>
        <v>0.8</v>
      </c>
      <c r="P8" s="216">
        <f t="shared" si="6"/>
        <v>82</v>
      </c>
      <c r="Q8" s="216"/>
      <c r="R8" s="216">
        <f t="shared" si="7"/>
        <v>82</v>
      </c>
      <c r="S8" s="13"/>
      <c r="T8" s="13">
        <f t="shared" si="8"/>
        <v>252</v>
      </c>
      <c r="U8" s="214">
        <v>80</v>
      </c>
      <c r="V8" s="214">
        <f t="shared" si="9"/>
        <v>73</v>
      </c>
      <c r="W8" s="214">
        <f t="shared" si="10"/>
        <v>80</v>
      </c>
      <c r="X8" s="219">
        <f t="shared" si="11"/>
        <v>332</v>
      </c>
      <c r="Y8" s="214">
        <f t="shared" si="1"/>
        <v>2</v>
      </c>
      <c r="Z8" s="214">
        <f t="shared" si="12"/>
        <v>13</v>
      </c>
      <c r="AA8" s="9">
        <f t="shared" si="13"/>
        <v>30.181818181818183</v>
      </c>
      <c r="AB8" s="9">
        <f t="shared" si="2"/>
        <v>25.53846153846154</v>
      </c>
      <c r="AC8" s="223">
        <f t="shared" si="3"/>
        <v>1</v>
      </c>
      <c r="AD8" s="224">
        <f t="shared" si="14"/>
        <v>27.666666666666668</v>
      </c>
      <c r="AE8" s="223"/>
      <c r="AG8" s="212" t="s">
        <v>235</v>
      </c>
      <c r="AH8" s="220" t="s">
        <v>2051</v>
      </c>
      <c r="AI8" s="211">
        <v>174</v>
      </c>
      <c r="AJ8" s="211">
        <v>171</v>
      </c>
      <c r="AK8" s="211">
        <v>160</v>
      </c>
      <c r="AL8" s="211">
        <v>420</v>
      </c>
      <c r="AM8" s="211">
        <v>512</v>
      </c>
      <c r="AN8" s="211">
        <v>184</v>
      </c>
      <c r="AO8" s="256">
        <v>169</v>
      </c>
      <c r="AP8" s="211">
        <v>166</v>
      </c>
      <c r="AQ8" s="211">
        <v>154</v>
      </c>
      <c r="AR8" s="211">
        <v>6</v>
      </c>
      <c r="AS8" s="211">
        <v>328</v>
      </c>
      <c r="AT8" s="211">
        <v>24</v>
      </c>
      <c r="AY8" s="245" t="s">
        <v>2047</v>
      </c>
      <c r="AZ8" s="2">
        <v>242</v>
      </c>
      <c r="BA8" s="2"/>
    </row>
    <row r="9" spans="1:53" ht="15" customHeight="1">
      <c r="A9" s="317">
        <v>7</v>
      </c>
      <c r="B9" s="11" t="s">
        <v>170</v>
      </c>
      <c r="C9" s="214">
        <f t="shared" si="16"/>
        <v>27</v>
      </c>
      <c r="D9" s="390">
        <v>1</v>
      </c>
      <c r="E9" s="390">
        <v>27</v>
      </c>
      <c r="F9" s="390">
        <v>10</v>
      </c>
      <c r="G9" s="390">
        <v>43</v>
      </c>
      <c r="H9" s="390">
        <v>44</v>
      </c>
      <c r="I9" s="390">
        <v>55</v>
      </c>
      <c r="J9" s="358">
        <v>39</v>
      </c>
      <c r="K9" s="358">
        <f t="shared" si="4"/>
        <v>219</v>
      </c>
      <c r="L9" s="219">
        <f>COUNTIFS(Dosen!D:D,B9,Dosen!C:C,"Aktif")</f>
        <v>8</v>
      </c>
      <c r="M9" s="217">
        <f t="shared" si="0"/>
        <v>27.375</v>
      </c>
      <c r="N9" s="218">
        <f t="shared" si="5"/>
        <v>1</v>
      </c>
      <c r="O9" s="14">
        <f t="shared" si="15"/>
        <v>0.8</v>
      </c>
      <c r="P9" s="216">
        <f t="shared" si="6"/>
        <v>65</v>
      </c>
      <c r="Q9" s="216"/>
      <c r="R9" s="216">
        <f t="shared" si="7"/>
        <v>65</v>
      </c>
      <c r="S9" s="13"/>
      <c r="T9" s="13">
        <f t="shared" si="8"/>
        <v>154</v>
      </c>
      <c r="U9" s="214">
        <v>40</v>
      </c>
      <c r="V9" s="214">
        <f t="shared" si="9"/>
        <v>39</v>
      </c>
      <c r="W9" s="214">
        <f t="shared" si="10"/>
        <v>40</v>
      </c>
      <c r="X9" s="219">
        <f t="shared" si="11"/>
        <v>194</v>
      </c>
      <c r="Y9" s="214">
        <f t="shared" si="1"/>
        <v>0</v>
      </c>
      <c r="Z9" s="214">
        <f t="shared" si="12"/>
        <v>8</v>
      </c>
      <c r="AA9" s="9">
        <f t="shared" si="13"/>
        <v>24.25</v>
      </c>
      <c r="AB9" s="9">
        <f t="shared" si="2"/>
        <v>24.25</v>
      </c>
      <c r="AC9" s="223">
        <f t="shared" si="3"/>
        <v>0</v>
      </c>
      <c r="AD9" s="224">
        <f t="shared" si="14"/>
        <v>24.25</v>
      </c>
      <c r="AE9" s="223"/>
      <c r="AG9" s="212" t="s">
        <v>330</v>
      </c>
      <c r="AH9" s="220" t="s">
        <v>2052</v>
      </c>
      <c r="AI9" s="211">
        <v>46</v>
      </c>
      <c r="AJ9" s="211">
        <v>40</v>
      </c>
      <c r="AK9" s="211">
        <v>40</v>
      </c>
      <c r="AL9" s="211">
        <v>139</v>
      </c>
      <c r="AM9" s="211">
        <v>122</v>
      </c>
      <c r="AN9" s="211">
        <v>51</v>
      </c>
      <c r="AO9" s="256">
        <v>42</v>
      </c>
      <c r="AP9" s="211">
        <v>43</v>
      </c>
      <c r="AQ9" s="211">
        <v>46</v>
      </c>
      <c r="AR9" s="211">
        <v>3</v>
      </c>
      <c r="AS9" s="211">
        <v>71</v>
      </c>
      <c r="AT9" s="211">
        <v>11</v>
      </c>
      <c r="AY9" s="245" t="s">
        <v>2048</v>
      </c>
      <c r="AZ9" s="2">
        <v>30</v>
      </c>
      <c r="BA9" s="2"/>
    </row>
    <row r="10" spans="1:53" ht="15" customHeight="1">
      <c r="A10" s="317">
        <v>8</v>
      </c>
      <c r="B10" s="11" t="s">
        <v>475</v>
      </c>
      <c r="C10" s="214">
        <f t="shared" si="16"/>
        <v>27</v>
      </c>
      <c r="D10" s="390">
        <v>5</v>
      </c>
      <c r="E10" s="390">
        <v>5</v>
      </c>
      <c r="F10" s="390">
        <v>3</v>
      </c>
      <c r="G10" s="390">
        <v>43</v>
      </c>
      <c r="H10" s="390">
        <v>47</v>
      </c>
      <c r="I10" s="390">
        <v>60</v>
      </c>
      <c r="J10" s="358">
        <v>56</v>
      </c>
      <c r="K10" s="358">
        <f t="shared" si="4"/>
        <v>219</v>
      </c>
      <c r="L10" s="219">
        <f>COUNTIFS(Dosen!D:D,B10,Dosen!C:C,"Aktif")</f>
        <v>10</v>
      </c>
      <c r="M10" s="217">
        <f t="shared" si="0"/>
        <v>21.9</v>
      </c>
      <c r="N10" s="218">
        <f t="shared" si="5"/>
        <v>0</v>
      </c>
      <c r="O10" s="14">
        <f t="shared" si="15"/>
        <v>0.8</v>
      </c>
      <c r="P10" s="216">
        <f t="shared" si="6"/>
        <v>45</v>
      </c>
      <c r="Q10" s="216"/>
      <c r="R10" s="216">
        <f t="shared" si="7"/>
        <v>45</v>
      </c>
      <c r="S10" s="13"/>
      <c r="T10" s="13">
        <f t="shared" si="8"/>
        <v>174</v>
      </c>
      <c r="U10" s="214">
        <v>40</v>
      </c>
      <c r="V10" s="214">
        <f t="shared" si="9"/>
        <v>50</v>
      </c>
      <c r="W10" s="214">
        <f t="shared" si="10"/>
        <v>40</v>
      </c>
      <c r="X10" s="219">
        <f t="shared" si="11"/>
        <v>214</v>
      </c>
      <c r="Y10" s="214">
        <f t="shared" si="1"/>
        <v>0</v>
      </c>
      <c r="Z10" s="214">
        <f t="shared" si="12"/>
        <v>10</v>
      </c>
      <c r="AA10" s="9">
        <f t="shared" si="13"/>
        <v>21.4</v>
      </c>
      <c r="AB10" s="9">
        <f t="shared" si="2"/>
        <v>21.4</v>
      </c>
      <c r="AC10" s="223">
        <f t="shared" si="3"/>
        <v>0</v>
      </c>
      <c r="AD10" s="224">
        <f t="shared" si="14"/>
        <v>21.4</v>
      </c>
      <c r="AE10" s="223"/>
      <c r="AG10" s="212" t="s">
        <v>370</v>
      </c>
      <c r="AH10" s="220" t="s">
        <v>2053</v>
      </c>
      <c r="AI10" s="211">
        <v>131</v>
      </c>
      <c r="AJ10" s="211">
        <v>106</v>
      </c>
      <c r="AK10" s="211">
        <v>120</v>
      </c>
      <c r="AL10" s="211">
        <v>526</v>
      </c>
      <c r="AM10" s="211">
        <v>395</v>
      </c>
      <c r="AN10" s="211">
        <v>145</v>
      </c>
      <c r="AO10" s="256">
        <v>122</v>
      </c>
      <c r="AP10" s="211">
        <v>120</v>
      </c>
      <c r="AQ10" s="211">
        <v>128</v>
      </c>
      <c r="AR10" s="211">
        <v>7</v>
      </c>
      <c r="AS10" s="211">
        <v>250</v>
      </c>
      <c r="AT10" s="211">
        <v>25</v>
      </c>
      <c r="AY10" s="245" t="s">
        <v>2049</v>
      </c>
      <c r="AZ10" s="2">
        <v>207</v>
      </c>
      <c r="BA10" s="2"/>
    </row>
    <row r="11" spans="1:53" ht="15" customHeight="1">
      <c r="A11" s="317">
        <v>9</v>
      </c>
      <c r="B11" s="359" t="s">
        <v>235</v>
      </c>
      <c r="C11" s="214">
        <f t="shared" si="16"/>
        <v>27</v>
      </c>
      <c r="D11" s="390">
        <v>3</v>
      </c>
      <c r="E11" s="390">
        <v>72</v>
      </c>
      <c r="F11" s="390">
        <v>55</v>
      </c>
      <c r="G11" s="390">
        <v>134</v>
      </c>
      <c r="H11" s="390">
        <v>125</v>
      </c>
      <c r="I11" s="390">
        <v>170</v>
      </c>
      <c r="J11" s="358">
        <v>176</v>
      </c>
      <c r="K11" s="358">
        <f t="shared" si="4"/>
        <v>735</v>
      </c>
      <c r="L11" s="219">
        <f>COUNTIFS(Dosen!D:D,B11,Dosen!C:C,"Aktif")</f>
        <v>22</v>
      </c>
      <c r="M11" s="217">
        <f t="shared" si="0"/>
        <v>33.409090909090907</v>
      </c>
      <c r="N11" s="218">
        <f t="shared" si="5"/>
        <v>6</v>
      </c>
      <c r="O11" s="14">
        <f t="shared" si="15"/>
        <v>0.8</v>
      </c>
      <c r="P11" s="216">
        <f t="shared" si="6"/>
        <v>212</v>
      </c>
      <c r="Q11" s="216"/>
      <c r="R11" s="216">
        <f t="shared" si="7"/>
        <v>212</v>
      </c>
      <c r="S11" s="13"/>
      <c r="T11" s="13">
        <f t="shared" si="8"/>
        <v>523</v>
      </c>
      <c r="U11" s="214">
        <v>200</v>
      </c>
      <c r="V11" s="214">
        <f t="shared" si="9"/>
        <v>174</v>
      </c>
      <c r="W11" s="214">
        <f t="shared" si="10"/>
        <v>200</v>
      </c>
      <c r="X11" s="219">
        <f t="shared" si="11"/>
        <v>723</v>
      </c>
      <c r="Y11" s="214">
        <f t="shared" si="1"/>
        <v>5</v>
      </c>
      <c r="Z11" s="214">
        <f t="shared" si="12"/>
        <v>27</v>
      </c>
      <c r="AA11" s="9">
        <f t="shared" si="13"/>
        <v>32.863636363636367</v>
      </c>
      <c r="AB11" s="9">
        <f t="shared" si="2"/>
        <v>26.777777777777779</v>
      </c>
      <c r="AC11" s="223">
        <f t="shared" si="3"/>
        <v>4</v>
      </c>
      <c r="AD11" s="224">
        <f t="shared" si="14"/>
        <v>27.807692307692307</v>
      </c>
      <c r="AE11" s="223"/>
      <c r="AG11" s="212" t="s">
        <v>413</v>
      </c>
      <c r="AH11" s="220" t="s">
        <v>2054</v>
      </c>
      <c r="AI11" s="211">
        <v>38</v>
      </c>
      <c r="AJ11" s="211">
        <v>54</v>
      </c>
      <c r="AK11" s="211">
        <v>40</v>
      </c>
      <c r="AL11" s="211">
        <v>72</v>
      </c>
      <c r="AM11" s="211">
        <v>87</v>
      </c>
      <c r="AN11" s="211">
        <v>45</v>
      </c>
      <c r="AO11" s="256">
        <v>37</v>
      </c>
      <c r="AP11" s="211">
        <v>38</v>
      </c>
      <c r="AQ11" s="211">
        <v>39</v>
      </c>
      <c r="AR11" s="211">
        <v>1</v>
      </c>
      <c r="AS11" s="211">
        <v>42</v>
      </c>
      <c r="AT11" s="211">
        <v>5</v>
      </c>
      <c r="AY11" s="245" t="s">
        <v>2050</v>
      </c>
      <c r="AZ11" s="2">
        <v>39</v>
      </c>
      <c r="BA11" s="2"/>
    </row>
    <row r="12" spans="1:53" ht="15" customHeight="1">
      <c r="A12" s="317">
        <v>10</v>
      </c>
      <c r="B12" s="359" t="s">
        <v>330</v>
      </c>
      <c r="C12" s="214">
        <f t="shared" si="16"/>
        <v>27</v>
      </c>
      <c r="D12" s="390">
        <v>0</v>
      </c>
      <c r="E12" s="390">
        <v>7</v>
      </c>
      <c r="F12" s="390">
        <v>8</v>
      </c>
      <c r="G12" s="390">
        <v>36</v>
      </c>
      <c r="H12" s="390">
        <v>45</v>
      </c>
      <c r="I12" s="390">
        <v>38</v>
      </c>
      <c r="J12" s="358">
        <v>45</v>
      </c>
      <c r="K12" s="358">
        <f t="shared" si="4"/>
        <v>179</v>
      </c>
      <c r="L12" s="219">
        <f>COUNTIFS(Dosen!D:D,B12,Dosen!C:C,"Aktif")</f>
        <v>8</v>
      </c>
      <c r="M12" s="217">
        <f t="shared" si="0"/>
        <v>22.375</v>
      </c>
      <c r="N12" s="218">
        <f t="shared" si="5"/>
        <v>0</v>
      </c>
      <c r="O12" s="14">
        <f t="shared" si="15"/>
        <v>0.8</v>
      </c>
      <c r="P12" s="216">
        <f t="shared" si="6"/>
        <v>41</v>
      </c>
      <c r="Q12" s="216"/>
      <c r="R12" s="216">
        <f t="shared" si="7"/>
        <v>41</v>
      </c>
      <c r="S12" s="13"/>
      <c r="T12" s="13">
        <f t="shared" si="8"/>
        <v>138</v>
      </c>
      <c r="U12" s="214">
        <v>80</v>
      </c>
      <c r="V12" s="214">
        <f t="shared" si="9"/>
        <v>46</v>
      </c>
      <c r="W12" s="214">
        <f t="shared" si="10"/>
        <v>80</v>
      </c>
      <c r="X12" s="219">
        <f t="shared" si="11"/>
        <v>218</v>
      </c>
      <c r="Y12" s="214">
        <f t="shared" si="1"/>
        <v>1</v>
      </c>
      <c r="Z12" s="214">
        <f t="shared" si="12"/>
        <v>9</v>
      </c>
      <c r="AA12" s="9">
        <f t="shared" si="13"/>
        <v>27.25</v>
      </c>
      <c r="AB12" s="9">
        <f t="shared" si="2"/>
        <v>24.222222222222221</v>
      </c>
      <c r="AC12" s="223">
        <f t="shared" si="3"/>
        <v>0</v>
      </c>
      <c r="AD12" s="224">
        <f t="shared" si="14"/>
        <v>27.25</v>
      </c>
      <c r="AE12" s="223"/>
      <c r="AG12" s="212" t="s">
        <v>475</v>
      </c>
      <c r="AH12" s="220" t="s">
        <v>2055</v>
      </c>
      <c r="AI12" s="211">
        <v>50</v>
      </c>
      <c r="AJ12" s="211">
        <v>60</v>
      </c>
      <c r="AK12" s="211">
        <v>80</v>
      </c>
      <c r="AL12" s="211">
        <v>70</v>
      </c>
      <c r="AM12" s="211">
        <v>137</v>
      </c>
      <c r="AN12" s="211">
        <v>52</v>
      </c>
      <c r="AO12" s="256">
        <v>47</v>
      </c>
      <c r="AP12" s="211">
        <v>45</v>
      </c>
      <c r="AQ12" s="211">
        <v>41</v>
      </c>
      <c r="AR12" s="211">
        <v>1</v>
      </c>
      <c r="AS12" s="211">
        <v>85</v>
      </c>
      <c r="AT12" s="211">
        <v>-28</v>
      </c>
      <c r="AY12" s="245" t="s">
        <v>2051</v>
      </c>
      <c r="AZ12" s="2">
        <v>169</v>
      </c>
      <c r="BA12" s="2"/>
    </row>
    <row r="13" spans="1:53" ht="15" customHeight="1">
      <c r="A13" s="317">
        <v>11</v>
      </c>
      <c r="B13" s="11" t="s">
        <v>370</v>
      </c>
      <c r="C13" s="214">
        <f t="shared" si="16"/>
        <v>27</v>
      </c>
      <c r="D13" s="390">
        <v>3</v>
      </c>
      <c r="E13" s="390">
        <v>14</v>
      </c>
      <c r="F13" s="390">
        <v>25</v>
      </c>
      <c r="G13" s="390">
        <v>59</v>
      </c>
      <c r="H13" s="390">
        <v>59</v>
      </c>
      <c r="I13" s="390">
        <v>107</v>
      </c>
      <c r="J13" s="358">
        <v>131</v>
      </c>
      <c r="K13" s="358">
        <f t="shared" si="4"/>
        <v>398</v>
      </c>
      <c r="L13" s="219">
        <f>COUNTIFS(Dosen!D:D,B13,Dosen!C:C,"Aktif")</f>
        <v>10</v>
      </c>
      <c r="M13" s="217">
        <f t="shared" si="0"/>
        <v>39.799999999999997</v>
      </c>
      <c r="N13" s="218">
        <f t="shared" si="5"/>
        <v>5</v>
      </c>
      <c r="O13" s="14">
        <f t="shared" si="15"/>
        <v>0.8</v>
      </c>
      <c r="P13" s="216">
        <f t="shared" si="6"/>
        <v>81</v>
      </c>
      <c r="Q13" s="216"/>
      <c r="R13" s="216">
        <f t="shared" si="7"/>
        <v>81</v>
      </c>
      <c r="S13" s="13"/>
      <c r="T13" s="13">
        <f t="shared" si="8"/>
        <v>317</v>
      </c>
      <c r="U13" s="214">
        <v>160</v>
      </c>
      <c r="V13" s="214">
        <f t="shared" si="9"/>
        <v>131</v>
      </c>
      <c r="W13" s="214">
        <f t="shared" si="10"/>
        <v>160</v>
      </c>
      <c r="X13" s="219">
        <f t="shared" si="11"/>
        <v>477</v>
      </c>
      <c r="Y13" s="214">
        <f t="shared" si="1"/>
        <v>8</v>
      </c>
      <c r="Z13" s="214">
        <f t="shared" si="12"/>
        <v>18</v>
      </c>
      <c r="AA13" s="9">
        <f t="shared" si="13"/>
        <v>47.7</v>
      </c>
      <c r="AB13" s="9">
        <f t="shared" si="2"/>
        <v>26.5</v>
      </c>
      <c r="AC13" s="223">
        <f t="shared" si="3"/>
        <v>7</v>
      </c>
      <c r="AD13" s="224">
        <f t="shared" si="14"/>
        <v>28.058823529411764</v>
      </c>
      <c r="AE13" s="223"/>
      <c r="AG13" s="212" t="s">
        <v>524</v>
      </c>
      <c r="AH13" s="220" t="s">
        <v>2056</v>
      </c>
      <c r="AI13" s="211">
        <v>73</v>
      </c>
      <c r="AJ13" s="211">
        <v>90</v>
      </c>
      <c r="AK13" s="211">
        <v>80</v>
      </c>
      <c r="AL13" s="211">
        <v>81</v>
      </c>
      <c r="AM13" s="211">
        <v>186</v>
      </c>
      <c r="AN13" s="211">
        <v>76</v>
      </c>
      <c r="AO13" s="256">
        <v>71</v>
      </c>
      <c r="AP13" s="211">
        <v>70</v>
      </c>
      <c r="AQ13" s="211">
        <v>61</v>
      </c>
      <c r="AR13" s="211">
        <v>2</v>
      </c>
      <c r="AS13" s="211">
        <v>110</v>
      </c>
      <c r="AT13" s="211">
        <v>-4</v>
      </c>
      <c r="AY13" s="245" t="s">
        <v>2052</v>
      </c>
      <c r="AZ13" s="2">
        <v>42</v>
      </c>
      <c r="BA13" s="2"/>
    </row>
    <row r="14" spans="1:53" ht="15.95">
      <c r="A14" s="17"/>
      <c r="B14" s="17"/>
      <c r="C14" s="18"/>
      <c r="D14" s="18">
        <f>SUM(D3:D13)</f>
        <v>27</v>
      </c>
      <c r="E14" s="18">
        <f t="shared" ref="E14:J14" si="17">SUM(E3:E13)</f>
        <v>180</v>
      </c>
      <c r="F14" s="18">
        <f t="shared" si="17"/>
        <v>198</v>
      </c>
      <c r="G14" s="18">
        <f t="shared" si="17"/>
        <v>670</v>
      </c>
      <c r="H14" s="18">
        <f t="shared" si="17"/>
        <v>761</v>
      </c>
      <c r="I14" s="18">
        <f t="shared" si="17"/>
        <v>1057</v>
      </c>
      <c r="J14" s="18">
        <f t="shared" si="17"/>
        <v>1142</v>
      </c>
      <c r="K14" s="358">
        <f t="shared" si="4"/>
        <v>4035</v>
      </c>
      <c r="L14" s="134">
        <f t="shared" ref="L14:Z14" si="18">SUM(L3:L13)</f>
        <v>120</v>
      </c>
      <c r="M14" s="374">
        <f>K14/L14</f>
        <v>33.625</v>
      </c>
      <c r="N14" s="134">
        <f>SUMIFS(N3:N13,N3:N13,"&gt;0")</f>
        <v>31</v>
      </c>
      <c r="O14" s="18">
        <f t="shared" si="18"/>
        <v>8.7999999999999989</v>
      </c>
      <c r="P14" s="18">
        <f t="shared" si="18"/>
        <v>864</v>
      </c>
      <c r="Q14" s="134">
        <f>SUM(Q3:Q13)</f>
        <v>0</v>
      </c>
      <c r="R14" s="108">
        <f>SUM(R3:R13)</f>
        <v>864</v>
      </c>
      <c r="S14" s="18"/>
      <c r="T14" s="18">
        <f t="shared" si="18"/>
        <v>3171</v>
      </c>
      <c r="U14" s="18">
        <f t="shared" si="18"/>
        <v>1200</v>
      </c>
      <c r="V14" s="18">
        <f>SUM(V3:V13)</f>
        <v>1128</v>
      </c>
      <c r="W14" s="18">
        <f>SUM(W3:W13)</f>
        <v>1200</v>
      </c>
      <c r="X14" s="18">
        <f t="shared" si="18"/>
        <v>4371</v>
      </c>
      <c r="Y14" s="18">
        <f>SUMIFS(Y3:Y13,Y3:Y13,"&gt;0")</f>
        <v>40</v>
      </c>
      <c r="Z14" s="18">
        <f t="shared" si="18"/>
        <v>160</v>
      </c>
      <c r="AA14" s="18"/>
      <c r="AB14" s="18"/>
      <c r="AC14" s="18">
        <f>SUM(AC3:AC13)</f>
        <v>32</v>
      </c>
      <c r="AD14" s="18"/>
      <c r="AE14" s="15"/>
      <c r="AI14" s="10">
        <f>SUM(AI3:AI13)</f>
        <v>1128</v>
      </c>
      <c r="AJ14" s="10">
        <f t="shared" ref="AJ14:AS14" si="19">SUM(AJ3:AJ13)</f>
        <v>1056</v>
      </c>
      <c r="AK14" s="10">
        <f t="shared" si="19"/>
        <v>1160</v>
      </c>
      <c r="AL14" s="10">
        <f t="shared" si="19"/>
        <v>2999</v>
      </c>
      <c r="AM14" s="10">
        <f t="shared" si="19"/>
        <v>3042</v>
      </c>
      <c r="AN14" s="10">
        <f t="shared" si="19"/>
        <v>1221</v>
      </c>
      <c r="AO14" s="10">
        <f>SUM(AO3:AO13)</f>
        <v>1071</v>
      </c>
      <c r="AP14" s="10">
        <f t="shared" si="19"/>
        <v>1058</v>
      </c>
      <c r="AQ14" s="10">
        <f t="shared" si="19"/>
        <v>999</v>
      </c>
      <c r="AR14" s="10">
        <f t="shared" si="19"/>
        <v>55</v>
      </c>
      <c r="AS14" s="10">
        <f t="shared" si="19"/>
        <v>1821</v>
      </c>
      <c r="AY14" s="245" t="s">
        <v>2053</v>
      </c>
      <c r="AZ14" s="2">
        <v>122</v>
      </c>
      <c r="BA14" s="2"/>
    </row>
    <row r="15" spans="1:53" ht="15.75" customHeight="1">
      <c r="G15" s="445" t="s">
        <v>2057</v>
      </c>
      <c r="H15" s="445"/>
      <c r="I15" s="445"/>
      <c r="J15" s="445"/>
      <c r="K15" s="10">
        <f>K14/L14</f>
        <v>33.625</v>
      </c>
      <c r="L15" s="424">
        <v>0.2397</v>
      </c>
      <c r="AY15" s="245" t="s">
        <v>2054</v>
      </c>
      <c r="AZ15" s="2">
        <v>37</v>
      </c>
      <c r="BA15" s="2"/>
    </row>
    <row r="16" spans="1:53" ht="62.25" customHeight="1">
      <c r="J16" s="429" t="s">
        <v>774</v>
      </c>
      <c r="K16" s="429" t="s">
        <v>2058</v>
      </c>
      <c r="L16" s="430" t="s">
        <v>2059</v>
      </c>
      <c r="M16" s="431" t="s">
        <v>2060</v>
      </c>
      <c r="N16" s="432" t="s">
        <v>2061</v>
      </c>
      <c r="O16" s="432" t="s">
        <v>2062</v>
      </c>
      <c r="P16" s="433" t="s">
        <v>2063</v>
      </c>
      <c r="Q16" s="433" t="s">
        <v>2064</v>
      </c>
      <c r="R16" s="433" t="s">
        <v>2065</v>
      </c>
      <c r="S16" s="433" t="s">
        <v>2066</v>
      </c>
      <c r="AH16" s="269" t="s">
        <v>759</v>
      </c>
      <c r="AI16" s="270" t="s">
        <v>2067</v>
      </c>
      <c r="AJ16" s="270" t="s">
        <v>2068</v>
      </c>
      <c r="AK16" s="270" t="s">
        <v>2069</v>
      </c>
      <c r="AL16" s="270" t="s">
        <v>2070</v>
      </c>
      <c r="AM16" s="271" t="s">
        <v>2067</v>
      </c>
      <c r="AN16" s="271" t="s">
        <v>2068</v>
      </c>
      <c r="AO16" s="272" t="s">
        <v>2069</v>
      </c>
      <c r="AP16" s="272" t="s">
        <v>2070</v>
      </c>
      <c r="AY16" s="245" t="s">
        <v>2055</v>
      </c>
      <c r="AZ16" s="2">
        <v>47</v>
      </c>
      <c r="BA16" s="2"/>
    </row>
    <row r="17" spans="2:53" ht="86.25">
      <c r="J17" s="434" t="s">
        <v>879</v>
      </c>
      <c r="K17" s="435">
        <f>L14+(100%*N14)</f>
        <v>151</v>
      </c>
      <c r="L17" s="436">
        <f>L15</f>
        <v>0.2397</v>
      </c>
      <c r="M17" s="435">
        <f>ROUNDUP(K17*L17,0)</f>
        <v>37</v>
      </c>
      <c r="N17" s="12">
        <v>25</v>
      </c>
      <c r="O17" s="435">
        <f>M17-N17</f>
        <v>12</v>
      </c>
      <c r="P17" s="428" t="s">
        <v>2071</v>
      </c>
      <c r="Q17" s="437">
        <v>5</v>
      </c>
      <c r="R17" s="437">
        <f>N17+Q17</f>
        <v>30</v>
      </c>
      <c r="S17" s="438">
        <f>R17/K17</f>
        <v>0.19867549668874171</v>
      </c>
      <c r="X17" s="440">
        <v>0.12</v>
      </c>
      <c r="Y17" s="424">
        <f>L17</f>
        <v>0.2397</v>
      </c>
      <c r="Z17" s="424">
        <f>Y17/X17</f>
        <v>1.9975000000000001</v>
      </c>
      <c r="AH17" s="269"/>
      <c r="AI17" s="270"/>
      <c r="AJ17" s="270"/>
      <c r="AK17" s="270"/>
      <c r="AL17" s="270"/>
      <c r="AM17" s="271"/>
      <c r="AN17" s="426"/>
      <c r="AO17" s="427"/>
      <c r="AP17" s="427"/>
      <c r="AY17" s="245"/>
      <c r="AZ17" s="2"/>
      <c r="BA17" s="2"/>
    </row>
    <row r="18" spans="2:53" ht="44.25">
      <c r="J18" s="429" t="s">
        <v>774</v>
      </c>
      <c r="K18" s="429" t="s">
        <v>2058</v>
      </c>
      <c r="L18" s="430" t="s">
        <v>2059</v>
      </c>
      <c r="M18" s="431" t="s">
        <v>2072</v>
      </c>
      <c r="N18" s="432" t="s">
        <v>2061</v>
      </c>
      <c r="O18" s="432" t="s">
        <v>2062</v>
      </c>
      <c r="P18" s="433" t="s">
        <v>2073</v>
      </c>
      <c r="Q18" s="433" t="s">
        <v>2074</v>
      </c>
      <c r="R18" s="433" t="s">
        <v>2075</v>
      </c>
      <c r="S18" s="433" t="s">
        <v>2076</v>
      </c>
      <c r="AH18" s="269"/>
      <c r="AI18" s="270"/>
      <c r="AJ18" s="270"/>
      <c r="AK18" s="270"/>
      <c r="AL18" s="270"/>
      <c r="AM18" s="271"/>
      <c r="AN18" s="426"/>
      <c r="AO18" s="427"/>
      <c r="AP18" s="427"/>
      <c r="AY18" s="245"/>
      <c r="AZ18" s="2"/>
      <c r="BA18" s="2"/>
    </row>
    <row r="19" spans="2:53" ht="115.5">
      <c r="J19" s="439" t="s">
        <v>2077</v>
      </c>
      <c r="K19" s="435">
        <f>K17</f>
        <v>151</v>
      </c>
      <c r="L19" s="436">
        <v>0.2727</v>
      </c>
      <c r="M19" s="435">
        <f>ROUNDUP(K19*L19,0)</f>
        <v>42</v>
      </c>
      <c r="N19" s="12">
        <v>37</v>
      </c>
      <c r="O19" s="435">
        <f>M19-N19</f>
        <v>5</v>
      </c>
      <c r="P19" s="428" t="s">
        <v>2078</v>
      </c>
      <c r="Q19" s="437">
        <v>8</v>
      </c>
      <c r="R19" s="437">
        <f>N19+Q19</f>
        <v>45</v>
      </c>
      <c r="S19" s="438">
        <f>R19/K19</f>
        <v>0.29801324503311261</v>
      </c>
      <c r="X19" s="10">
        <v>34</v>
      </c>
      <c r="Y19" s="10">
        <v>37</v>
      </c>
      <c r="Z19" s="424">
        <f>Y19/X19</f>
        <v>1.088235294117647</v>
      </c>
      <c r="AH19" s="269"/>
      <c r="AI19" s="270"/>
      <c r="AJ19" s="270"/>
      <c r="AK19" s="270"/>
      <c r="AL19" s="270"/>
      <c r="AM19" s="271"/>
      <c r="AN19" s="426"/>
      <c r="AO19" s="427"/>
      <c r="AP19" s="427"/>
      <c r="AY19" s="245"/>
      <c r="AZ19" s="2"/>
      <c r="BA19" s="2"/>
    </row>
    <row r="20" spans="2:53" ht="15.75" customHeight="1">
      <c r="L20" s="423"/>
      <c r="M20" s="425"/>
      <c r="P20" s="164"/>
      <c r="Q20" s="164"/>
      <c r="R20" s="164"/>
      <c r="S20" s="164"/>
      <c r="AH20" s="269"/>
      <c r="AI20" s="270"/>
      <c r="AJ20" s="270"/>
      <c r="AK20" s="270"/>
      <c r="AL20" s="270"/>
      <c r="AM20" s="271"/>
      <c r="AN20" s="426"/>
      <c r="AO20" s="427"/>
      <c r="AP20" s="427"/>
      <c r="AY20" s="245"/>
      <c r="AZ20" s="2"/>
      <c r="BA20" s="2"/>
    </row>
    <row r="21" spans="2:53" ht="15.75" customHeight="1">
      <c r="B21" s="10" t="s">
        <v>2079</v>
      </c>
      <c r="P21" s="165"/>
      <c r="Q21" s="165"/>
      <c r="R21" s="165"/>
      <c r="S21" s="166"/>
      <c r="T21" s="165"/>
      <c r="U21" s="165"/>
      <c r="V21" s="165"/>
      <c r="W21" s="165"/>
      <c r="X21" s="167"/>
      <c r="AG21" s="213" t="s">
        <v>22</v>
      </c>
      <c r="AH21" s="273" t="s">
        <v>2080</v>
      </c>
      <c r="AI21" s="274">
        <v>22</v>
      </c>
      <c r="AJ21" s="274">
        <v>16</v>
      </c>
      <c r="AK21" s="274">
        <f>AI21-AJ21</f>
        <v>6</v>
      </c>
      <c r="AL21" s="275">
        <f>(AJ21/AI21)*100</f>
        <v>72.727272727272734</v>
      </c>
      <c r="AM21" s="274">
        <v>44</v>
      </c>
      <c r="AN21" s="276">
        <v>28</v>
      </c>
      <c r="AO21" s="277">
        <f>AM21-AN21</f>
        <v>16</v>
      </c>
      <c r="AP21" s="278">
        <f>(AN21/AM21)*100</f>
        <v>63.636363636363633</v>
      </c>
      <c r="AQ21" s="10">
        <f>AJ21+AN21</f>
        <v>44</v>
      </c>
      <c r="AY21" s="245" t="s">
        <v>2056</v>
      </c>
      <c r="AZ21" s="2">
        <v>71</v>
      </c>
      <c r="BA21" s="2"/>
    </row>
    <row r="22" spans="2:53" ht="15.75" customHeight="1">
      <c r="B22" s="386"/>
      <c r="C22" s="387">
        <v>1819</v>
      </c>
      <c r="D22" s="388">
        <v>1920</v>
      </c>
      <c r="E22" s="388">
        <v>2021</v>
      </c>
      <c r="F22" s="388">
        <v>2122</v>
      </c>
      <c r="G22" s="388">
        <v>2223</v>
      </c>
      <c r="H22" s="388">
        <v>2324</v>
      </c>
      <c r="I22" s="388">
        <v>2425</v>
      </c>
      <c r="J22" s="388">
        <v>2526</v>
      </c>
      <c r="M22" s="387">
        <v>1819</v>
      </c>
      <c r="N22" s="388">
        <v>1920</v>
      </c>
      <c r="O22" s="388">
        <v>2021</v>
      </c>
      <c r="P22" s="388">
        <v>2122</v>
      </c>
      <c r="Q22" s="388">
        <v>2223</v>
      </c>
      <c r="R22" s="388">
        <v>2324</v>
      </c>
      <c r="S22" s="388">
        <v>2425</v>
      </c>
      <c r="T22" s="388">
        <v>2526</v>
      </c>
      <c r="U22" s="165"/>
      <c r="V22" s="165"/>
      <c r="W22" s="165"/>
      <c r="X22" s="167"/>
      <c r="AG22" s="212" t="s">
        <v>107</v>
      </c>
      <c r="AH22" s="273" t="s">
        <v>2081</v>
      </c>
      <c r="AI22" s="274">
        <v>9</v>
      </c>
      <c r="AJ22" s="274">
        <v>7</v>
      </c>
      <c r="AK22" s="274">
        <f t="shared" ref="AK22:AK31" si="20">AI22-AJ22</f>
        <v>2</v>
      </c>
      <c r="AL22" s="275">
        <f>(AJ22/AI22)*100</f>
        <v>77.777777777777786</v>
      </c>
      <c r="AM22" s="274">
        <v>58</v>
      </c>
      <c r="AN22" s="276">
        <v>55</v>
      </c>
      <c r="AO22" s="277">
        <f t="shared" ref="AO22:AO31" si="21">AM22-AN22</f>
        <v>3</v>
      </c>
      <c r="AP22" s="278">
        <f t="shared" ref="AP22:AP31" si="22">(AN22/AM22)*100</f>
        <v>94.827586206896555</v>
      </c>
      <c r="AQ22" s="10">
        <f t="shared" ref="AQ22:AQ31" si="23">AJ22+AN22</f>
        <v>62</v>
      </c>
    </row>
    <row r="23" spans="2:53" ht="15.75" customHeight="1">
      <c r="L23" s="389" t="s">
        <v>2081</v>
      </c>
      <c r="M23" s="386">
        <v>0</v>
      </c>
      <c r="N23" s="386">
        <v>0</v>
      </c>
      <c r="O23" s="386">
        <v>0</v>
      </c>
      <c r="P23" s="386">
        <v>33</v>
      </c>
      <c r="Q23" s="386">
        <v>116</v>
      </c>
      <c r="R23" s="386">
        <v>124</v>
      </c>
      <c r="S23" s="386">
        <v>183</v>
      </c>
      <c r="T23" s="386">
        <v>220</v>
      </c>
      <c r="U23" s="165"/>
      <c r="V23" s="165"/>
      <c r="W23" s="165"/>
      <c r="X23" s="167"/>
      <c r="AG23" s="212" t="s">
        <v>170</v>
      </c>
      <c r="AH23" s="273" t="s">
        <v>2082</v>
      </c>
      <c r="AI23" s="274">
        <v>13</v>
      </c>
      <c r="AJ23" s="274">
        <v>2</v>
      </c>
      <c r="AK23" s="274">
        <f t="shared" si="20"/>
        <v>11</v>
      </c>
      <c r="AL23" s="275">
        <f>(AJ23/AI23)*100</f>
        <v>15.384615384615385</v>
      </c>
      <c r="AM23" s="274">
        <v>30</v>
      </c>
      <c r="AN23" s="276">
        <v>21</v>
      </c>
      <c r="AO23" s="277">
        <f t="shared" si="21"/>
        <v>9</v>
      </c>
      <c r="AP23" s="278">
        <f t="shared" si="22"/>
        <v>70</v>
      </c>
      <c r="AQ23" s="10">
        <f t="shared" si="23"/>
        <v>23</v>
      </c>
    </row>
    <row r="24" spans="2:53" ht="15.75" customHeight="1">
      <c r="L24" s="387" t="s">
        <v>2080</v>
      </c>
      <c r="M24" s="386">
        <v>0</v>
      </c>
      <c r="N24" s="386">
        <v>0</v>
      </c>
      <c r="O24" s="386">
        <v>0</v>
      </c>
      <c r="P24" s="386">
        <v>33</v>
      </c>
      <c r="Q24" s="386">
        <v>93</v>
      </c>
      <c r="R24" s="386">
        <v>107</v>
      </c>
      <c r="S24" s="386">
        <v>183</v>
      </c>
      <c r="T24" s="386">
        <v>248</v>
      </c>
      <c r="U24" s="165"/>
      <c r="V24" s="165"/>
      <c r="W24" s="165"/>
      <c r="X24" s="167"/>
      <c r="AG24" s="212" t="s">
        <v>201</v>
      </c>
      <c r="AH24" s="273" t="s">
        <v>2083</v>
      </c>
      <c r="AI24" s="274">
        <v>0</v>
      </c>
      <c r="AJ24" s="274">
        <v>0</v>
      </c>
      <c r="AK24" s="274">
        <f t="shared" si="20"/>
        <v>0</v>
      </c>
      <c r="AL24" s="275"/>
      <c r="AM24" s="274">
        <v>19</v>
      </c>
      <c r="AN24" s="276">
        <v>19</v>
      </c>
      <c r="AO24" s="277">
        <f t="shared" si="21"/>
        <v>0</v>
      </c>
      <c r="AP24" s="278">
        <f t="shared" si="22"/>
        <v>100</v>
      </c>
      <c r="AQ24" s="10">
        <f t="shared" si="23"/>
        <v>19</v>
      </c>
    </row>
    <row r="25" spans="2:53" ht="15.75" customHeight="1">
      <c r="L25" s="389" t="s">
        <v>2083</v>
      </c>
      <c r="M25" s="386">
        <v>0</v>
      </c>
      <c r="N25" s="386">
        <v>0</v>
      </c>
      <c r="O25" s="386">
        <v>0</v>
      </c>
      <c r="P25" s="386">
        <v>3</v>
      </c>
      <c r="Q25" s="386">
        <v>43</v>
      </c>
      <c r="R25" s="386">
        <v>71</v>
      </c>
      <c r="S25" s="386">
        <v>86</v>
      </c>
      <c r="T25" s="386">
        <v>71</v>
      </c>
      <c r="U25" s="165"/>
      <c r="V25" s="165"/>
      <c r="W25" s="165"/>
      <c r="X25" s="167"/>
      <c r="AG25" s="212" t="s">
        <v>235</v>
      </c>
      <c r="AH25" s="273" t="s">
        <v>2084</v>
      </c>
      <c r="AI25" s="274">
        <v>70</v>
      </c>
      <c r="AJ25" s="274">
        <v>27</v>
      </c>
      <c r="AK25" s="274">
        <f t="shared" si="20"/>
        <v>43</v>
      </c>
      <c r="AL25" s="275">
        <f>(AJ25/AI25)*100</f>
        <v>38.571428571428577</v>
      </c>
      <c r="AM25" s="274">
        <v>154</v>
      </c>
      <c r="AN25" s="276">
        <v>101</v>
      </c>
      <c r="AO25" s="277">
        <f t="shared" si="21"/>
        <v>53</v>
      </c>
      <c r="AP25" s="278">
        <f t="shared" si="22"/>
        <v>65.584415584415595</v>
      </c>
      <c r="AQ25" s="10">
        <f t="shared" si="23"/>
        <v>128</v>
      </c>
    </row>
    <row r="26" spans="2:53" ht="15.75" customHeight="1">
      <c r="L26" s="389" t="s">
        <v>2085</v>
      </c>
      <c r="M26" s="386">
        <v>0</v>
      </c>
      <c r="N26" s="386">
        <v>0</v>
      </c>
      <c r="O26" s="386">
        <v>0</v>
      </c>
      <c r="P26" s="386">
        <v>2</v>
      </c>
      <c r="Q26" s="386">
        <v>17</v>
      </c>
      <c r="R26" s="386">
        <v>29</v>
      </c>
      <c r="S26" s="386">
        <v>28</v>
      </c>
      <c r="T26" s="386">
        <v>40</v>
      </c>
      <c r="U26" s="165"/>
      <c r="V26" s="165"/>
      <c r="W26" s="165"/>
      <c r="X26" s="167"/>
      <c r="AG26" s="212" t="s">
        <v>330</v>
      </c>
      <c r="AH26" s="273" t="s">
        <v>2086</v>
      </c>
      <c r="AI26" s="274">
        <v>21</v>
      </c>
      <c r="AJ26" s="274">
        <v>14</v>
      </c>
      <c r="AK26" s="274">
        <f t="shared" si="20"/>
        <v>7</v>
      </c>
      <c r="AL26" s="275">
        <f>(AJ26/AI26)*100</f>
        <v>66.666666666666657</v>
      </c>
      <c r="AM26" s="274">
        <v>18</v>
      </c>
      <c r="AN26" s="276">
        <v>14</v>
      </c>
      <c r="AO26" s="277">
        <f t="shared" si="21"/>
        <v>4</v>
      </c>
      <c r="AP26" s="278">
        <f t="shared" si="22"/>
        <v>77.777777777777786</v>
      </c>
      <c r="AQ26" s="10">
        <f t="shared" si="23"/>
        <v>28</v>
      </c>
    </row>
    <row r="27" spans="2:53" ht="15.75" customHeight="1">
      <c r="L27" s="389" t="s">
        <v>2087</v>
      </c>
      <c r="M27" s="386">
        <v>0</v>
      </c>
      <c r="N27" s="386">
        <v>11</v>
      </c>
      <c r="O27" s="386">
        <v>20</v>
      </c>
      <c r="P27" s="386">
        <v>15</v>
      </c>
      <c r="Q27" s="386">
        <v>34</v>
      </c>
      <c r="R27" s="386">
        <v>44</v>
      </c>
      <c r="S27" s="386">
        <v>56</v>
      </c>
      <c r="T27" s="386">
        <v>41</v>
      </c>
      <c r="U27" s="165"/>
      <c r="V27" s="165"/>
      <c r="W27" s="165"/>
      <c r="X27" s="167"/>
      <c r="AG27" s="212" t="s">
        <v>370</v>
      </c>
      <c r="AH27" s="273" t="s">
        <v>2088</v>
      </c>
      <c r="AI27" s="274">
        <v>20</v>
      </c>
      <c r="AJ27" s="274">
        <v>16</v>
      </c>
      <c r="AK27" s="274">
        <f t="shared" si="20"/>
        <v>4</v>
      </c>
      <c r="AL27" s="275">
        <f>(AJ27/AI27)*100</f>
        <v>80</v>
      </c>
      <c r="AM27" s="274">
        <v>46</v>
      </c>
      <c r="AN27" s="276">
        <v>36</v>
      </c>
      <c r="AO27" s="277">
        <f t="shared" si="21"/>
        <v>10</v>
      </c>
      <c r="AP27" s="278">
        <f t="shared" si="22"/>
        <v>78.260869565217391</v>
      </c>
      <c r="AQ27" s="10">
        <f t="shared" si="23"/>
        <v>52</v>
      </c>
    </row>
    <row r="28" spans="2:53" ht="15.75" customHeight="1">
      <c r="L28" s="389" t="s">
        <v>2089</v>
      </c>
      <c r="M28" s="386">
        <v>0</v>
      </c>
      <c r="N28" s="386">
        <v>4</v>
      </c>
      <c r="O28" s="386">
        <v>35</v>
      </c>
      <c r="P28" s="386">
        <v>11</v>
      </c>
      <c r="Q28" s="386">
        <v>52</v>
      </c>
      <c r="R28" s="386">
        <v>66</v>
      </c>
      <c r="S28" s="386">
        <v>91</v>
      </c>
      <c r="T28" s="386">
        <v>75</v>
      </c>
      <c r="U28" s="165"/>
      <c r="V28" s="165"/>
      <c r="W28" s="165"/>
      <c r="X28" s="167"/>
      <c r="AG28" s="212" t="s">
        <v>413</v>
      </c>
      <c r="AH28" s="273" t="s">
        <v>2087</v>
      </c>
      <c r="AI28" s="274">
        <v>25</v>
      </c>
      <c r="AJ28" s="274">
        <v>9</v>
      </c>
      <c r="AK28" s="274">
        <f t="shared" si="20"/>
        <v>16</v>
      </c>
      <c r="AL28" s="275">
        <f>(AJ28/AI28)*100</f>
        <v>36</v>
      </c>
      <c r="AM28" s="274">
        <v>26</v>
      </c>
      <c r="AN28" s="276">
        <v>11</v>
      </c>
      <c r="AO28" s="277">
        <f t="shared" si="21"/>
        <v>15</v>
      </c>
      <c r="AP28" s="278">
        <f t="shared" si="22"/>
        <v>42.307692307692307</v>
      </c>
      <c r="AQ28" s="10">
        <f t="shared" si="23"/>
        <v>20</v>
      </c>
    </row>
    <row r="29" spans="2:53" ht="15.75" customHeight="1">
      <c r="L29" s="389" t="s">
        <v>2082</v>
      </c>
      <c r="M29" s="386">
        <v>0</v>
      </c>
      <c r="N29" s="386">
        <v>1</v>
      </c>
      <c r="O29" s="386">
        <v>27</v>
      </c>
      <c r="P29" s="386">
        <v>10</v>
      </c>
      <c r="Q29" s="386">
        <v>43</v>
      </c>
      <c r="R29" s="386">
        <v>44</v>
      </c>
      <c r="S29" s="386">
        <v>55</v>
      </c>
      <c r="T29" s="386">
        <v>39</v>
      </c>
      <c r="U29" s="165"/>
      <c r="V29" s="165"/>
      <c r="W29" s="165"/>
      <c r="X29" s="167"/>
      <c r="AG29" s="212" t="s">
        <v>448</v>
      </c>
      <c r="AH29" s="273" t="s">
        <v>2085</v>
      </c>
      <c r="AI29" s="274">
        <v>0</v>
      </c>
      <c r="AJ29" s="274">
        <v>0</v>
      </c>
      <c r="AK29" s="274">
        <f t="shared" si="20"/>
        <v>0</v>
      </c>
      <c r="AL29" s="275"/>
      <c r="AM29" s="274">
        <v>6</v>
      </c>
      <c r="AN29" s="276">
        <v>5</v>
      </c>
      <c r="AO29" s="277">
        <f t="shared" si="21"/>
        <v>1</v>
      </c>
      <c r="AP29" s="278">
        <f t="shared" si="22"/>
        <v>83.333333333333343</v>
      </c>
      <c r="AQ29" s="10">
        <f t="shared" si="23"/>
        <v>5</v>
      </c>
    </row>
    <row r="30" spans="2:53" ht="15.75" customHeight="1">
      <c r="L30" s="389" t="s">
        <v>2090</v>
      </c>
      <c r="M30" s="386">
        <v>0</v>
      </c>
      <c r="N30" s="386">
        <v>5</v>
      </c>
      <c r="O30" s="386">
        <v>5</v>
      </c>
      <c r="P30" s="386">
        <v>3</v>
      </c>
      <c r="Q30" s="386">
        <v>43</v>
      </c>
      <c r="R30" s="386">
        <v>47</v>
      </c>
      <c r="S30" s="386">
        <v>60</v>
      </c>
      <c r="T30" s="386">
        <v>56</v>
      </c>
      <c r="U30" s="165"/>
      <c r="V30" s="165"/>
      <c r="W30" s="165"/>
      <c r="X30" s="167"/>
      <c r="AG30" s="212" t="s">
        <v>475</v>
      </c>
      <c r="AH30" s="273" t="s">
        <v>2090</v>
      </c>
      <c r="AI30" s="274">
        <v>48</v>
      </c>
      <c r="AJ30" s="274">
        <v>36</v>
      </c>
      <c r="AK30" s="274">
        <f t="shared" si="20"/>
        <v>12</v>
      </c>
      <c r="AL30" s="275">
        <f>(AJ30/AI30)*100</f>
        <v>75</v>
      </c>
      <c r="AM30" s="274">
        <v>21</v>
      </c>
      <c r="AN30" s="276">
        <v>18</v>
      </c>
      <c r="AO30" s="277">
        <f t="shared" si="21"/>
        <v>3</v>
      </c>
      <c r="AP30" s="278">
        <f t="shared" si="22"/>
        <v>85.714285714285708</v>
      </c>
      <c r="AQ30" s="10">
        <f t="shared" si="23"/>
        <v>54</v>
      </c>
    </row>
    <row r="31" spans="2:53" ht="15.75" customHeight="1">
      <c r="L31" s="389" t="s">
        <v>2084</v>
      </c>
      <c r="M31" s="386">
        <v>0</v>
      </c>
      <c r="N31" s="386">
        <v>3</v>
      </c>
      <c r="O31" s="386">
        <v>72</v>
      </c>
      <c r="P31" s="386">
        <v>55</v>
      </c>
      <c r="Q31" s="386">
        <v>134</v>
      </c>
      <c r="R31" s="386">
        <v>125</v>
      </c>
      <c r="S31" s="386">
        <v>170</v>
      </c>
      <c r="T31" s="386">
        <v>176</v>
      </c>
      <c r="U31" s="165"/>
      <c r="V31" s="165"/>
      <c r="W31" s="165"/>
      <c r="X31" s="167"/>
      <c r="AG31" s="212" t="s">
        <v>524</v>
      </c>
      <c r="AH31" s="273" t="s">
        <v>2089</v>
      </c>
      <c r="AI31" s="274">
        <v>13</v>
      </c>
      <c r="AJ31" s="274">
        <v>0</v>
      </c>
      <c r="AK31" s="274">
        <f t="shared" si="20"/>
        <v>13</v>
      </c>
      <c r="AL31" s="275">
        <f>(AJ31/AI31)*100</f>
        <v>0</v>
      </c>
      <c r="AM31" s="274">
        <v>49</v>
      </c>
      <c r="AN31" s="276">
        <v>36</v>
      </c>
      <c r="AO31" s="277">
        <f t="shared" si="21"/>
        <v>13</v>
      </c>
      <c r="AP31" s="278">
        <f t="shared" si="22"/>
        <v>73.469387755102048</v>
      </c>
      <c r="AQ31" s="10">
        <f t="shared" si="23"/>
        <v>36</v>
      </c>
    </row>
    <row r="32" spans="2:53" ht="15.75" customHeight="1">
      <c r="L32" s="389" t="s">
        <v>2086</v>
      </c>
      <c r="M32" s="386">
        <v>0</v>
      </c>
      <c r="N32" s="386">
        <v>0</v>
      </c>
      <c r="O32" s="386">
        <v>7</v>
      </c>
      <c r="P32" s="386">
        <v>8</v>
      </c>
      <c r="Q32" s="386">
        <v>36</v>
      </c>
      <c r="R32" s="386">
        <v>45</v>
      </c>
      <c r="S32" s="386">
        <v>38</v>
      </c>
      <c r="T32" s="386">
        <v>45</v>
      </c>
    </row>
    <row r="33" spans="12:31" ht="15.75" customHeight="1">
      <c r="L33" s="389" t="s">
        <v>2088</v>
      </c>
      <c r="M33" s="386">
        <v>0</v>
      </c>
      <c r="N33" s="386">
        <v>3</v>
      </c>
      <c r="O33" s="386">
        <v>14</v>
      </c>
      <c r="P33" s="386">
        <v>25</v>
      </c>
      <c r="Q33" s="386">
        <v>59</v>
      </c>
      <c r="R33" s="386">
        <v>59</v>
      </c>
      <c r="S33" s="386">
        <v>107</v>
      </c>
      <c r="T33" s="386">
        <v>131</v>
      </c>
    </row>
    <row r="36" spans="12:31" ht="15.75" customHeight="1">
      <c r="AE36" s="359"/>
    </row>
    <row r="37" spans="12:31" ht="15.75" customHeight="1">
      <c r="AE37" s="16"/>
    </row>
    <row r="38" spans="12:31" ht="15.75" customHeight="1">
      <c r="AE38" s="359"/>
    </row>
    <row r="39" spans="12:31" ht="15.75" customHeight="1">
      <c r="AE39" s="11"/>
    </row>
    <row r="40" spans="12:31" ht="15.75" customHeight="1">
      <c r="AE40" s="359"/>
    </row>
    <row r="41" spans="12:31" ht="15.75" customHeight="1">
      <c r="AE41" s="11"/>
    </row>
    <row r="42" spans="12:31" ht="15.75" customHeight="1">
      <c r="AE42" s="11"/>
    </row>
    <row r="43" spans="12:31" ht="15.75" customHeight="1">
      <c r="AE43" s="11"/>
    </row>
    <row r="44" spans="12:31" ht="15.75" customHeight="1">
      <c r="AE44" s="359"/>
    </row>
    <row r="45" spans="12:31" ht="15.75" customHeight="1">
      <c r="AE45" s="359"/>
    </row>
    <row r="46" spans="12:31" ht="15.75" customHeight="1">
      <c r="AE46" s="11"/>
    </row>
  </sheetData>
  <mergeCells count="7">
    <mergeCell ref="O1:T1"/>
    <mergeCell ref="U1:AB1"/>
    <mergeCell ref="G15:J15"/>
    <mergeCell ref="A1:A2"/>
    <mergeCell ref="B1:B2"/>
    <mergeCell ref="C1:C2"/>
    <mergeCell ref="D1:M1"/>
  </mergeCells>
  <conditionalFormatting sqref="C5:C13">
    <cfRule type="cellIs" dxfId="18" priority="6" operator="greaterThan">
      <formula>$C3</formula>
    </cfRule>
  </conditionalFormatting>
  <conditionalFormatting sqref="M3:M14">
    <cfRule type="cellIs" dxfId="17" priority="2" operator="greaterThan">
      <formula>C3</formula>
    </cfRule>
  </conditionalFormatting>
  <conditionalFormatting sqref="V3:V13">
    <cfRule type="cellIs" dxfId="16" priority="5" operator="lessThan">
      <formula>U3</formula>
    </cfRule>
  </conditionalFormatting>
  <conditionalFormatting sqref="AA3:AA13">
    <cfRule type="cellIs" dxfId="15" priority="4" operator="greaterThan">
      <formula>C3</formula>
    </cfRule>
  </conditionalFormatting>
  <conditionalFormatting sqref="AB3:AB13">
    <cfRule type="cellIs" dxfId="14" priority="3" operator="greaterThan">
      <formula>C3</formula>
    </cfRule>
  </conditionalFormatting>
  <conditionalFormatting sqref="AD3:AD13">
    <cfRule type="cellIs" dxfId="13" priority="1" operator="greaterThan">
      <formula>C3</formula>
    </cfRule>
  </conditionalFormatting>
  <conditionalFormatting sqref="AD4:AE13">
    <cfRule type="cellIs" dxfId="12" priority="7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A4CB-C009-4AB7-AEC7-FE2A663002CF}">
  <dimension ref="A1:BD305"/>
  <sheetViews>
    <sheetView workbookViewId="0">
      <pane xSplit="6" ySplit="4" topLeftCell="BB32" activePane="bottomRight" state="frozen"/>
      <selection pane="bottomRight" activeCell="BB32" sqref="BB32"/>
      <selection pane="bottomLeft"/>
      <selection pane="topRight"/>
    </sheetView>
  </sheetViews>
  <sheetFormatPr defaultColWidth="28.140625" defaultRowHeight="15"/>
  <cols>
    <col min="1" max="1" width="44.85546875" bestFit="1" customWidth="1"/>
    <col min="2" max="2" width="18.42578125" bestFit="1" customWidth="1"/>
    <col min="3" max="3" width="19.28515625" customWidth="1"/>
    <col min="4" max="4" width="9.140625" bestFit="1" customWidth="1"/>
    <col min="5" max="5" width="15" bestFit="1" customWidth="1"/>
    <col min="6" max="6" width="20.42578125" bestFit="1" customWidth="1"/>
    <col min="7" max="27" width="10.85546875" bestFit="1" customWidth="1"/>
    <col min="29" max="29" width="6.42578125" bestFit="1" customWidth="1"/>
    <col min="30" max="50" width="5.28515625" customWidth="1"/>
    <col min="51" max="54" width="13.85546875" customWidth="1"/>
  </cols>
  <sheetData>
    <row r="1" spans="1:56" ht="18.95">
      <c r="A1" s="257" t="s">
        <v>1</v>
      </c>
      <c r="B1" s="262" t="s">
        <v>20</v>
      </c>
      <c r="C1" s="262" t="s">
        <v>2091</v>
      </c>
      <c r="D1" s="262" t="s">
        <v>1540</v>
      </c>
      <c r="E1" s="263" t="s">
        <v>2092</v>
      </c>
      <c r="F1" s="262" t="s">
        <v>1583</v>
      </c>
      <c r="G1" s="451" t="s">
        <v>2093</v>
      </c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>
        <v>2018</v>
      </c>
      <c r="T1">
        <v>2019</v>
      </c>
      <c r="U1">
        <v>2020</v>
      </c>
      <c r="V1">
        <v>2021</v>
      </c>
      <c r="W1">
        <v>2022</v>
      </c>
      <c r="X1">
        <v>2023</v>
      </c>
      <c r="Y1">
        <v>2024</v>
      </c>
      <c r="Z1">
        <v>2025</v>
      </c>
      <c r="AA1">
        <v>2026</v>
      </c>
    </row>
    <row r="2" spans="1:56" ht="18">
      <c r="A2" s="257"/>
      <c r="B2" s="257"/>
      <c r="C2" s="257"/>
      <c r="D2" s="257"/>
      <c r="E2" s="257"/>
      <c r="F2" s="257"/>
      <c r="G2" s="116">
        <v>1</v>
      </c>
      <c r="H2" s="116">
        <v>2</v>
      </c>
      <c r="I2" s="116">
        <v>3</v>
      </c>
      <c r="J2" s="116">
        <v>4</v>
      </c>
      <c r="K2" s="116">
        <v>5</v>
      </c>
      <c r="L2" s="116">
        <v>6</v>
      </c>
      <c r="M2" s="116">
        <v>7</v>
      </c>
      <c r="N2" s="116">
        <v>8</v>
      </c>
      <c r="O2" s="116">
        <v>9</v>
      </c>
      <c r="P2" s="116">
        <v>10</v>
      </c>
      <c r="Q2" s="116">
        <v>11</v>
      </c>
      <c r="R2" s="116">
        <v>12</v>
      </c>
    </row>
    <row r="3" spans="1:56" ht="18">
      <c r="A3" s="257"/>
      <c r="B3" s="257"/>
      <c r="C3" s="257"/>
      <c r="D3" s="257"/>
      <c r="E3" s="257"/>
      <c r="F3" s="257"/>
      <c r="G3" s="264">
        <v>45688</v>
      </c>
      <c r="H3" s="264">
        <v>45716</v>
      </c>
      <c r="I3" s="264">
        <v>45747</v>
      </c>
      <c r="J3" s="264">
        <v>45777</v>
      </c>
      <c r="K3" s="264">
        <v>45808</v>
      </c>
      <c r="L3" s="264">
        <v>45838</v>
      </c>
      <c r="M3" s="264">
        <v>45869</v>
      </c>
      <c r="N3" s="264">
        <v>45900</v>
      </c>
      <c r="O3" s="264">
        <v>45930</v>
      </c>
      <c r="P3" s="264">
        <v>45961</v>
      </c>
      <c r="Q3" s="264">
        <v>45991</v>
      </c>
      <c r="R3" s="264">
        <v>46022</v>
      </c>
      <c r="S3" s="264">
        <v>43465</v>
      </c>
      <c r="T3" s="264">
        <v>43830</v>
      </c>
      <c r="U3" s="264">
        <v>44196</v>
      </c>
      <c r="V3" s="264">
        <v>44561</v>
      </c>
      <c r="W3" s="264">
        <v>44926</v>
      </c>
      <c r="X3" s="264">
        <v>45291</v>
      </c>
      <c r="Y3" s="264">
        <v>45657</v>
      </c>
      <c r="Z3" s="264">
        <f ca="1">TODAY()</f>
        <v>46041</v>
      </c>
      <c r="AA3" s="264">
        <v>46387</v>
      </c>
    </row>
    <row r="4" spans="1:56" ht="18">
      <c r="A4" s="257">
        <v>1</v>
      </c>
      <c r="B4" s="257">
        <v>2</v>
      </c>
      <c r="C4" s="257">
        <v>3</v>
      </c>
      <c r="D4" s="257">
        <v>5</v>
      </c>
      <c r="E4" s="257">
        <v>6</v>
      </c>
      <c r="F4" s="257">
        <v>7</v>
      </c>
      <c r="G4" s="257">
        <v>8</v>
      </c>
      <c r="H4" s="257">
        <v>9</v>
      </c>
      <c r="I4" s="257">
        <v>10</v>
      </c>
      <c r="J4" s="257">
        <v>11</v>
      </c>
      <c r="K4" s="257">
        <v>12</v>
      </c>
      <c r="L4" s="257">
        <v>13</v>
      </c>
      <c r="M4" s="257">
        <v>14</v>
      </c>
      <c r="N4" s="257">
        <v>15</v>
      </c>
      <c r="O4" s="257">
        <v>16</v>
      </c>
      <c r="P4" s="257">
        <v>17</v>
      </c>
      <c r="Q4" s="257">
        <v>18</v>
      </c>
      <c r="R4" s="257">
        <v>19</v>
      </c>
      <c r="S4" s="257">
        <v>20</v>
      </c>
      <c r="T4" s="257">
        <v>21</v>
      </c>
      <c r="U4" s="257">
        <v>22</v>
      </c>
      <c r="V4" s="257">
        <v>23</v>
      </c>
      <c r="W4" s="257">
        <v>24</v>
      </c>
      <c r="X4" s="257">
        <v>25</v>
      </c>
      <c r="Y4" s="257">
        <v>26</v>
      </c>
      <c r="Z4" s="257">
        <v>27</v>
      </c>
      <c r="AA4" s="257">
        <v>28</v>
      </c>
    </row>
    <row r="5" spans="1:56" ht="18">
      <c r="A5" s="258" t="s">
        <v>19</v>
      </c>
      <c r="B5" s="258" t="str">
        <f>VLOOKUP(A5,'Data Pegawai'!B:P,2,FALSE)</f>
        <v>Aktif</v>
      </c>
      <c r="C5" s="258" t="str">
        <f>VLOOKUP(A5,'Data Pegawai'!B:P,4,FALSE)</f>
        <v>L</v>
      </c>
      <c r="D5" s="258" t="str">
        <f>VLOOKUP(A5,'Data Pegawai'!B:P,3,FALSE)</f>
        <v>Dosen</v>
      </c>
      <c r="E5" s="265">
        <f>VLOOKUP(A5,'Data Pegawai'!B:P,13,FALSE)</f>
        <v>45544</v>
      </c>
      <c r="F5" s="265">
        <f ca="1">IF(VLOOKUP(A5,'Data Pegawai'!B:P,14,FALSE)=0,EOMONTH(TODAY(),0),VLOOKUP(A5,'Data Pegawai'!B:P,13,FALSE))</f>
        <v>46053</v>
      </c>
      <c r="G5">
        <f t="shared" ref="G5:AA20" ca="1" si="0">IF(AND(G$3&gt;=$E5,G$3&lt;=$F5),1,0)</f>
        <v>1</v>
      </c>
      <c r="H5">
        <f t="shared" ca="1" si="0"/>
        <v>1</v>
      </c>
      <c r="I5">
        <f t="shared" ca="1" si="0"/>
        <v>1</v>
      </c>
      <c r="J5">
        <f t="shared" ca="1" si="0"/>
        <v>1</v>
      </c>
      <c r="K5">
        <f t="shared" ca="1" si="0"/>
        <v>1</v>
      </c>
      <c r="L5">
        <f t="shared" ca="1" si="0"/>
        <v>1</v>
      </c>
      <c r="M5">
        <f t="shared" ca="1" si="0"/>
        <v>1</v>
      </c>
      <c r="N5">
        <f t="shared" ca="1" si="0"/>
        <v>1</v>
      </c>
      <c r="O5">
        <f t="shared" ca="1" si="0"/>
        <v>1</v>
      </c>
      <c r="P5">
        <f t="shared" ca="1" si="0"/>
        <v>1</v>
      </c>
      <c r="Q5">
        <f t="shared" ca="1" si="0"/>
        <v>1</v>
      </c>
      <c r="R5">
        <f t="shared" ca="1" si="0"/>
        <v>1</v>
      </c>
      <c r="S5">
        <f t="shared" ca="1" si="0"/>
        <v>0</v>
      </c>
      <c r="T5">
        <f t="shared" ca="1" si="0"/>
        <v>0</v>
      </c>
      <c r="U5">
        <f t="shared" ca="1" si="0"/>
        <v>0</v>
      </c>
      <c r="V5">
        <f t="shared" ca="1" si="0"/>
        <v>0</v>
      </c>
      <c r="W5">
        <f t="shared" ca="1" si="0"/>
        <v>0</v>
      </c>
      <c r="X5">
        <f t="shared" ca="1" si="0"/>
        <v>0</v>
      </c>
      <c r="Y5">
        <f t="shared" ca="1" si="0"/>
        <v>1</v>
      </c>
      <c r="Z5">
        <f t="shared" ca="1" si="0"/>
        <v>1</v>
      </c>
      <c r="AA5">
        <f t="shared" ca="1" si="0"/>
        <v>0</v>
      </c>
      <c r="AD5" s="451">
        <v>2025</v>
      </c>
      <c r="AE5" s="451"/>
      <c r="AF5" s="451"/>
      <c r="AG5" s="451"/>
      <c r="AH5" s="451"/>
      <c r="AI5" s="451"/>
      <c r="AJ5" s="451"/>
      <c r="AK5" s="451"/>
      <c r="AL5" s="451"/>
      <c r="AM5" s="451"/>
      <c r="AN5" s="451"/>
      <c r="AO5" s="451"/>
    </row>
    <row r="6" spans="1:56" ht="18">
      <c r="A6" s="258" t="s">
        <v>28</v>
      </c>
      <c r="B6" s="258" t="str">
        <f>VLOOKUP(A6,'Data Pegawai'!B:P,2,FALSE)</f>
        <v>Aktif</v>
      </c>
      <c r="C6" s="258" t="str">
        <f>VLOOKUP(A6,'Data Pegawai'!B:P,4,FALSE)</f>
        <v>AA</v>
      </c>
      <c r="D6" s="258" t="str">
        <f>VLOOKUP(A6,'Data Pegawai'!B:P,3,FALSE)</f>
        <v>Dosen</v>
      </c>
      <c r="E6" s="265">
        <f>VLOOKUP(A6,'Data Pegawai'!B:P,13,FALSE)</f>
        <v>44627</v>
      </c>
      <c r="F6" s="265">
        <f ca="1">IF(VLOOKUP(A6,'Data Pegawai'!B:P,14,FALSE)=0,EOMONTH(TODAY(),0),VLOOKUP(A6,'Data Pegawai'!B:P,13,FALSE))</f>
        <v>46053</v>
      </c>
      <c r="G6">
        <f t="shared" ca="1" si="0"/>
        <v>1</v>
      </c>
      <c r="H6">
        <f t="shared" ref="H6:V21" ca="1" si="1">IF(AND(H$3&gt;=$E6,H$3&lt;=$F6),1,0)</f>
        <v>1</v>
      </c>
      <c r="I6">
        <f t="shared" ca="1" si="1"/>
        <v>1</v>
      </c>
      <c r="J6">
        <f t="shared" ca="1" si="1"/>
        <v>1</v>
      </c>
      <c r="K6">
        <f t="shared" ca="1" si="1"/>
        <v>1</v>
      </c>
      <c r="L6">
        <f t="shared" ca="1" si="1"/>
        <v>1</v>
      </c>
      <c r="M6">
        <f t="shared" ca="1" si="1"/>
        <v>1</v>
      </c>
      <c r="N6">
        <f t="shared" ca="1" si="1"/>
        <v>1</v>
      </c>
      <c r="O6">
        <f t="shared" ca="1" si="1"/>
        <v>1</v>
      </c>
      <c r="P6">
        <f t="shared" ca="1" si="1"/>
        <v>1</v>
      </c>
      <c r="Q6">
        <f t="shared" ca="1" si="1"/>
        <v>1</v>
      </c>
      <c r="R6">
        <f t="shared" ca="1" si="1"/>
        <v>1</v>
      </c>
      <c r="S6">
        <f t="shared" ca="1" si="1"/>
        <v>0</v>
      </c>
      <c r="T6">
        <f t="shared" ca="1" si="1"/>
        <v>0</v>
      </c>
      <c r="U6">
        <f t="shared" ca="1" si="1"/>
        <v>0</v>
      </c>
      <c r="V6">
        <f t="shared" ca="1" si="1"/>
        <v>0</v>
      </c>
      <c r="W6">
        <f t="shared" ref="W6:AA20" ca="1" si="2">IF(AND(W$3&gt;=$E6,W$3&lt;=$F6),1,0)</f>
        <v>1</v>
      </c>
      <c r="X6">
        <f t="shared" ca="1" si="2"/>
        <v>1</v>
      </c>
      <c r="Y6">
        <f t="shared" ca="1" si="2"/>
        <v>1</v>
      </c>
      <c r="Z6">
        <f t="shared" ca="1" si="2"/>
        <v>1</v>
      </c>
      <c r="AA6">
        <f t="shared" ca="1" si="2"/>
        <v>0</v>
      </c>
      <c r="AD6" s="116">
        <v>1</v>
      </c>
      <c r="AE6" s="116">
        <v>2</v>
      </c>
      <c r="AF6" s="116">
        <v>3</v>
      </c>
      <c r="AG6" s="116">
        <v>4</v>
      </c>
      <c r="AH6" s="116">
        <v>5</v>
      </c>
      <c r="AI6" s="116">
        <v>6</v>
      </c>
      <c r="AJ6" s="116">
        <v>7</v>
      </c>
      <c r="AK6" s="116">
        <v>8</v>
      </c>
      <c r="AL6" s="116">
        <v>9</v>
      </c>
      <c r="AM6" s="116">
        <v>10</v>
      </c>
      <c r="AN6" s="116">
        <v>11</v>
      </c>
      <c r="AO6" s="116">
        <v>12</v>
      </c>
      <c r="AP6">
        <v>2018</v>
      </c>
      <c r="AQ6">
        <v>2019</v>
      </c>
      <c r="AR6">
        <v>2020</v>
      </c>
      <c r="AS6">
        <v>2021</v>
      </c>
      <c r="AT6">
        <v>2022</v>
      </c>
      <c r="AU6">
        <v>2023</v>
      </c>
      <c r="AV6">
        <v>2024</v>
      </c>
      <c r="AW6">
        <v>2025</v>
      </c>
      <c r="AX6">
        <v>2026</v>
      </c>
      <c r="AY6">
        <v>2027</v>
      </c>
      <c r="AZ6">
        <v>2028</v>
      </c>
      <c r="BA6">
        <v>2029</v>
      </c>
      <c r="BB6">
        <v>2030</v>
      </c>
    </row>
    <row r="7" spans="1:56" ht="18">
      <c r="A7" s="258" t="s">
        <v>34</v>
      </c>
      <c r="B7" s="258" t="str">
        <f>VLOOKUP(A7,'Data Pegawai'!B:P,2,FALSE)</f>
        <v>Aktif</v>
      </c>
      <c r="C7" s="258" t="str">
        <f>VLOOKUP(A7,'Data Pegawai'!B:P,4,FALSE)</f>
        <v>AA</v>
      </c>
      <c r="D7" s="258" t="str">
        <f>VLOOKUP(A7,'Data Pegawai'!B:P,3,FALSE)</f>
        <v>Dosen</v>
      </c>
      <c r="E7" s="265">
        <f>VLOOKUP(A7,'Data Pegawai'!B:P,13,FALSE)</f>
        <v>43101</v>
      </c>
      <c r="F7" s="265">
        <f ca="1">IF(VLOOKUP(A7,'Data Pegawai'!B:P,14,FALSE)=0,EOMONTH(TODAY(),0),VLOOKUP(A7,'Data Pegawai'!B:P,13,FALSE))</f>
        <v>46053</v>
      </c>
      <c r="G7">
        <f t="shared" ca="1" si="0"/>
        <v>1</v>
      </c>
      <c r="H7">
        <f t="shared" ca="1" si="1"/>
        <v>1</v>
      </c>
      <c r="I7">
        <f t="shared" ca="1" si="1"/>
        <v>1</v>
      </c>
      <c r="J7">
        <f t="shared" ca="1" si="1"/>
        <v>1</v>
      </c>
      <c r="K7">
        <f t="shared" ca="1" si="1"/>
        <v>1</v>
      </c>
      <c r="L7">
        <f t="shared" ca="1" si="1"/>
        <v>1</v>
      </c>
      <c r="M7">
        <f t="shared" ca="1" si="1"/>
        <v>1</v>
      </c>
      <c r="N7">
        <f t="shared" ca="1" si="1"/>
        <v>1</v>
      </c>
      <c r="O7">
        <f t="shared" ca="1" si="1"/>
        <v>1</v>
      </c>
      <c r="P7">
        <f t="shared" ca="1" si="1"/>
        <v>1</v>
      </c>
      <c r="Q7">
        <f t="shared" ca="1" si="1"/>
        <v>1</v>
      </c>
      <c r="R7">
        <f t="shared" ca="1" si="1"/>
        <v>1</v>
      </c>
      <c r="S7">
        <f t="shared" ca="1" si="1"/>
        <v>1</v>
      </c>
      <c r="T7">
        <f t="shared" ca="1" si="1"/>
        <v>1</v>
      </c>
      <c r="U7">
        <f t="shared" ca="1" si="1"/>
        <v>1</v>
      </c>
      <c r="V7">
        <f t="shared" ca="1" si="1"/>
        <v>1</v>
      </c>
      <c r="W7">
        <f t="shared" ca="1" si="2"/>
        <v>1</v>
      </c>
      <c r="X7">
        <f t="shared" ca="1" si="2"/>
        <v>1</v>
      </c>
      <c r="Y7">
        <f t="shared" ca="1" si="2"/>
        <v>1</v>
      </c>
      <c r="Z7">
        <f t="shared" ca="1" si="2"/>
        <v>1</v>
      </c>
      <c r="AA7">
        <f t="shared" ca="1" si="2"/>
        <v>0</v>
      </c>
      <c r="AC7" t="s">
        <v>21</v>
      </c>
      <c r="AD7">
        <f ca="1">COUNTIFS($D$5:$D$2000,$AC7,G$5:G$2000,"1")</f>
        <v>107</v>
      </c>
      <c r="AE7">
        <f t="shared" ref="AE7:AO8" ca="1" si="3">COUNTIFS($D$5:$D$2000,$AC7,H$5:H$2000,"1")</f>
        <v>110</v>
      </c>
      <c r="AF7">
        <f t="shared" ca="1" si="3"/>
        <v>111</v>
      </c>
      <c r="AG7">
        <f t="shared" ca="1" si="3"/>
        <v>111</v>
      </c>
      <c r="AH7">
        <f t="shared" ca="1" si="3"/>
        <v>111</v>
      </c>
      <c r="AI7">
        <f t="shared" ca="1" si="3"/>
        <v>111</v>
      </c>
      <c r="AJ7">
        <f t="shared" ca="1" si="3"/>
        <v>111</v>
      </c>
      <c r="AK7">
        <f ca="1">COUNTIFS($D$5:$D$2000,$AC7,N$5:N$2000,"1")</f>
        <v>115</v>
      </c>
      <c r="AL7">
        <f t="shared" ca="1" si="3"/>
        <v>115</v>
      </c>
      <c r="AM7">
        <f t="shared" ca="1" si="3"/>
        <v>115</v>
      </c>
      <c r="AN7">
        <f t="shared" ca="1" si="3"/>
        <v>115</v>
      </c>
      <c r="AO7">
        <f t="shared" ca="1" si="3"/>
        <v>115</v>
      </c>
      <c r="AP7">
        <f t="shared" ref="AP7:AP8" ca="1" si="4">COUNTIFS($D$5:$D$2000,$AC7,S$5:S$2000,"1")</f>
        <v>39</v>
      </c>
      <c r="AQ7">
        <f t="shared" ref="AQ7:AQ8" ca="1" si="5">COUNTIFS($D$5:$D$2000,$AC7,T$5:T$2000,"1")</f>
        <v>40</v>
      </c>
      <c r="AR7">
        <f t="shared" ref="AR7:AR8" ca="1" si="6">COUNTIFS($D$5:$D$2000,$AC7,U$5:U$2000,"1")</f>
        <v>57</v>
      </c>
      <c r="AS7">
        <f t="shared" ref="AS7:AS8" ca="1" si="7">COUNTIFS($D$5:$D$2000,$AC7,V$5:V$2000,"1")</f>
        <v>58</v>
      </c>
      <c r="AT7">
        <f t="shared" ref="AT7:AT8" ca="1" si="8">COUNTIFS($D$5:$D$2000,$AC7,W$5:W$2000,"1")</f>
        <v>88</v>
      </c>
      <c r="AU7">
        <f t="shared" ref="AU7:AU8" ca="1" si="9">COUNTIFS($D$5:$D$2000,$AC7,X$5:X$2000,"1")</f>
        <v>102</v>
      </c>
      <c r="AV7">
        <f t="shared" ref="AV7:AV8" ca="1" si="10">COUNTIFS($D$5:$D$2000,$AC7,Y$5:Y$2000,"1")</f>
        <v>105</v>
      </c>
      <c r="AW7">
        <f t="shared" ref="AW7:AW8" ca="1" si="11">COUNTIFS($D$5:$D$2000,$AC7,Z$5:Z$2000,"1")</f>
        <v>115</v>
      </c>
      <c r="AX7">
        <v>146</v>
      </c>
      <c r="AY7">
        <v>182</v>
      </c>
      <c r="AZ7">
        <v>203</v>
      </c>
      <c r="BA7">
        <v>228</v>
      </c>
      <c r="BB7">
        <v>252</v>
      </c>
    </row>
    <row r="8" spans="1:56" ht="18">
      <c r="A8" s="258" t="s">
        <v>40</v>
      </c>
      <c r="B8" s="258" t="str">
        <f>VLOOKUP(A8,'Data Pegawai'!B:P,2,FALSE)</f>
        <v>Aktif</v>
      </c>
      <c r="C8" s="258" t="str">
        <f>VLOOKUP(A8,'Data Pegawai'!B:P,4,FALSE)</f>
        <v>AA</v>
      </c>
      <c r="D8" s="258" t="str">
        <f>VLOOKUP(A8,'Data Pegawai'!B:P,3,FALSE)</f>
        <v>Dosen</v>
      </c>
      <c r="E8" s="265">
        <f>VLOOKUP(A8,'Data Pegawai'!B:P,13,FALSE)</f>
        <v>44166</v>
      </c>
      <c r="F8" s="265">
        <f ca="1">IF(VLOOKUP(A8,'Data Pegawai'!B:P,14,FALSE)=0,EOMONTH(TODAY(),0),VLOOKUP(A8,'Data Pegawai'!B:P,13,FALSE))</f>
        <v>46053</v>
      </c>
      <c r="G8">
        <f t="shared" ca="1" si="0"/>
        <v>1</v>
      </c>
      <c r="H8">
        <f t="shared" ca="1" si="1"/>
        <v>1</v>
      </c>
      <c r="I8">
        <f t="shared" ca="1" si="1"/>
        <v>1</v>
      </c>
      <c r="J8">
        <f t="shared" ca="1" si="1"/>
        <v>1</v>
      </c>
      <c r="K8">
        <f t="shared" ca="1" si="1"/>
        <v>1</v>
      </c>
      <c r="L8">
        <f t="shared" ca="1" si="1"/>
        <v>1</v>
      </c>
      <c r="M8">
        <f t="shared" ca="1" si="1"/>
        <v>1</v>
      </c>
      <c r="N8">
        <f t="shared" ca="1" si="1"/>
        <v>1</v>
      </c>
      <c r="O8">
        <f t="shared" ca="1" si="1"/>
        <v>1</v>
      </c>
      <c r="P8">
        <f t="shared" ca="1" si="1"/>
        <v>1</v>
      </c>
      <c r="Q8">
        <f t="shared" ca="1" si="1"/>
        <v>1</v>
      </c>
      <c r="R8">
        <f t="shared" ca="1" si="1"/>
        <v>1</v>
      </c>
      <c r="S8">
        <f t="shared" ca="1" si="1"/>
        <v>0</v>
      </c>
      <c r="T8">
        <f t="shared" ca="1" si="1"/>
        <v>0</v>
      </c>
      <c r="U8">
        <f t="shared" ca="1" si="1"/>
        <v>1</v>
      </c>
      <c r="V8">
        <f t="shared" ca="1" si="1"/>
        <v>1</v>
      </c>
      <c r="W8">
        <f t="shared" ca="1" si="2"/>
        <v>1</v>
      </c>
      <c r="X8">
        <f t="shared" ca="1" si="2"/>
        <v>1</v>
      </c>
      <c r="Y8">
        <f t="shared" ca="1" si="2"/>
        <v>1</v>
      </c>
      <c r="Z8">
        <f t="shared" ca="1" si="2"/>
        <v>1</v>
      </c>
      <c r="AA8">
        <f t="shared" ca="1" si="2"/>
        <v>0</v>
      </c>
      <c r="AC8" t="s">
        <v>573</v>
      </c>
      <c r="AD8">
        <f ca="1">COUNTIFS($D$5:$D$2000,$AC8,G$5:G$2000,"1")</f>
        <v>52</v>
      </c>
      <c r="AE8">
        <f t="shared" ca="1" si="3"/>
        <v>52</v>
      </c>
      <c r="AF8">
        <f t="shared" ca="1" si="3"/>
        <v>52</v>
      </c>
      <c r="AG8">
        <f t="shared" ca="1" si="3"/>
        <v>52</v>
      </c>
      <c r="AH8">
        <f t="shared" ca="1" si="3"/>
        <v>52</v>
      </c>
      <c r="AI8">
        <f t="shared" ca="1" si="3"/>
        <v>52</v>
      </c>
      <c r="AJ8">
        <f t="shared" ca="1" si="3"/>
        <v>52</v>
      </c>
      <c r="AK8">
        <f t="shared" ca="1" si="3"/>
        <v>52</v>
      </c>
      <c r="AL8">
        <f t="shared" ca="1" si="3"/>
        <v>52</v>
      </c>
      <c r="AM8">
        <f t="shared" ca="1" si="3"/>
        <v>52</v>
      </c>
      <c r="AN8">
        <f t="shared" ca="1" si="3"/>
        <v>52</v>
      </c>
      <c r="AO8">
        <f t="shared" ca="1" si="3"/>
        <v>52</v>
      </c>
      <c r="AP8">
        <f t="shared" ca="1" si="4"/>
        <v>9</v>
      </c>
      <c r="AQ8">
        <f t="shared" ca="1" si="5"/>
        <v>11</v>
      </c>
      <c r="AR8">
        <f t="shared" ca="1" si="6"/>
        <v>23</v>
      </c>
      <c r="AS8">
        <f t="shared" ca="1" si="7"/>
        <v>27</v>
      </c>
      <c r="AT8">
        <f t="shared" ca="1" si="8"/>
        <v>38</v>
      </c>
      <c r="AU8">
        <f t="shared" ca="1" si="9"/>
        <v>43</v>
      </c>
      <c r="AV8">
        <f t="shared" ca="1" si="10"/>
        <v>52</v>
      </c>
      <c r="AW8">
        <f t="shared" ca="1" si="11"/>
        <v>52</v>
      </c>
      <c r="AX8">
        <v>62</v>
      </c>
      <c r="AY8">
        <v>68</v>
      </c>
      <c r="AZ8">
        <v>72</v>
      </c>
      <c r="BA8">
        <v>76</v>
      </c>
      <c r="BB8">
        <v>80</v>
      </c>
    </row>
    <row r="9" spans="1:56" ht="21">
      <c r="A9" s="258" t="s">
        <v>45</v>
      </c>
      <c r="B9" s="258" t="str">
        <f>VLOOKUP(A9,'Data Pegawai'!B:P,2,FALSE)</f>
        <v>Non-Aktif</v>
      </c>
      <c r="C9" s="258" t="str">
        <f>VLOOKUP(A9,'Data Pegawai'!B:P,4,FALSE)</f>
        <v>AA</v>
      </c>
      <c r="D9" s="258" t="str">
        <f>VLOOKUP(A9,'Data Pegawai'!B:P,3,FALSE)</f>
        <v>Dosen</v>
      </c>
      <c r="E9" s="265">
        <f>VLOOKUP(A9,'Data Pegawai'!B:P,13,FALSE)</f>
        <v>44166</v>
      </c>
      <c r="F9" s="265">
        <f ca="1">IF(VLOOKUP(A9,'Data Pegawai'!B:P,14,FALSE)=0,EOMONTH(TODAY(),0),VLOOKUP(A9,'Data Pegawai'!B:P,13,FALSE))</f>
        <v>44166</v>
      </c>
      <c r="G9">
        <f t="shared" ca="1" si="0"/>
        <v>0</v>
      </c>
      <c r="H9">
        <f t="shared" ca="1" si="1"/>
        <v>0</v>
      </c>
      <c r="I9">
        <f t="shared" ca="1" si="1"/>
        <v>0</v>
      </c>
      <c r="J9">
        <f t="shared" ca="1" si="1"/>
        <v>0</v>
      </c>
      <c r="K9">
        <f t="shared" ca="1" si="1"/>
        <v>0</v>
      </c>
      <c r="L9">
        <f t="shared" ca="1" si="1"/>
        <v>0</v>
      </c>
      <c r="M9">
        <f t="shared" ca="1" si="1"/>
        <v>0</v>
      </c>
      <c r="N9">
        <f t="shared" ca="1" si="1"/>
        <v>0</v>
      </c>
      <c r="O9">
        <f t="shared" ca="1" si="1"/>
        <v>0</v>
      </c>
      <c r="P9">
        <f t="shared" ca="1" si="1"/>
        <v>0</v>
      </c>
      <c r="Q9">
        <f t="shared" ca="1" si="1"/>
        <v>0</v>
      </c>
      <c r="R9">
        <f t="shared" ca="1" si="1"/>
        <v>0</v>
      </c>
      <c r="S9">
        <f t="shared" ca="1" si="1"/>
        <v>0</v>
      </c>
      <c r="T9">
        <f t="shared" ca="1" si="1"/>
        <v>0</v>
      </c>
      <c r="U9">
        <f t="shared" ca="1" si="1"/>
        <v>0</v>
      </c>
      <c r="V9">
        <f t="shared" ca="1" si="1"/>
        <v>0</v>
      </c>
      <c r="W9">
        <f t="shared" ca="1" si="2"/>
        <v>0</v>
      </c>
      <c r="X9">
        <f t="shared" ca="1" si="2"/>
        <v>0</v>
      </c>
      <c r="Y9">
        <f t="shared" ca="1" si="2"/>
        <v>0</v>
      </c>
      <c r="Z9">
        <f t="shared" ca="1" si="2"/>
        <v>0</v>
      </c>
      <c r="AA9">
        <f t="shared" ca="1" si="2"/>
        <v>0</v>
      </c>
      <c r="BC9" s="330" t="s">
        <v>2094</v>
      </c>
      <c r="BD9" s="330" t="s">
        <v>2095</v>
      </c>
    </row>
    <row r="10" spans="1:56" ht="21">
      <c r="A10" s="258" t="s">
        <v>50</v>
      </c>
      <c r="B10" s="258" t="str">
        <f>VLOOKUP(A10,'Data Pegawai'!B:P,2,FALSE)</f>
        <v>Aktif</v>
      </c>
      <c r="C10" s="258" t="str">
        <f>VLOOKUP(A10,'Data Pegawai'!B:P,4,FALSE)</f>
        <v>AA</v>
      </c>
      <c r="D10" s="258" t="str">
        <f>VLOOKUP(A10,'Data Pegawai'!B:P,3,FALSE)</f>
        <v>Dosen</v>
      </c>
      <c r="E10" s="265">
        <f>VLOOKUP(A10,'Data Pegawai'!B:P,13,FALSE)</f>
        <v>44652</v>
      </c>
      <c r="F10" s="265">
        <f ca="1">IF(VLOOKUP(A10,'Data Pegawai'!B:P,14,FALSE)=0,EOMONTH(TODAY(),0),VLOOKUP(A10,'Data Pegawai'!B:P,13,FALSE))</f>
        <v>46053</v>
      </c>
      <c r="G10">
        <f t="shared" ca="1" si="0"/>
        <v>1</v>
      </c>
      <c r="H10">
        <f t="shared" ca="1" si="1"/>
        <v>1</v>
      </c>
      <c r="I10">
        <f t="shared" ca="1" si="1"/>
        <v>1</v>
      </c>
      <c r="J10">
        <f t="shared" ca="1" si="1"/>
        <v>1</v>
      </c>
      <c r="K10">
        <f t="shared" ca="1" si="1"/>
        <v>1</v>
      </c>
      <c r="L10">
        <f t="shared" ca="1" si="1"/>
        <v>1</v>
      </c>
      <c r="M10">
        <f t="shared" ca="1" si="1"/>
        <v>1</v>
      </c>
      <c r="N10">
        <f t="shared" ca="1" si="1"/>
        <v>1</v>
      </c>
      <c r="O10">
        <f t="shared" ca="1" si="1"/>
        <v>1</v>
      </c>
      <c r="P10">
        <f t="shared" ca="1" si="1"/>
        <v>1</v>
      </c>
      <c r="Q10">
        <f t="shared" ca="1" si="1"/>
        <v>1</v>
      </c>
      <c r="R10">
        <f t="shared" ca="1" si="1"/>
        <v>1</v>
      </c>
      <c r="S10">
        <f t="shared" ca="1" si="1"/>
        <v>0</v>
      </c>
      <c r="T10">
        <f t="shared" ca="1" si="1"/>
        <v>0</v>
      </c>
      <c r="U10">
        <f t="shared" ca="1" si="1"/>
        <v>0</v>
      </c>
      <c r="V10">
        <f t="shared" ca="1" si="1"/>
        <v>0</v>
      </c>
      <c r="W10">
        <f t="shared" ca="1" si="2"/>
        <v>1</v>
      </c>
      <c r="X10">
        <f t="shared" ca="1" si="2"/>
        <v>1</v>
      </c>
      <c r="Y10">
        <f t="shared" ca="1" si="2"/>
        <v>1</v>
      </c>
      <c r="Z10">
        <f t="shared" ca="1" si="2"/>
        <v>1</v>
      </c>
      <c r="AA10">
        <f t="shared" ca="1" si="2"/>
        <v>0</v>
      </c>
      <c r="BC10" s="330" t="s">
        <v>2096</v>
      </c>
      <c r="BD10" s="330" t="s">
        <v>2097</v>
      </c>
    </row>
    <row r="11" spans="1:56" ht="21">
      <c r="A11" s="258" t="s">
        <v>55</v>
      </c>
      <c r="B11" s="258" t="str">
        <f>VLOOKUP(A11,'Data Pegawai'!B:P,2,FALSE)</f>
        <v>Aktif</v>
      </c>
      <c r="C11" s="258" t="str">
        <f>VLOOKUP(A11,'Data Pegawai'!B:P,4,FALSE)</f>
        <v>L</v>
      </c>
      <c r="D11" s="258" t="str">
        <f>VLOOKUP(A11,'Data Pegawai'!B:P,3,FALSE)</f>
        <v>Dosen</v>
      </c>
      <c r="E11" s="265">
        <f>VLOOKUP(A11,'Data Pegawai'!B:P,13,FALSE)</f>
        <v>43282</v>
      </c>
      <c r="F11" s="265">
        <f ca="1">IF(VLOOKUP(A11,'Data Pegawai'!B:P,14,FALSE)=0,EOMONTH(TODAY(),0),VLOOKUP(A11,'Data Pegawai'!B:P,13,FALSE))</f>
        <v>46053</v>
      </c>
      <c r="G11">
        <f t="shared" ca="1" si="0"/>
        <v>1</v>
      </c>
      <c r="H11">
        <f t="shared" ca="1" si="1"/>
        <v>1</v>
      </c>
      <c r="I11">
        <f t="shared" ca="1" si="1"/>
        <v>1</v>
      </c>
      <c r="J11">
        <f t="shared" ca="1" si="1"/>
        <v>1</v>
      </c>
      <c r="K11">
        <f t="shared" ca="1" si="1"/>
        <v>1</v>
      </c>
      <c r="L11">
        <f t="shared" ca="1" si="1"/>
        <v>1</v>
      </c>
      <c r="M11">
        <f t="shared" ca="1" si="1"/>
        <v>1</v>
      </c>
      <c r="N11">
        <f t="shared" ca="1" si="1"/>
        <v>1</v>
      </c>
      <c r="O11">
        <f t="shared" ca="1" si="1"/>
        <v>1</v>
      </c>
      <c r="P11">
        <f t="shared" ca="1" si="1"/>
        <v>1</v>
      </c>
      <c r="Q11">
        <f t="shared" ca="1" si="1"/>
        <v>1</v>
      </c>
      <c r="R11">
        <f t="shared" ca="1" si="1"/>
        <v>1</v>
      </c>
      <c r="S11">
        <f t="shared" ca="1" si="1"/>
        <v>1</v>
      </c>
      <c r="T11">
        <f t="shared" ca="1" si="1"/>
        <v>1</v>
      </c>
      <c r="U11">
        <f t="shared" ca="1" si="1"/>
        <v>1</v>
      </c>
      <c r="V11">
        <f t="shared" ca="1" si="1"/>
        <v>1</v>
      </c>
      <c r="W11">
        <f t="shared" ca="1" si="2"/>
        <v>1</v>
      </c>
      <c r="X11">
        <f t="shared" ca="1" si="2"/>
        <v>1</v>
      </c>
      <c r="Y11">
        <f t="shared" ca="1" si="2"/>
        <v>1</v>
      </c>
      <c r="Z11">
        <f t="shared" ca="1" si="2"/>
        <v>1</v>
      </c>
      <c r="AA11">
        <f t="shared" ca="1" si="2"/>
        <v>0</v>
      </c>
      <c r="BC11" s="330" t="s">
        <v>2098</v>
      </c>
      <c r="BD11" s="330" t="s">
        <v>2099</v>
      </c>
    </row>
    <row r="12" spans="1:56" ht="21">
      <c r="A12" s="258" t="s">
        <v>60</v>
      </c>
      <c r="B12" s="258" t="str">
        <f>VLOOKUP(A12,'Data Pegawai'!B:P,2,FALSE)</f>
        <v>Aktif</v>
      </c>
      <c r="C12" s="258" t="str">
        <f>VLOOKUP(A12,'Data Pegawai'!B:P,4,FALSE)</f>
        <v>AA</v>
      </c>
      <c r="D12" s="258" t="str">
        <f>VLOOKUP(A12,'Data Pegawai'!B:P,3,FALSE)</f>
        <v>Dosen</v>
      </c>
      <c r="E12" s="265">
        <f>VLOOKUP(A12,'Data Pegawai'!B:P,13,FALSE)</f>
        <v>44562</v>
      </c>
      <c r="F12" s="265">
        <f ca="1">IF(VLOOKUP(A12,'Data Pegawai'!B:P,14,FALSE)=0,EOMONTH(TODAY(),0),VLOOKUP(A12,'Data Pegawai'!B:P,13,FALSE))</f>
        <v>46053</v>
      </c>
      <c r="G12">
        <f t="shared" ca="1" si="0"/>
        <v>1</v>
      </c>
      <c r="H12">
        <f t="shared" ca="1" si="1"/>
        <v>1</v>
      </c>
      <c r="I12">
        <f t="shared" ca="1" si="1"/>
        <v>1</v>
      </c>
      <c r="J12">
        <f t="shared" ca="1" si="1"/>
        <v>1</v>
      </c>
      <c r="K12">
        <f t="shared" ca="1" si="1"/>
        <v>1</v>
      </c>
      <c r="L12">
        <f t="shared" ca="1" si="1"/>
        <v>1</v>
      </c>
      <c r="M12">
        <f t="shared" ca="1" si="1"/>
        <v>1</v>
      </c>
      <c r="N12">
        <f t="shared" ca="1" si="1"/>
        <v>1</v>
      </c>
      <c r="O12">
        <f t="shared" ca="1" si="1"/>
        <v>1</v>
      </c>
      <c r="P12">
        <f t="shared" ca="1" si="1"/>
        <v>1</v>
      </c>
      <c r="Q12">
        <f t="shared" ca="1" si="1"/>
        <v>1</v>
      </c>
      <c r="R12">
        <f t="shared" ca="1" si="1"/>
        <v>1</v>
      </c>
      <c r="S12">
        <f t="shared" ca="1" si="1"/>
        <v>0</v>
      </c>
      <c r="T12">
        <f t="shared" ca="1" si="1"/>
        <v>0</v>
      </c>
      <c r="U12">
        <f t="shared" ca="1" si="1"/>
        <v>0</v>
      </c>
      <c r="V12">
        <f t="shared" ca="1" si="1"/>
        <v>0</v>
      </c>
      <c r="W12">
        <f t="shared" ca="1" si="2"/>
        <v>1</v>
      </c>
      <c r="X12">
        <f t="shared" ca="1" si="2"/>
        <v>1</v>
      </c>
      <c r="Y12">
        <f t="shared" ca="1" si="2"/>
        <v>1</v>
      </c>
      <c r="Z12">
        <f t="shared" ca="1" si="2"/>
        <v>1</v>
      </c>
      <c r="AA12">
        <f t="shared" ca="1" si="2"/>
        <v>0</v>
      </c>
      <c r="BC12" s="330" t="s">
        <v>2100</v>
      </c>
      <c r="BD12" s="330" t="s">
        <v>2101</v>
      </c>
    </row>
    <row r="13" spans="1:56" ht="21">
      <c r="A13" s="258" t="s">
        <v>66</v>
      </c>
      <c r="B13" s="258" t="str">
        <f>VLOOKUP(A13,'Data Pegawai'!B:P,2,FALSE)</f>
        <v>Aktif</v>
      </c>
      <c r="C13" s="258" t="str">
        <f>VLOOKUP(A13,'Data Pegawai'!B:P,4,FALSE)</f>
        <v>AA</v>
      </c>
      <c r="D13" s="258" t="str">
        <f>VLOOKUP(A13,'Data Pegawai'!B:P,3,FALSE)</f>
        <v>Dosen</v>
      </c>
      <c r="E13" s="265">
        <f>VLOOKUP(A13,'Data Pegawai'!B:P,13,FALSE)</f>
        <v>44832</v>
      </c>
      <c r="F13" s="265">
        <f ca="1">IF(VLOOKUP(A13,'Data Pegawai'!B:P,14,FALSE)=0,EOMONTH(TODAY(),0),VLOOKUP(A13,'Data Pegawai'!B:P,13,FALSE))</f>
        <v>46053</v>
      </c>
      <c r="G13">
        <f t="shared" ca="1" si="0"/>
        <v>1</v>
      </c>
      <c r="H13">
        <f t="shared" ca="1" si="1"/>
        <v>1</v>
      </c>
      <c r="I13">
        <f t="shared" ca="1" si="1"/>
        <v>1</v>
      </c>
      <c r="J13">
        <f t="shared" ca="1" si="1"/>
        <v>1</v>
      </c>
      <c r="K13">
        <f t="shared" ca="1" si="1"/>
        <v>1</v>
      </c>
      <c r="L13">
        <f t="shared" ca="1" si="1"/>
        <v>1</v>
      </c>
      <c r="M13">
        <f t="shared" ca="1" si="1"/>
        <v>1</v>
      </c>
      <c r="N13">
        <f t="shared" ca="1" si="1"/>
        <v>1</v>
      </c>
      <c r="O13">
        <f t="shared" ca="1" si="1"/>
        <v>1</v>
      </c>
      <c r="P13">
        <f t="shared" ca="1" si="1"/>
        <v>1</v>
      </c>
      <c r="Q13">
        <f t="shared" ca="1" si="1"/>
        <v>1</v>
      </c>
      <c r="R13">
        <f t="shared" ca="1" si="1"/>
        <v>1</v>
      </c>
      <c r="S13">
        <f t="shared" ca="1" si="1"/>
        <v>0</v>
      </c>
      <c r="T13">
        <f t="shared" ca="1" si="1"/>
        <v>0</v>
      </c>
      <c r="U13">
        <f t="shared" ca="1" si="1"/>
        <v>0</v>
      </c>
      <c r="V13">
        <f t="shared" ca="1" si="1"/>
        <v>0</v>
      </c>
      <c r="W13">
        <f t="shared" ca="1" si="2"/>
        <v>1</v>
      </c>
      <c r="X13">
        <f t="shared" ca="1" si="2"/>
        <v>1</v>
      </c>
      <c r="Y13">
        <f t="shared" ca="1" si="2"/>
        <v>1</v>
      </c>
      <c r="Z13">
        <f t="shared" ca="1" si="2"/>
        <v>1</v>
      </c>
      <c r="AA13">
        <f t="shared" ca="1" si="2"/>
        <v>0</v>
      </c>
      <c r="BC13" s="330" t="s">
        <v>2102</v>
      </c>
      <c r="BD13" s="330" t="s">
        <v>2103</v>
      </c>
    </row>
    <row r="14" spans="1:56" ht="18">
      <c r="A14" s="258" t="s">
        <v>71</v>
      </c>
      <c r="B14" s="258" t="str">
        <f>VLOOKUP(A14,'Data Pegawai'!B:P,2,FALSE)</f>
        <v>Non-Aktif</v>
      </c>
      <c r="C14" s="258" t="str">
        <f>VLOOKUP(A14,'Data Pegawai'!B:P,4,FALSE)</f>
        <v>NJAD</v>
      </c>
      <c r="D14" s="258" t="str">
        <f>VLOOKUP(A14,'Data Pegawai'!B:P,3,FALSE)</f>
        <v>Dosen</v>
      </c>
      <c r="E14" s="265">
        <f>VLOOKUP(A14,'Data Pegawai'!B:P,13,FALSE)</f>
        <v>45170</v>
      </c>
      <c r="F14" s="265">
        <f ca="1">IF(VLOOKUP(A14,'Data Pegawai'!B:P,14,FALSE)=0,EOMONTH(TODAY(),0),VLOOKUP(A14,'Data Pegawai'!B:P,13,FALSE))</f>
        <v>46053</v>
      </c>
      <c r="G14">
        <f t="shared" ca="1" si="0"/>
        <v>1</v>
      </c>
      <c r="H14">
        <f t="shared" ca="1" si="1"/>
        <v>1</v>
      </c>
      <c r="I14">
        <f t="shared" ca="1" si="1"/>
        <v>1</v>
      </c>
      <c r="J14">
        <f t="shared" ca="1" si="1"/>
        <v>1</v>
      </c>
      <c r="K14">
        <f t="shared" ca="1" si="1"/>
        <v>1</v>
      </c>
      <c r="L14">
        <f t="shared" ca="1" si="1"/>
        <v>1</v>
      </c>
      <c r="M14">
        <f t="shared" ca="1" si="1"/>
        <v>1</v>
      </c>
      <c r="N14">
        <f t="shared" ca="1" si="1"/>
        <v>1</v>
      </c>
      <c r="O14">
        <f t="shared" ca="1" si="1"/>
        <v>1</v>
      </c>
      <c r="P14">
        <f t="shared" ca="1" si="1"/>
        <v>1</v>
      </c>
      <c r="Q14">
        <f t="shared" ca="1" si="1"/>
        <v>1</v>
      </c>
      <c r="R14">
        <f t="shared" ca="1" si="1"/>
        <v>1</v>
      </c>
      <c r="S14">
        <f t="shared" ca="1" si="1"/>
        <v>0</v>
      </c>
      <c r="T14">
        <f t="shared" ca="1" si="1"/>
        <v>0</v>
      </c>
      <c r="U14">
        <f t="shared" ca="1" si="1"/>
        <v>0</v>
      </c>
      <c r="V14">
        <f t="shared" ca="1" si="1"/>
        <v>0</v>
      </c>
      <c r="W14">
        <f t="shared" ca="1" si="2"/>
        <v>0</v>
      </c>
      <c r="X14">
        <f t="shared" ca="1" si="2"/>
        <v>1</v>
      </c>
      <c r="Y14">
        <f t="shared" ca="1" si="2"/>
        <v>1</v>
      </c>
      <c r="Z14">
        <f t="shared" ca="1" si="2"/>
        <v>1</v>
      </c>
      <c r="AA14">
        <f t="shared" ca="1" si="2"/>
        <v>0</v>
      </c>
    </row>
    <row r="15" spans="1:56" ht="18">
      <c r="A15" s="258" t="s">
        <v>76</v>
      </c>
      <c r="B15" s="258" t="str">
        <f>VLOOKUP(A15,'Data Pegawai'!B:P,2,FALSE)</f>
        <v>Aktif</v>
      </c>
      <c r="C15" s="258" t="str">
        <f>VLOOKUP(A15,'Data Pegawai'!B:P,4,FALSE)</f>
        <v>AA</v>
      </c>
      <c r="D15" s="258" t="str">
        <f>VLOOKUP(A15,'Data Pegawai'!B:P,3,FALSE)</f>
        <v>Dosen</v>
      </c>
      <c r="E15" s="265">
        <f>VLOOKUP(A15,'Data Pegawai'!B:P,13,FALSE)</f>
        <v>45170</v>
      </c>
      <c r="F15" s="265">
        <f ca="1">IF(VLOOKUP(A15,'Data Pegawai'!B:P,14,FALSE)=0,EOMONTH(TODAY(),0),VLOOKUP(A15,'Data Pegawai'!B:P,13,FALSE))</f>
        <v>46053</v>
      </c>
      <c r="G15">
        <f t="shared" ca="1" si="0"/>
        <v>1</v>
      </c>
      <c r="H15">
        <f t="shared" ca="1" si="1"/>
        <v>1</v>
      </c>
      <c r="I15">
        <f t="shared" ca="1" si="1"/>
        <v>1</v>
      </c>
      <c r="J15">
        <f t="shared" ca="1" si="1"/>
        <v>1</v>
      </c>
      <c r="K15">
        <f t="shared" ca="1" si="1"/>
        <v>1</v>
      </c>
      <c r="L15">
        <f t="shared" ca="1" si="1"/>
        <v>1</v>
      </c>
      <c r="M15">
        <f t="shared" ca="1" si="1"/>
        <v>1</v>
      </c>
      <c r="N15">
        <f t="shared" ca="1" si="1"/>
        <v>1</v>
      </c>
      <c r="O15">
        <f t="shared" ca="1" si="1"/>
        <v>1</v>
      </c>
      <c r="P15">
        <f t="shared" ca="1" si="1"/>
        <v>1</v>
      </c>
      <c r="Q15">
        <f t="shared" ca="1" si="1"/>
        <v>1</v>
      </c>
      <c r="R15">
        <f t="shared" ca="1" si="1"/>
        <v>1</v>
      </c>
      <c r="S15">
        <f t="shared" ca="1" si="1"/>
        <v>0</v>
      </c>
      <c r="T15">
        <f t="shared" ca="1" si="1"/>
        <v>0</v>
      </c>
      <c r="U15">
        <f t="shared" ca="1" si="1"/>
        <v>0</v>
      </c>
      <c r="V15">
        <f t="shared" ca="1" si="1"/>
        <v>0</v>
      </c>
      <c r="W15">
        <f t="shared" ca="1" si="2"/>
        <v>0</v>
      </c>
      <c r="X15">
        <f t="shared" ca="1" si="2"/>
        <v>1</v>
      </c>
      <c r="Y15">
        <f t="shared" ca="1" si="2"/>
        <v>1</v>
      </c>
      <c r="Z15">
        <f t="shared" ca="1" si="2"/>
        <v>1</v>
      </c>
      <c r="AA15">
        <f t="shared" ca="1" si="2"/>
        <v>0</v>
      </c>
    </row>
    <row r="16" spans="1:56" ht="18">
      <c r="A16" s="258" t="s">
        <v>81</v>
      </c>
      <c r="B16" s="258" t="str">
        <f>VLOOKUP(A16,'Data Pegawai'!B:P,2,FALSE)</f>
        <v>Non-Aktif</v>
      </c>
      <c r="C16" s="258" t="str">
        <f>VLOOKUP(A16,'Data Pegawai'!B:P,4,FALSE)</f>
        <v>AA</v>
      </c>
      <c r="D16" s="258" t="str">
        <f>VLOOKUP(A16,'Data Pegawai'!B:P,3,FALSE)</f>
        <v>Dosen</v>
      </c>
      <c r="E16" s="265">
        <f>VLOOKUP(A16,'Data Pegawai'!B:P,13,FALSE)</f>
        <v>45505</v>
      </c>
      <c r="F16" s="265">
        <f ca="1">IF(VLOOKUP(A16,'Data Pegawai'!B:P,14,FALSE)=0,EOMONTH(TODAY(),0),VLOOKUP(A16,'Data Pegawai'!B:P,13,FALSE))</f>
        <v>45505</v>
      </c>
      <c r="G16">
        <f t="shared" ca="1" si="0"/>
        <v>0</v>
      </c>
      <c r="H16">
        <f t="shared" ca="1" si="1"/>
        <v>0</v>
      </c>
      <c r="I16">
        <f t="shared" ca="1" si="1"/>
        <v>0</v>
      </c>
      <c r="J16">
        <f t="shared" ca="1" si="1"/>
        <v>0</v>
      </c>
      <c r="K16">
        <f t="shared" ca="1" si="1"/>
        <v>0</v>
      </c>
      <c r="L16">
        <f t="shared" ca="1" si="1"/>
        <v>0</v>
      </c>
      <c r="M16">
        <f t="shared" ca="1" si="1"/>
        <v>0</v>
      </c>
      <c r="N16">
        <f t="shared" ca="1" si="1"/>
        <v>0</v>
      </c>
      <c r="O16">
        <f t="shared" ca="1" si="1"/>
        <v>0</v>
      </c>
      <c r="P16">
        <f t="shared" ca="1" si="1"/>
        <v>0</v>
      </c>
      <c r="Q16">
        <f t="shared" ca="1" si="1"/>
        <v>0</v>
      </c>
      <c r="R16">
        <f t="shared" ca="1" si="1"/>
        <v>0</v>
      </c>
      <c r="S16">
        <f t="shared" ca="1" si="1"/>
        <v>0</v>
      </c>
      <c r="T16">
        <f t="shared" ca="1" si="1"/>
        <v>0</v>
      </c>
      <c r="U16">
        <f t="shared" ca="1" si="1"/>
        <v>0</v>
      </c>
      <c r="V16">
        <f t="shared" ca="1" si="1"/>
        <v>0</v>
      </c>
      <c r="W16">
        <f t="shared" ca="1" si="2"/>
        <v>0</v>
      </c>
      <c r="X16">
        <f t="shared" ca="1" si="2"/>
        <v>0</v>
      </c>
      <c r="Y16">
        <f t="shared" ca="1" si="2"/>
        <v>0</v>
      </c>
      <c r="Z16">
        <f t="shared" ca="1" si="2"/>
        <v>0</v>
      </c>
      <c r="AA16">
        <f t="shared" ca="1" si="2"/>
        <v>0</v>
      </c>
    </row>
    <row r="17" spans="1:27" ht="18">
      <c r="A17" s="258" t="s">
        <v>84</v>
      </c>
      <c r="B17" s="258" t="str">
        <f>VLOOKUP(A17,'Data Pegawai'!B:P,2,FALSE)</f>
        <v>Aktif</v>
      </c>
      <c r="C17" s="258" t="str">
        <f>VLOOKUP(A17,'Data Pegawai'!B:P,4,FALSE)</f>
        <v>NJAD</v>
      </c>
      <c r="D17" s="258" t="str">
        <f>VLOOKUP(A17,'Data Pegawai'!B:P,3,FALSE)</f>
        <v>Dosen</v>
      </c>
      <c r="E17" s="265">
        <f>VLOOKUP(A17,'Data Pegawai'!B:P,13,FALSE)</f>
        <v>45536</v>
      </c>
      <c r="F17" s="265">
        <f ca="1">IF(VLOOKUP(A17,'Data Pegawai'!B:P,14,FALSE)=0,EOMONTH(TODAY(),0),VLOOKUP(A17,'Data Pegawai'!B:P,13,FALSE))</f>
        <v>46053</v>
      </c>
      <c r="G17">
        <f t="shared" ca="1" si="0"/>
        <v>1</v>
      </c>
      <c r="H17">
        <f t="shared" ca="1" si="1"/>
        <v>1</v>
      </c>
      <c r="I17">
        <f t="shared" ca="1" si="1"/>
        <v>1</v>
      </c>
      <c r="J17">
        <f t="shared" ca="1" si="1"/>
        <v>1</v>
      </c>
      <c r="K17">
        <f t="shared" ca="1" si="1"/>
        <v>1</v>
      </c>
      <c r="L17">
        <f t="shared" ca="1" si="1"/>
        <v>1</v>
      </c>
      <c r="M17">
        <f t="shared" ca="1" si="1"/>
        <v>1</v>
      </c>
      <c r="N17">
        <f t="shared" ca="1" si="1"/>
        <v>1</v>
      </c>
      <c r="O17">
        <f t="shared" ca="1" si="1"/>
        <v>1</v>
      </c>
      <c r="P17">
        <f t="shared" ca="1" si="1"/>
        <v>1</v>
      </c>
      <c r="Q17">
        <f t="shared" ca="1" si="1"/>
        <v>1</v>
      </c>
      <c r="R17">
        <f t="shared" ca="1" si="1"/>
        <v>1</v>
      </c>
      <c r="S17">
        <f t="shared" ca="1" si="1"/>
        <v>0</v>
      </c>
      <c r="T17">
        <f t="shared" ca="1" si="1"/>
        <v>0</v>
      </c>
      <c r="U17">
        <f t="shared" ca="1" si="1"/>
        <v>0</v>
      </c>
      <c r="V17">
        <f t="shared" ca="1" si="1"/>
        <v>0</v>
      </c>
      <c r="W17">
        <f t="shared" ca="1" si="2"/>
        <v>0</v>
      </c>
      <c r="X17">
        <f t="shared" ca="1" si="2"/>
        <v>0</v>
      </c>
      <c r="Y17">
        <f t="shared" ca="1" si="2"/>
        <v>1</v>
      </c>
      <c r="Z17">
        <f t="shared" ca="1" si="2"/>
        <v>1</v>
      </c>
      <c r="AA17">
        <f t="shared" ca="1" si="2"/>
        <v>0</v>
      </c>
    </row>
    <row r="18" spans="1:27" ht="18">
      <c r="A18" s="258" t="s">
        <v>89</v>
      </c>
      <c r="B18" s="258" t="str">
        <f>VLOOKUP(A18,'Data Pegawai'!B:P,2,FALSE)</f>
        <v>Aktif</v>
      </c>
      <c r="C18" s="258" t="str">
        <f>VLOOKUP(A18,'Data Pegawai'!B:P,4,FALSE)</f>
        <v>NJAD</v>
      </c>
      <c r="D18" s="258" t="str">
        <f>VLOOKUP(A18,'Data Pegawai'!B:P,3,FALSE)</f>
        <v>Dosen</v>
      </c>
      <c r="E18" s="265">
        <f>VLOOKUP(A18,'Data Pegawai'!B:P,13,FALSE)</f>
        <v>45689</v>
      </c>
      <c r="F18" s="265">
        <f ca="1">IF(VLOOKUP(A18,'Data Pegawai'!B:P,14,FALSE)=0,EOMONTH(TODAY(),0),VLOOKUP(A18,'Data Pegawai'!B:P,13,FALSE))</f>
        <v>46053</v>
      </c>
      <c r="G18">
        <f t="shared" ca="1" si="0"/>
        <v>0</v>
      </c>
      <c r="H18">
        <f t="shared" ca="1" si="1"/>
        <v>1</v>
      </c>
      <c r="I18">
        <f t="shared" ca="1" si="1"/>
        <v>1</v>
      </c>
      <c r="J18">
        <f t="shared" ca="1" si="1"/>
        <v>1</v>
      </c>
      <c r="K18">
        <f t="shared" ca="1" si="1"/>
        <v>1</v>
      </c>
      <c r="L18">
        <f t="shared" ca="1" si="1"/>
        <v>1</v>
      </c>
      <c r="M18">
        <f t="shared" ca="1" si="1"/>
        <v>1</v>
      </c>
      <c r="N18">
        <f t="shared" ca="1" si="1"/>
        <v>1</v>
      </c>
      <c r="O18">
        <f t="shared" ca="1" si="1"/>
        <v>1</v>
      </c>
      <c r="P18">
        <f t="shared" ca="1" si="1"/>
        <v>1</v>
      </c>
      <c r="Q18">
        <f t="shared" ca="1" si="1"/>
        <v>1</v>
      </c>
      <c r="R18">
        <f t="shared" ca="1" si="1"/>
        <v>1</v>
      </c>
      <c r="S18">
        <f t="shared" ca="1" si="1"/>
        <v>0</v>
      </c>
      <c r="T18">
        <f t="shared" ca="1" si="1"/>
        <v>0</v>
      </c>
      <c r="U18">
        <f t="shared" ca="1" si="1"/>
        <v>0</v>
      </c>
      <c r="V18">
        <f t="shared" ca="1" si="1"/>
        <v>0</v>
      </c>
      <c r="W18">
        <f t="shared" ca="1" si="2"/>
        <v>0</v>
      </c>
      <c r="X18">
        <f t="shared" ca="1" si="2"/>
        <v>0</v>
      </c>
      <c r="Y18">
        <f t="shared" ca="1" si="2"/>
        <v>0</v>
      </c>
      <c r="Z18">
        <f t="shared" ca="1" si="2"/>
        <v>1</v>
      </c>
      <c r="AA18">
        <f t="shared" ca="1" si="2"/>
        <v>0</v>
      </c>
    </row>
    <row r="19" spans="1:27" ht="18">
      <c r="A19" s="258" t="s">
        <v>94</v>
      </c>
      <c r="B19" s="258" t="str">
        <f>VLOOKUP(A19,'Data Pegawai'!B:P,2,FALSE)</f>
        <v>Non-Aktif</v>
      </c>
      <c r="C19" s="258" t="str">
        <f>VLOOKUP(A19,'Data Pegawai'!B:P,4,FALSE)</f>
        <v>NJAD</v>
      </c>
      <c r="D19" s="258" t="str">
        <f>VLOOKUP(A19,'Data Pegawai'!B:P,3,FALSE)</f>
        <v>Dosen</v>
      </c>
      <c r="E19" s="265">
        <f>VLOOKUP(A19,'Data Pegawai'!B:P,13,FALSE)</f>
        <v>45689</v>
      </c>
      <c r="F19" s="265">
        <f ca="1">IF(VLOOKUP(A19,'Data Pegawai'!B:P,14,FALSE)=0,EOMONTH(TODAY(),0),VLOOKUP(A19,'Data Pegawai'!B:P,13,FALSE))</f>
        <v>45689</v>
      </c>
      <c r="G19">
        <f t="shared" ca="1" si="0"/>
        <v>0</v>
      </c>
      <c r="H19">
        <f t="shared" ca="1" si="1"/>
        <v>0</v>
      </c>
      <c r="I19">
        <f t="shared" ca="1" si="1"/>
        <v>0</v>
      </c>
      <c r="J19">
        <f t="shared" ca="1" si="1"/>
        <v>0</v>
      </c>
      <c r="K19">
        <f t="shared" ca="1" si="1"/>
        <v>0</v>
      </c>
      <c r="L19">
        <f t="shared" ca="1" si="1"/>
        <v>0</v>
      </c>
      <c r="M19">
        <f t="shared" ca="1" si="1"/>
        <v>0</v>
      </c>
      <c r="N19">
        <f t="shared" ca="1" si="1"/>
        <v>0</v>
      </c>
      <c r="O19">
        <f t="shared" ca="1" si="1"/>
        <v>0</v>
      </c>
      <c r="P19">
        <f t="shared" ca="1" si="1"/>
        <v>0</v>
      </c>
      <c r="Q19">
        <f t="shared" ca="1" si="1"/>
        <v>0</v>
      </c>
      <c r="R19">
        <f t="shared" ca="1" si="1"/>
        <v>0</v>
      </c>
      <c r="S19">
        <f t="shared" ca="1" si="1"/>
        <v>0</v>
      </c>
      <c r="T19">
        <f t="shared" ca="1" si="1"/>
        <v>0</v>
      </c>
      <c r="U19">
        <f t="shared" ca="1" si="1"/>
        <v>0</v>
      </c>
      <c r="V19">
        <f t="shared" ca="1" si="1"/>
        <v>0</v>
      </c>
      <c r="W19">
        <f t="shared" ca="1" si="2"/>
        <v>0</v>
      </c>
      <c r="X19">
        <f t="shared" ca="1" si="2"/>
        <v>0</v>
      </c>
      <c r="Y19">
        <f t="shared" ca="1" si="2"/>
        <v>0</v>
      </c>
      <c r="Z19">
        <f t="shared" ca="1" si="2"/>
        <v>0</v>
      </c>
      <c r="AA19">
        <f t="shared" ca="1" si="2"/>
        <v>0</v>
      </c>
    </row>
    <row r="20" spans="1:27" ht="18">
      <c r="A20" s="258" t="s">
        <v>98</v>
      </c>
      <c r="B20" s="258" t="str">
        <f>VLOOKUP(A20,'Data Pegawai'!B:P,2,FALSE)</f>
        <v>Aktif</v>
      </c>
      <c r="C20" s="258" t="str">
        <f>VLOOKUP(A20,'Data Pegawai'!B:P,4,FALSE)</f>
        <v>NJAD</v>
      </c>
      <c r="D20" s="258" t="str">
        <f>VLOOKUP(A20,'Data Pegawai'!B:P,3,FALSE)</f>
        <v>Dosen</v>
      </c>
      <c r="E20" s="265">
        <f>VLOOKUP(A20,'Data Pegawai'!B:P,13,FALSE)</f>
        <v>45689</v>
      </c>
      <c r="F20" s="265">
        <f ca="1">IF(VLOOKUP(A20,'Data Pegawai'!B:P,14,FALSE)=0,EOMONTH(TODAY(),0),VLOOKUP(A20,'Data Pegawai'!B:P,13,FALSE))</f>
        <v>46053</v>
      </c>
      <c r="G20">
        <f t="shared" ca="1" si="0"/>
        <v>0</v>
      </c>
      <c r="H20">
        <f t="shared" ca="1" si="1"/>
        <v>1</v>
      </c>
      <c r="I20">
        <f t="shared" ca="1" si="1"/>
        <v>1</v>
      </c>
      <c r="J20">
        <f t="shared" ca="1" si="1"/>
        <v>1</v>
      </c>
      <c r="K20">
        <f t="shared" ca="1" si="1"/>
        <v>1</v>
      </c>
      <c r="L20">
        <f t="shared" ca="1" si="1"/>
        <v>1</v>
      </c>
      <c r="M20">
        <f t="shared" ca="1" si="1"/>
        <v>1</v>
      </c>
      <c r="N20">
        <f t="shared" ca="1" si="1"/>
        <v>1</v>
      </c>
      <c r="O20">
        <f t="shared" ca="1" si="1"/>
        <v>1</v>
      </c>
      <c r="P20">
        <f t="shared" ca="1" si="1"/>
        <v>1</v>
      </c>
      <c r="Q20">
        <f t="shared" ca="1" si="1"/>
        <v>1</v>
      </c>
      <c r="R20">
        <f t="shared" ca="1" si="1"/>
        <v>1</v>
      </c>
      <c r="S20">
        <f t="shared" ca="1" si="1"/>
        <v>0</v>
      </c>
      <c r="T20">
        <f t="shared" ca="1" si="1"/>
        <v>0</v>
      </c>
      <c r="U20">
        <f t="shared" ca="1" si="1"/>
        <v>0</v>
      </c>
      <c r="V20">
        <f t="shared" ca="1" si="1"/>
        <v>0</v>
      </c>
      <c r="W20">
        <f t="shared" ca="1" si="2"/>
        <v>0</v>
      </c>
      <c r="X20">
        <f t="shared" ca="1" si="2"/>
        <v>0</v>
      </c>
      <c r="Y20">
        <f t="shared" ca="1" si="2"/>
        <v>0</v>
      </c>
      <c r="Z20">
        <f t="shared" ca="1" si="2"/>
        <v>1</v>
      </c>
      <c r="AA20">
        <f t="shared" ca="1" si="2"/>
        <v>0</v>
      </c>
    </row>
    <row r="21" spans="1:27" ht="18">
      <c r="A21" s="258" t="s">
        <v>102</v>
      </c>
      <c r="B21" s="258" t="str">
        <f>VLOOKUP(A21,'Data Pegawai'!B:P,2,FALSE)</f>
        <v>Aktif</v>
      </c>
      <c r="C21" s="258" t="str">
        <f>VLOOKUP(A21,'Data Pegawai'!B:P,4,FALSE)</f>
        <v>NJAD</v>
      </c>
      <c r="D21" s="258" t="str">
        <f>VLOOKUP(A21,'Data Pegawai'!B:P,3,FALSE)</f>
        <v>Dosen</v>
      </c>
      <c r="E21" s="265">
        <f>VLOOKUP(A21,'Data Pegawai'!B:P,13,FALSE)</f>
        <v>45658</v>
      </c>
      <c r="F21" s="265">
        <f ca="1">IF(VLOOKUP(A21,'Data Pegawai'!B:P,14,FALSE)=0,EOMONTH(TODAY(),0),VLOOKUP(A21,'Data Pegawai'!B:P,13,FALSE))</f>
        <v>46053</v>
      </c>
      <c r="G21">
        <f t="shared" ref="G21:G84" ca="1" si="12">IF(AND(G$3&gt;=$E21,G$3&lt;=$F21),1,0)</f>
        <v>1</v>
      </c>
      <c r="H21">
        <f t="shared" ca="1" si="1"/>
        <v>1</v>
      </c>
      <c r="I21">
        <f t="shared" ca="1" si="1"/>
        <v>1</v>
      </c>
      <c r="J21">
        <f t="shared" ca="1" si="1"/>
        <v>1</v>
      </c>
      <c r="K21">
        <f t="shared" ca="1" si="1"/>
        <v>1</v>
      </c>
      <c r="L21">
        <f t="shared" ca="1" si="1"/>
        <v>1</v>
      </c>
      <c r="M21">
        <f t="shared" ca="1" si="1"/>
        <v>1</v>
      </c>
      <c r="N21">
        <f t="shared" ca="1" si="1"/>
        <v>1</v>
      </c>
      <c r="O21">
        <f t="shared" ca="1" si="1"/>
        <v>1</v>
      </c>
      <c r="P21">
        <f t="shared" ca="1" si="1"/>
        <v>1</v>
      </c>
      <c r="Q21">
        <f t="shared" ca="1" si="1"/>
        <v>1</v>
      </c>
      <c r="R21">
        <f t="shared" ca="1" si="1"/>
        <v>1</v>
      </c>
      <c r="S21">
        <f t="shared" ca="1" si="1"/>
        <v>0</v>
      </c>
      <c r="T21">
        <f t="shared" ca="1" si="1"/>
        <v>0</v>
      </c>
      <c r="U21">
        <f t="shared" ca="1" si="1"/>
        <v>0</v>
      </c>
      <c r="V21">
        <f t="shared" ref="V21:AA36" ca="1" si="13">IF(AND(V$3&gt;=$E21,V$3&lt;=$F21),1,0)</f>
        <v>0</v>
      </c>
      <c r="W21">
        <f t="shared" ca="1" si="13"/>
        <v>0</v>
      </c>
      <c r="X21">
        <f t="shared" ca="1" si="13"/>
        <v>0</v>
      </c>
      <c r="Y21">
        <f t="shared" ca="1" si="13"/>
        <v>0</v>
      </c>
      <c r="Z21">
        <f t="shared" ca="1" si="13"/>
        <v>1</v>
      </c>
      <c r="AA21">
        <f t="shared" ca="1" si="13"/>
        <v>0</v>
      </c>
    </row>
    <row r="22" spans="1:27" ht="18">
      <c r="A22" s="258" t="s">
        <v>106</v>
      </c>
      <c r="B22" s="258" t="str">
        <f>VLOOKUP(A22,'Data Pegawai'!B:P,2,FALSE)</f>
        <v>Aktif</v>
      </c>
      <c r="C22" s="258" t="str">
        <f>VLOOKUP(A22,'Data Pegawai'!B:P,4,FALSE)</f>
        <v>AA</v>
      </c>
      <c r="D22" s="258" t="str">
        <f>VLOOKUP(A22,'Data Pegawai'!B:P,3,FALSE)</f>
        <v>Dosen</v>
      </c>
      <c r="E22" s="265">
        <f>VLOOKUP(A22,'Data Pegawai'!B:P,13,FALSE)</f>
        <v>43282</v>
      </c>
      <c r="F22" s="265">
        <f ca="1">IF(VLOOKUP(A22,'Data Pegawai'!B:P,14,FALSE)=0,EOMONTH(TODAY(),0),VLOOKUP(A22,'Data Pegawai'!B:P,13,FALSE))</f>
        <v>46053</v>
      </c>
      <c r="G22">
        <f t="shared" ca="1" si="12"/>
        <v>1</v>
      </c>
      <c r="H22">
        <f t="shared" ref="H22:V37" ca="1" si="14">IF(AND(H$3&gt;=$E22,H$3&lt;=$F22),1,0)</f>
        <v>1</v>
      </c>
      <c r="I22">
        <f t="shared" ca="1" si="14"/>
        <v>1</v>
      </c>
      <c r="J22">
        <f t="shared" ca="1" si="14"/>
        <v>1</v>
      </c>
      <c r="K22">
        <f t="shared" ca="1" si="14"/>
        <v>1</v>
      </c>
      <c r="L22">
        <f t="shared" ca="1" si="14"/>
        <v>1</v>
      </c>
      <c r="M22">
        <f t="shared" ca="1" si="14"/>
        <v>1</v>
      </c>
      <c r="N22">
        <f t="shared" ca="1" si="14"/>
        <v>1</v>
      </c>
      <c r="O22">
        <f t="shared" ca="1" si="14"/>
        <v>1</v>
      </c>
      <c r="P22">
        <f t="shared" ca="1" si="14"/>
        <v>1</v>
      </c>
      <c r="Q22">
        <f t="shared" ca="1" si="14"/>
        <v>1</v>
      </c>
      <c r="R22">
        <f t="shared" ca="1" si="14"/>
        <v>1</v>
      </c>
      <c r="S22">
        <f t="shared" ca="1" si="14"/>
        <v>1</v>
      </c>
      <c r="T22">
        <f t="shared" ca="1" si="14"/>
        <v>1</v>
      </c>
      <c r="U22">
        <f t="shared" ca="1" si="14"/>
        <v>1</v>
      </c>
      <c r="V22">
        <f t="shared" ca="1" si="14"/>
        <v>1</v>
      </c>
      <c r="W22">
        <f t="shared" ca="1" si="13"/>
        <v>1</v>
      </c>
      <c r="X22">
        <f t="shared" ca="1" si="13"/>
        <v>1</v>
      </c>
      <c r="Y22">
        <f t="shared" ca="1" si="13"/>
        <v>1</v>
      </c>
      <c r="Z22">
        <f t="shared" ca="1" si="13"/>
        <v>1</v>
      </c>
      <c r="AA22">
        <f t="shared" ca="1" si="13"/>
        <v>0</v>
      </c>
    </row>
    <row r="23" spans="1:27" ht="18">
      <c r="A23" s="258" t="s">
        <v>111</v>
      </c>
      <c r="B23" s="258" t="str">
        <f>VLOOKUP(A23,'Data Pegawai'!B:P,2,FALSE)</f>
        <v>Aktif</v>
      </c>
      <c r="C23" s="258" t="str">
        <f>VLOOKUP(A23,'Data Pegawai'!B:P,4,FALSE)</f>
        <v>L</v>
      </c>
      <c r="D23" s="258" t="str">
        <f>VLOOKUP(A23,'Data Pegawai'!B:P,3,FALSE)</f>
        <v>Dosen</v>
      </c>
      <c r="E23" s="265">
        <f>VLOOKUP(A23,'Data Pegawai'!B:P,13,FALSE)</f>
        <v>44166</v>
      </c>
      <c r="F23" s="265">
        <f ca="1">IF(VLOOKUP(A23,'Data Pegawai'!B:P,14,FALSE)=0,EOMONTH(TODAY(),0),VLOOKUP(A23,'Data Pegawai'!B:P,13,FALSE))</f>
        <v>46053</v>
      </c>
      <c r="G23">
        <f t="shared" ca="1" si="12"/>
        <v>1</v>
      </c>
      <c r="H23">
        <f t="shared" ca="1" si="14"/>
        <v>1</v>
      </c>
      <c r="I23">
        <f t="shared" ca="1" si="14"/>
        <v>1</v>
      </c>
      <c r="J23">
        <f t="shared" ca="1" si="14"/>
        <v>1</v>
      </c>
      <c r="K23">
        <f t="shared" ca="1" si="14"/>
        <v>1</v>
      </c>
      <c r="L23">
        <f t="shared" ca="1" si="14"/>
        <v>1</v>
      </c>
      <c r="M23">
        <f t="shared" ca="1" si="14"/>
        <v>1</v>
      </c>
      <c r="N23">
        <f t="shared" ca="1" si="14"/>
        <v>1</v>
      </c>
      <c r="O23">
        <f t="shared" ca="1" si="14"/>
        <v>1</v>
      </c>
      <c r="P23">
        <f t="shared" ca="1" si="14"/>
        <v>1</v>
      </c>
      <c r="Q23">
        <f t="shared" ca="1" si="14"/>
        <v>1</v>
      </c>
      <c r="R23">
        <f t="shared" ca="1" si="14"/>
        <v>1</v>
      </c>
      <c r="S23">
        <f t="shared" ca="1" si="14"/>
        <v>0</v>
      </c>
      <c r="T23">
        <f t="shared" ca="1" si="14"/>
        <v>0</v>
      </c>
      <c r="U23">
        <f t="shared" ca="1" si="14"/>
        <v>1</v>
      </c>
      <c r="V23">
        <f t="shared" ca="1" si="14"/>
        <v>1</v>
      </c>
      <c r="W23">
        <f t="shared" ca="1" si="13"/>
        <v>1</v>
      </c>
      <c r="X23">
        <f t="shared" ca="1" si="13"/>
        <v>1</v>
      </c>
      <c r="Y23">
        <f t="shared" ca="1" si="13"/>
        <v>1</v>
      </c>
      <c r="Z23">
        <f t="shared" ca="1" si="13"/>
        <v>1</v>
      </c>
      <c r="AA23">
        <f t="shared" ca="1" si="13"/>
        <v>0</v>
      </c>
    </row>
    <row r="24" spans="1:27" ht="18">
      <c r="A24" s="258" t="s">
        <v>116</v>
      </c>
      <c r="B24" s="258" t="str">
        <f>VLOOKUP(A24,'Data Pegawai'!B:P,2,FALSE)</f>
        <v>Aktif</v>
      </c>
      <c r="C24" s="258" t="str">
        <f>VLOOKUP(A24,'Data Pegawai'!B:P,4,FALSE)</f>
        <v>L</v>
      </c>
      <c r="D24" s="258" t="str">
        <f>VLOOKUP(A24,'Data Pegawai'!B:P,3,FALSE)</f>
        <v>Dosen</v>
      </c>
      <c r="E24" s="265">
        <f>VLOOKUP(A24,'Data Pegawai'!B:P,13,FALSE)</f>
        <v>44166</v>
      </c>
      <c r="F24" s="265">
        <f ca="1">IF(VLOOKUP(A24,'Data Pegawai'!B:P,14,FALSE)=0,EOMONTH(TODAY(),0),VLOOKUP(A24,'Data Pegawai'!B:P,13,FALSE))</f>
        <v>46053</v>
      </c>
      <c r="G24">
        <f t="shared" ca="1" si="12"/>
        <v>1</v>
      </c>
      <c r="H24">
        <f t="shared" ca="1" si="14"/>
        <v>1</v>
      </c>
      <c r="I24">
        <f t="shared" ca="1" si="14"/>
        <v>1</v>
      </c>
      <c r="J24">
        <f t="shared" ca="1" si="14"/>
        <v>1</v>
      </c>
      <c r="K24">
        <f t="shared" ca="1" si="14"/>
        <v>1</v>
      </c>
      <c r="L24">
        <f t="shared" ca="1" si="14"/>
        <v>1</v>
      </c>
      <c r="M24">
        <f t="shared" ca="1" si="14"/>
        <v>1</v>
      </c>
      <c r="N24">
        <f t="shared" ca="1" si="14"/>
        <v>1</v>
      </c>
      <c r="O24">
        <f t="shared" ca="1" si="14"/>
        <v>1</v>
      </c>
      <c r="P24">
        <f t="shared" ca="1" si="14"/>
        <v>1</v>
      </c>
      <c r="Q24">
        <f t="shared" ca="1" si="14"/>
        <v>1</v>
      </c>
      <c r="R24">
        <f t="shared" ca="1" si="14"/>
        <v>1</v>
      </c>
      <c r="S24">
        <f t="shared" ca="1" si="14"/>
        <v>0</v>
      </c>
      <c r="T24">
        <f t="shared" ca="1" si="14"/>
        <v>0</v>
      </c>
      <c r="U24">
        <f t="shared" ca="1" si="14"/>
        <v>1</v>
      </c>
      <c r="V24">
        <f t="shared" ca="1" si="14"/>
        <v>1</v>
      </c>
      <c r="W24">
        <f t="shared" ca="1" si="13"/>
        <v>1</v>
      </c>
      <c r="X24">
        <f t="shared" ca="1" si="13"/>
        <v>1</v>
      </c>
      <c r="Y24">
        <f t="shared" ca="1" si="13"/>
        <v>1</v>
      </c>
      <c r="Z24">
        <f t="shared" ca="1" si="13"/>
        <v>1</v>
      </c>
      <c r="AA24">
        <f t="shared" ca="1" si="13"/>
        <v>0</v>
      </c>
    </row>
    <row r="25" spans="1:27" ht="18">
      <c r="A25" s="258" t="s">
        <v>121</v>
      </c>
      <c r="B25" s="258" t="str">
        <f>VLOOKUP(A25,'Data Pegawai'!B:P,2,FALSE)</f>
        <v>Aktif</v>
      </c>
      <c r="C25" s="258" t="str">
        <f>VLOOKUP(A25,'Data Pegawai'!B:P,4,FALSE)</f>
        <v>AA</v>
      </c>
      <c r="D25" s="258" t="str">
        <f>VLOOKUP(A25,'Data Pegawai'!B:P,3,FALSE)</f>
        <v>Dosen</v>
      </c>
      <c r="E25" s="265">
        <f>VLOOKUP(A25,'Data Pegawai'!B:P,13,FALSE)</f>
        <v>44166</v>
      </c>
      <c r="F25" s="265">
        <f ca="1">IF(VLOOKUP(A25,'Data Pegawai'!B:P,14,FALSE)=0,EOMONTH(TODAY(),0),VLOOKUP(A25,'Data Pegawai'!B:P,13,FALSE))</f>
        <v>46053</v>
      </c>
      <c r="G25">
        <f t="shared" ca="1" si="12"/>
        <v>1</v>
      </c>
      <c r="H25">
        <f t="shared" ca="1" si="14"/>
        <v>1</v>
      </c>
      <c r="I25">
        <f t="shared" ca="1" si="14"/>
        <v>1</v>
      </c>
      <c r="J25">
        <f t="shared" ca="1" si="14"/>
        <v>1</v>
      </c>
      <c r="K25">
        <f t="shared" ca="1" si="14"/>
        <v>1</v>
      </c>
      <c r="L25">
        <f t="shared" ca="1" si="14"/>
        <v>1</v>
      </c>
      <c r="M25">
        <f t="shared" ca="1" si="14"/>
        <v>1</v>
      </c>
      <c r="N25">
        <f t="shared" ca="1" si="14"/>
        <v>1</v>
      </c>
      <c r="O25">
        <f t="shared" ca="1" si="14"/>
        <v>1</v>
      </c>
      <c r="P25">
        <f t="shared" ca="1" si="14"/>
        <v>1</v>
      </c>
      <c r="Q25">
        <f t="shared" ca="1" si="14"/>
        <v>1</v>
      </c>
      <c r="R25">
        <f t="shared" ca="1" si="14"/>
        <v>1</v>
      </c>
      <c r="S25">
        <f t="shared" ca="1" si="14"/>
        <v>0</v>
      </c>
      <c r="T25">
        <f t="shared" ca="1" si="14"/>
        <v>0</v>
      </c>
      <c r="U25">
        <f t="shared" ca="1" si="14"/>
        <v>1</v>
      </c>
      <c r="V25">
        <f t="shared" ca="1" si="14"/>
        <v>1</v>
      </c>
      <c r="W25">
        <f t="shared" ca="1" si="13"/>
        <v>1</v>
      </c>
      <c r="X25">
        <f t="shared" ca="1" si="13"/>
        <v>1</v>
      </c>
      <c r="Y25">
        <f t="shared" ca="1" si="13"/>
        <v>1</v>
      </c>
      <c r="Z25">
        <f t="shared" ca="1" si="13"/>
        <v>1</v>
      </c>
      <c r="AA25">
        <f t="shared" ca="1" si="13"/>
        <v>0</v>
      </c>
    </row>
    <row r="26" spans="1:27" ht="18">
      <c r="A26" s="258" t="s">
        <v>125</v>
      </c>
      <c r="B26" s="258" t="str">
        <f>VLOOKUP(A26,'Data Pegawai'!B:P,2,FALSE)</f>
        <v>Aktif</v>
      </c>
      <c r="C26" s="258" t="str">
        <f>VLOOKUP(A26,'Data Pegawai'!B:P,4,FALSE)</f>
        <v>AA</v>
      </c>
      <c r="D26" s="258" t="str">
        <f>VLOOKUP(A26,'Data Pegawai'!B:P,3,FALSE)</f>
        <v>Dosen</v>
      </c>
      <c r="E26" s="265">
        <f>VLOOKUP(A26,'Data Pegawai'!B:P,13,FALSE)</f>
        <v>44166</v>
      </c>
      <c r="F26" s="265">
        <f ca="1">IF(VLOOKUP(A26,'Data Pegawai'!B:P,14,FALSE)=0,EOMONTH(TODAY(),0),VLOOKUP(A26,'Data Pegawai'!B:P,13,FALSE))</f>
        <v>46053</v>
      </c>
      <c r="G26">
        <f t="shared" ca="1" si="12"/>
        <v>1</v>
      </c>
      <c r="H26">
        <f t="shared" ca="1" si="14"/>
        <v>1</v>
      </c>
      <c r="I26">
        <f t="shared" ca="1" si="14"/>
        <v>1</v>
      </c>
      <c r="J26">
        <f t="shared" ca="1" si="14"/>
        <v>1</v>
      </c>
      <c r="K26">
        <f t="shared" ca="1" si="14"/>
        <v>1</v>
      </c>
      <c r="L26">
        <f t="shared" ca="1" si="14"/>
        <v>1</v>
      </c>
      <c r="M26">
        <f t="shared" ca="1" si="14"/>
        <v>1</v>
      </c>
      <c r="N26">
        <f t="shared" ca="1" si="14"/>
        <v>1</v>
      </c>
      <c r="O26">
        <f t="shared" ca="1" si="14"/>
        <v>1</v>
      </c>
      <c r="P26">
        <f t="shared" ca="1" si="14"/>
        <v>1</v>
      </c>
      <c r="Q26">
        <f t="shared" ca="1" si="14"/>
        <v>1</v>
      </c>
      <c r="R26">
        <f t="shared" ca="1" si="14"/>
        <v>1</v>
      </c>
      <c r="S26">
        <f t="shared" ca="1" si="14"/>
        <v>0</v>
      </c>
      <c r="T26">
        <f t="shared" ca="1" si="14"/>
        <v>0</v>
      </c>
      <c r="U26">
        <f t="shared" ca="1" si="14"/>
        <v>1</v>
      </c>
      <c r="V26">
        <f t="shared" ca="1" si="14"/>
        <v>1</v>
      </c>
      <c r="W26">
        <f t="shared" ca="1" si="13"/>
        <v>1</v>
      </c>
      <c r="X26">
        <f t="shared" ca="1" si="13"/>
        <v>1</v>
      </c>
      <c r="Y26">
        <f t="shared" ca="1" si="13"/>
        <v>1</v>
      </c>
      <c r="Z26">
        <f t="shared" ca="1" si="13"/>
        <v>1</v>
      </c>
      <c r="AA26">
        <f t="shared" ca="1" si="13"/>
        <v>0</v>
      </c>
    </row>
    <row r="27" spans="1:27" ht="18">
      <c r="A27" s="258" t="s">
        <v>129</v>
      </c>
      <c r="B27" s="258" t="str">
        <f>VLOOKUP(A27,'Data Pegawai'!B:P,2,FALSE)</f>
        <v>Aktif</v>
      </c>
      <c r="C27" s="258" t="str">
        <f>VLOOKUP(A27,'Data Pegawai'!B:P,4,FALSE)</f>
        <v>AA</v>
      </c>
      <c r="D27" s="258" t="str">
        <f>VLOOKUP(A27,'Data Pegawai'!B:P,3,FALSE)</f>
        <v>Dosen</v>
      </c>
      <c r="E27" s="265">
        <f>VLOOKUP(A27,'Data Pegawai'!B:P,13,FALSE)</f>
        <v>44832</v>
      </c>
      <c r="F27" s="265">
        <f ca="1">IF(VLOOKUP(A27,'Data Pegawai'!B:P,14,FALSE)=0,EOMONTH(TODAY(),0),VLOOKUP(A27,'Data Pegawai'!B:P,13,FALSE))</f>
        <v>46053</v>
      </c>
      <c r="G27">
        <f t="shared" ca="1" si="12"/>
        <v>1</v>
      </c>
      <c r="H27">
        <f t="shared" ca="1" si="14"/>
        <v>1</v>
      </c>
      <c r="I27">
        <f t="shared" ca="1" si="14"/>
        <v>1</v>
      </c>
      <c r="J27">
        <f t="shared" ca="1" si="14"/>
        <v>1</v>
      </c>
      <c r="K27">
        <f t="shared" ca="1" si="14"/>
        <v>1</v>
      </c>
      <c r="L27">
        <f t="shared" ca="1" si="14"/>
        <v>1</v>
      </c>
      <c r="M27">
        <f t="shared" ca="1" si="14"/>
        <v>1</v>
      </c>
      <c r="N27">
        <f t="shared" ca="1" si="14"/>
        <v>1</v>
      </c>
      <c r="O27">
        <f t="shared" ca="1" si="14"/>
        <v>1</v>
      </c>
      <c r="P27">
        <f t="shared" ca="1" si="14"/>
        <v>1</v>
      </c>
      <c r="Q27">
        <f t="shared" ca="1" si="14"/>
        <v>1</v>
      </c>
      <c r="R27">
        <f t="shared" ca="1" si="14"/>
        <v>1</v>
      </c>
      <c r="S27">
        <f t="shared" ca="1" si="14"/>
        <v>0</v>
      </c>
      <c r="T27">
        <f t="shared" ca="1" si="14"/>
        <v>0</v>
      </c>
      <c r="U27">
        <f t="shared" ca="1" si="14"/>
        <v>0</v>
      </c>
      <c r="V27">
        <f t="shared" ca="1" si="14"/>
        <v>0</v>
      </c>
      <c r="W27">
        <f t="shared" ca="1" si="13"/>
        <v>1</v>
      </c>
      <c r="X27">
        <f t="shared" ca="1" si="13"/>
        <v>1</v>
      </c>
      <c r="Y27">
        <f t="shared" ca="1" si="13"/>
        <v>1</v>
      </c>
      <c r="Z27">
        <f t="shared" ca="1" si="13"/>
        <v>1</v>
      </c>
      <c r="AA27">
        <f t="shared" ca="1" si="13"/>
        <v>0</v>
      </c>
    </row>
    <row r="28" spans="1:27" ht="18">
      <c r="A28" s="258" t="s">
        <v>133</v>
      </c>
      <c r="B28" s="258" t="str">
        <f>VLOOKUP(A28,'Data Pegawai'!B:P,2,FALSE)</f>
        <v>Aktif</v>
      </c>
      <c r="C28" s="258" t="str">
        <f>VLOOKUP(A28,'Data Pegawai'!B:P,4,FALSE)</f>
        <v>AA</v>
      </c>
      <c r="D28" s="258" t="str">
        <f>VLOOKUP(A28,'Data Pegawai'!B:P,3,FALSE)</f>
        <v>Dosen</v>
      </c>
      <c r="E28" s="265">
        <f>VLOOKUP(A28,'Data Pegawai'!B:P,13,FALSE)</f>
        <v>44832</v>
      </c>
      <c r="F28" s="265">
        <f ca="1">IF(VLOOKUP(A28,'Data Pegawai'!B:P,14,FALSE)=0,EOMONTH(TODAY(),0),VLOOKUP(A28,'Data Pegawai'!B:P,13,FALSE))</f>
        <v>46053</v>
      </c>
      <c r="G28">
        <f t="shared" ca="1" si="12"/>
        <v>1</v>
      </c>
      <c r="H28">
        <f t="shared" ca="1" si="14"/>
        <v>1</v>
      </c>
      <c r="I28">
        <f t="shared" ca="1" si="14"/>
        <v>1</v>
      </c>
      <c r="J28">
        <f t="shared" ca="1" si="14"/>
        <v>1</v>
      </c>
      <c r="K28">
        <f t="shared" ca="1" si="14"/>
        <v>1</v>
      </c>
      <c r="L28">
        <f t="shared" ca="1" si="14"/>
        <v>1</v>
      </c>
      <c r="M28">
        <f t="shared" ca="1" si="14"/>
        <v>1</v>
      </c>
      <c r="N28">
        <f t="shared" ca="1" si="14"/>
        <v>1</v>
      </c>
      <c r="O28">
        <f t="shared" ca="1" si="14"/>
        <v>1</v>
      </c>
      <c r="P28">
        <f t="shared" ca="1" si="14"/>
        <v>1</v>
      </c>
      <c r="Q28">
        <f t="shared" ca="1" si="14"/>
        <v>1</v>
      </c>
      <c r="R28">
        <f t="shared" ca="1" si="14"/>
        <v>1</v>
      </c>
      <c r="S28">
        <f t="shared" ca="1" si="14"/>
        <v>0</v>
      </c>
      <c r="T28">
        <f t="shared" ca="1" si="14"/>
        <v>0</v>
      </c>
      <c r="U28">
        <f t="shared" ca="1" si="14"/>
        <v>0</v>
      </c>
      <c r="V28">
        <f t="shared" ca="1" si="14"/>
        <v>0</v>
      </c>
      <c r="W28">
        <f t="shared" ca="1" si="13"/>
        <v>1</v>
      </c>
      <c r="X28">
        <f t="shared" ca="1" si="13"/>
        <v>1</v>
      </c>
      <c r="Y28">
        <f t="shared" ca="1" si="13"/>
        <v>1</v>
      </c>
      <c r="Z28">
        <f t="shared" ca="1" si="13"/>
        <v>1</v>
      </c>
      <c r="AA28">
        <f t="shared" ca="1" si="13"/>
        <v>0</v>
      </c>
    </row>
    <row r="29" spans="1:27" ht="18">
      <c r="A29" s="258" t="s">
        <v>137</v>
      </c>
      <c r="B29" s="258" t="str">
        <f>VLOOKUP(A29,'Data Pegawai'!B:P,2,FALSE)</f>
        <v>Aktif</v>
      </c>
      <c r="C29" s="258" t="str">
        <f>VLOOKUP(A29,'Data Pegawai'!B:P,4,FALSE)</f>
        <v>AA</v>
      </c>
      <c r="D29" s="258" t="str">
        <f>VLOOKUP(A29,'Data Pegawai'!B:P,3,FALSE)</f>
        <v>Dosen</v>
      </c>
      <c r="E29" s="265">
        <f>VLOOKUP(A29,'Data Pegawai'!B:P,13,FALSE)</f>
        <v>45170</v>
      </c>
      <c r="F29" s="265">
        <f ca="1">IF(VLOOKUP(A29,'Data Pegawai'!B:P,14,FALSE)=0,EOMONTH(TODAY(),0),VLOOKUP(A29,'Data Pegawai'!B:P,13,FALSE))</f>
        <v>46053</v>
      </c>
      <c r="G29">
        <f t="shared" ca="1" si="12"/>
        <v>1</v>
      </c>
      <c r="H29">
        <f t="shared" ca="1" si="14"/>
        <v>1</v>
      </c>
      <c r="I29">
        <f t="shared" ca="1" si="14"/>
        <v>1</v>
      </c>
      <c r="J29">
        <f t="shared" ca="1" si="14"/>
        <v>1</v>
      </c>
      <c r="K29">
        <f t="shared" ca="1" si="14"/>
        <v>1</v>
      </c>
      <c r="L29">
        <f t="shared" ca="1" si="14"/>
        <v>1</v>
      </c>
      <c r="M29">
        <f t="shared" ca="1" si="14"/>
        <v>1</v>
      </c>
      <c r="N29">
        <f t="shared" ca="1" si="14"/>
        <v>1</v>
      </c>
      <c r="O29">
        <f t="shared" ca="1" si="14"/>
        <v>1</v>
      </c>
      <c r="P29">
        <f t="shared" ca="1" si="14"/>
        <v>1</v>
      </c>
      <c r="Q29">
        <f t="shared" ca="1" si="14"/>
        <v>1</v>
      </c>
      <c r="R29">
        <f t="shared" ca="1" si="14"/>
        <v>1</v>
      </c>
      <c r="S29">
        <f t="shared" ca="1" si="14"/>
        <v>0</v>
      </c>
      <c r="T29">
        <f t="shared" ca="1" si="14"/>
        <v>0</v>
      </c>
      <c r="U29">
        <f t="shared" ca="1" si="14"/>
        <v>0</v>
      </c>
      <c r="V29">
        <f t="shared" ca="1" si="14"/>
        <v>0</v>
      </c>
      <c r="W29">
        <f t="shared" ca="1" si="13"/>
        <v>0</v>
      </c>
      <c r="X29">
        <f t="shared" ca="1" si="13"/>
        <v>1</v>
      </c>
      <c r="Y29">
        <f t="shared" ca="1" si="13"/>
        <v>1</v>
      </c>
      <c r="Z29">
        <f t="shared" ca="1" si="13"/>
        <v>1</v>
      </c>
      <c r="AA29">
        <f t="shared" ca="1" si="13"/>
        <v>0</v>
      </c>
    </row>
    <row r="30" spans="1:27" ht="18">
      <c r="A30" s="258" t="s">
        <v>141</v>
      </c>
      <c r="B30" s="258" t="str">
        <f>VLOOKUP(A30,'Data Pegawai'!B:P,2,FALSE)</f>
        <v>Aktif</v>
      </c>
      <c r="C30" s="258" t="str">
        <f>VLOOKUP(A30,'Data Pegawai'!B:P,4,FALSE)</f>
        <v>L</v>
      </c>
      <c r="D30" s="258" t="str">
        <f>VLOOKUP(A30,'Data Pegawai'!B:P,3,FALSE)</f>
        <v>Dosen</v>
      </c>
      <c r="E30" s="265">
        <f>VLOOKUP(A30,'Data Pegawai'!B:P,13,FALSE)</f>
        <v>45170</v>
      </c>
      <c r="F30" s="265">
        <f ca="1">IF(VLOOKUP(A30,'Data Pegawai'!B:P,14,FALSE)=0,EOMONTH(TODAY(),0),VLOOKUP(A30,'Data Pegawai'!B:P,13,FALSE))</f>
        <v>46053</v>
      </c>
      <c r="G30">
        <f t="shared" ca="1" si="12"/>
        <v>1</v>
      </c>
      <c r="H30">
        <f t="shared" ca="1" si="14"/>
        <v>1</v>
      </c>
      <c r="I30">
        <f t="shared" ca="1" si="14"/>
        <v>1</v>
      </c>
      <c r="J30">
        <f t="shared" ca="1" si="14"/>
        <v>1</v>
      </c>
      <c r="K30">
        <f t="shared" ca="1" si="14"/>
        <v>1</v>
      </c>
      <c r="L30">
        <f t="shared" ca="1" si="14"/>
        <v>1</v>
      </c>
      <c r="M30">
        <f t="shared" ca="1" si="14"/>
        <v>1</v>
      </c>
      <c r="N30">
        <f t="shared" ca="1" si="14"/>
        <v>1</v>
      </c>
      <c r="O30">
        <f t="shared" ca="1" si="14"/>
        <v>1</v>
      </c>
      <c r="P30">
        <f t="shared" ca="1" si="14"/>
        <v>1</v>
      </c>
      <c r="Q30">
        <f t="shared" ca="1" si="14"/>
        <v>1</v>
      </c>
      <c r="R30">
        <f t="shared" ca="1" si="14"/>
        <v>1</v>
      </c>
      <c r="S30">
        <f t="shared" ca="1" si="14"/>
        <v>0</v>
      </c>
      <c r="T30">
        <f t="shared" ca="1" si="14"/>
        <v>0</v>
      </c>
      <c r="U30">
        <f t="shared" ca="1" si="14"/>
        <v>0</v>
      </c>
      <c r="V30">
        <f t="shared" ca="1" si="14"/>
        <v>0</v>
      </c>
      <c r="W30">
        <f t="shared" ca="1" si="13"/>
        <v>0</v>
      </c>
      <c r="X30">
        <f t="shared" ca="1" si="13"/>
        <v>1</v>
      </c>
      <c r="Y30">
        <f t="shared" ca="1" si="13"/>
        <v>1</v>
      </c>
      <c r="Z30">
        <f t="shared" ca="1" si="13"/>
        <v>1</v>
      </c>
      <c r="AA30">
        <f t="shared" ca="1" si="13"/>
        <v>0</v>
      </c>
    </row>
    <row r="31" spans="1:27" ht="18">
      <c r="A31" s="258" t="s">
        <v>147</v>
      </c>
      <c r="B31" s="258" t="str">
        <f>VLOOKUP(A31,'Data Pegawai'!B:P,2,FALSE)</f>
        <v>Aktif</v>
      </c>
      <c r="C31" s="258" t="str">
        <f>VLOOKUP(A31,'Data Pegawai'!B:P,4,FALSE)</f>
        <v>NJAD</v>
      </c>
      <c r="D31" s="258" t="str">
        <f>VLOOKUP(A31,'Data Pegawai'!B:P,3,FALSE)</f>
        <v>Dosen</v>
      </c>
      <c r="E31" s="265">
        <f>VLOOKUP(A31,'Data Pegawai'!B:P,13,FALSE)</f>
        <v>45170</v>
      </c>
      <c r="F31" s="265">
        <f ca="1">IF(VLOOKUP(A31,'Data Pegawai'!B:P,14,FALSE)=0,EOMONTH(TODAY(),0),VLOOKUP(A31,'Data Pegawai'!B:P,13,FALSE))</f>
        <v>46053</v>
      </c>
      <c r="G31">
        <f t="shared" ca="1" si="12"/>
        <v>1</v>
      </c>
      <c r="H31">
        <f t="shared" ca="1" si="14"/>
        <v>1</v>
      </c>
      <c r="I31">
        <f t="shared" ca="1" si="14"/>
        <v>1</v>
      </c>
      <c r="J31">
        <f t="shared" ca="1" si="14"/>
        <v>1</v>
      </c>
      <c r="K31">
        <f t="shared" ca="1" si="14"/>
        <v>1</v>
      </c>
      <c r="L31">
        <f t="shared" ca="1" si="14"/>
        <v>1</v>
      </c>
      <c r="M31">
        <f t="shared" ca="1" si="14"/>
        <v>1</v>
      </c>
      <c r="N31">
        <f t="shared" ca="1" si="14"/>
        <v>1</v>
      </c>
      <c r="O31">
        <f t="shared" ca="1" si="14"/>
        <v>1</v>
      </c>
      <c r="P31">
        <f t="shared" ca="1" si="14"/>
        <v>1</v>
      </c>
      <c r="Q31">
        <f t="shared" ca="1" si="14"/>
        <v>1</v>
      </c>
      <c r="R31">
        <f t="shared" ca="1" si="14"/>
        <v>1</v>
      </c>
      <c r="S31">
        <f t="shared" ca="1" si="14"/>
        <v>0</v>
      </c>
      <c r="T31">
        <f t="shared" ca="1" si="14"/>
        <v>0</v>
      </c>
      <c r="U31">
        <f t="shared" ca="1" si="14"/>
        <v>0</v>
      </c>
      <c r="V31">
        <f t="shared" ca="1" si="14"/>
        <v>0</v>
      </c>
      <c r="W31">
        <f t="shared" ca="1" si="13"/>
        <v>0</v>
      </c>
      <c r="X31">
        <f t="shared" ca="1" si="13"/>
        <v>1</v>
      </c>
      <c r="Y31">
        <f t="shared" ca="1" si="13"/>
        <v>1</v>
      </c>
      <c r="Z31">
        <f t="shared" ca="1" si="13"/>
        <v>1</v>
      </c>
      <c r="AA31">
        <f t="shared" ca="1" si="13"/>
        <v>0</v>
      </c>
    </row>
    <row r="32" spans="1:27" ht="18">
      <c r="A32" s="258" t="s">
        <v>151</v>
      </c>
      <c r="B32" s="258" t="str">
        <f>VLOOKUP(A32,'Data Pegawai'!B:P,2,FALSE)</f>
        <v>Aktif</v>
      </c>
      <c r="C32" s="258" t="str">
        <f>VLOOKUP(A32,'Data Pegawai'!B:P,4,FALSE)</f>
        <v>NJAD</v>
      </c>
      <c r="D32" s="258" t="str">
        <f>VLOOKUP(A32,'Data Pegawai'!B:P,3,FALSE)</f>
        <v>Dosen</v>
      </c>
      <c r="E32" s="265">
        <f>VLOOKUP(A32,'Data Pegawai'!B:P,13,FALSE)</f>
        <v>45170</v>
      </c>
      <c r="F32" s="265">
        <f ca="1">IF(VLOOKUP(A32,'Data Pegawai'!B:P,14,FALSE)=0,EOMONTH(TODAY(),0),VLOOKUP(A32,'Data Pegawai'!B:P,13,FALSE))</f>
        <v>46053</v>
      </c>
      <c r="G32">
        <f t="shared" ca="1" si="12"/>
        <v>1</v>
      </c>
      <c r="H32">
        <f t="shared" ca="1" si="14"/>
        <v>1</v>
      </c>
      <c r="I32">
        <f t="shared" ca="1" si="14"/>
        <v>1</v>
      </c>
      <c r="J32">
        <f t="shared" ca="1" si="14"/>
        <v>1</v>
      </c>
      <c r="K32">
        <f t="shared" ca="1" si="14"/>
        <v>1</v>
      </c>
      <c r="L32">
        <f t="shared" ca="1" si="14"/>
        <v>1</v>
      </c>
      <c r="M32">
        <f t="shared" ca="1" si="14"/>
        <v>1</v>
      </c>
      <c r="N32">
        <f t="shared" ca="1" si="14"/>
        <v>1</v>
      </c>
      <c r="O32">
        <f t="shared" ca="1" si="14"/>
        <v>1</v>
      </c>
      <c r="P32">
        <f t="shared" ca="1" si="14"/>
        <v>1</v>
      </c>
      <c r="Q32">
        <f t="shared" ca="1" si="14"/>
        <v>1</v>
      </c>
      <c r="R32">
        <f t="shared" ca="1" si="14"/>
        <v>1</v>
      </c>
      <c r="S32">
        <f t="shared" ca="1" si="14"/>
        <v>0</v>
      </c>
      <c r="T32">
        <f t="shared" ca="1" si="14"/>
        <v>0</v>
      </c>
      <c r="U32">
        <f t="shared" ca="1" si="14"/>
        <v>0</v>
      </c>
      <c r="V32">
        <f t="shared" ca="1" si="14"/>
        <v>0</v>
      </c>
      <c r="W32">
        <f t="shared" ca="1" si="13"/>
        <v>0</v>
      </c>
      <c r="X32">
        <f t="shared" ca="1" si="13"/>
        <v>1</v>
      </c>
      <c r="Y32">
        <f t="shared" ca="1" si="13"/>
        <v>1</v>
      </c>
      <c r="Z32">
        <f t="shared" ca="1" si="13"/>
        <v>1</v>
      </c>
      <c r="AA32">
        <f t="shared" ca="1" si="13"/>
        <v>0</v>
      </c>
    </row>
    <row r="33" spans="1:27" ht="18">
      <c r="A33" s="258" t="s">
        <v>155</v>
      </c>
      <c r="B33" s="258" t="str">
        <f>VLOOKUP(A33,'Data Pegawai'!B:P,2,FALSE)</f>
        <v>Aktif</v>
      </c>
      <c r="C33" s="258" t="str">
        <f>VLOOKUP(A33,'Data Pegawai'!B:P,4,FALSE)</f>
        <v>NJAD</v>
      </c>
      <c r="D33" s="258" t="str">
        <f>VLOOKUP(A33,'Data Pegawai'!B:P,3,FALSE)</f>
        <v>Dosen</v>
      </c>
      <c r="E33" s="265">
        <f>VLOOKUP(A33,'Data Pegawai'!B:P,13,FALSE)</f>
        <v>45170</v>
      </c>
      <c r="F33" s="265">
        <f ca="1">IF(VLOOKUP(A33,'Data Pegawai'!B:P,14,FALSE)=0,EOMONTH(TODAY(),0),VLOOKUP(A33,'Data Pegawai'!B:P,13,FALSE))</f>
        <v>46053</v>
      </c>
      <c r="G33">
        <f t="shared" ca="1" si="12"/>
        <v>1</v>
      </c>
      <c r="H33">
        <f t="shared" ca="1" si="14"/>
        <v>1</v>
      </c>
      <c r="I33">
        <f t="shared" ca="1" si="14"/>
        <v>1</v>
      </c>
      <c r="J33">
        <f t="shared" ca="1" si="14"/>
        <v>1</v>
      </c>
      <c r="K33">
        <f t="shared" ca="1" si="14"/>
        <v>1</v>
      </c>
      <c r="L33">
        <f t="shared" ca="1" si="14"/>
        <v>1</v>
      </c>
      <c r="M33">
        <f t="shared" ca="1" si="14"/>
        <v>1</v>
      </c>
      <c r="N33">
        <f t="shared" ca="1" si="14"/>
        <v>1</v>
      </c>
      <c r="O33">
        <f t="shared" ca="1" si="14"/>
        <v>1</v>
      </c>
      <c r="P33">
        <f t="shared" ca="1" si="14"/>
        <v>1</v>
      </c>
      <c r="Q33">
        <f t="shared" ca="1" si="14"/>
        <v>1</v>
      </c>
      <c r="R33">
        <f t="shared" ca="1" si="14"/>
        <v>1</v>
      </c>
      <c r="S33">
        <f t="shared" ca="1" si="14"/>
        <v>0</v>
      </c>
      <c r="T33">
        <f t="shared" ca="1" si="14"/>
        <v>0</v>
      </c>
      <c r="U33">
        <f t="shared" ca="1" si="14"/>
        <v>0</v>
      </c>
      <c r="V33">
        <f t="shared" ca="1" si="14"/>
        <v>0</v>
      </c>
      <c r="W33">
        <f t="shared" ca="1" si="13"/>
        <v>0</v>
      </c>
      <c r="X33">
        <f t="shared" ca="1" si="13"/>
        <v>1</v>
      </c>
      <c r="Y33">
        <f t="shared" ca="1" si="13"/>
        <v>1</v>
      </c>
      <c r="Z33">
        <f t="shared" ca="1" si="13"/>
        <v>1</v>
      </c>
      <c r="AA33">
        <f t="shared" ca="1" si="13"/>
        <v>0</v>
      </c>
    </row>
    <row r="34" spans="1:27" ht="18">
      <c r="A34" s="258" t="s">
        <v>160</v>
      </c>
      <c r="B34" s="258" t="str">
        <f>VLOOKUP(A34,'Data Pegawai'!B:P,2,FALSE)</f>
        <v>Aktif</v>
      </c>
      <c r="C34" s="258" t="str">
        <f>VLOOKUP(A34,'Data Pegawai'!B:P,4,FALSE)</f>
        <v>NJAD</v>
      </c>
      <c r="D34" s="258" t="str">
        <f>VLOOKUP(A34,'Data Pegawai'!B:P,3,FALSE)</f>
        <v>Dosen</v>
      </c>
      <c r="E34" s="265">
        <f>VLOOKUP(A34,'Data Pegawai'!B:P,13,FALSE)</f>
        <v>45536</v>
      </c>
      <c r="F34" s="265">
        <f ca="1">IF(VLOOKUP(A34,'Data Pegawai'!B:P,14,FALSE)=0,EOMONTH(TODAY(),0),VLOOKUP(A34,'Data Pegawai'!B:P,13,FALSE))</f>
        <v>46053</v>
      </c>
      <c r="G34">
        <f t="shared" ca="1" si="12"/>
        <v>1</v>
      </c>
      <c r="H34">
        <f t="shared" ca="1" si="14"/>
        <v>1</v>
      </c>
      <c r="I34">
        <f t="shared" ca="1" si="14"/>
        <v>1</v>
      </c>
      <c r="J34">
        <f t="shared" ca="1" si="14"/>
        <v>1</v>
      </c>
      <c r="K34">
        <f t="shared" ca="1" si="14"/>
        <v>1</v>
      </c>
      <c r="L34">
        <f t="shared" ca="1" si="14"/>
        <v>1</v>
      </c>
      <c r="M34">
        <f t="shared" ca="1" si="14"/>
        <v>1</v>
      </c>
      <c r="N34">
        <f t="shared" ca="1" si="14"/>
        <v>1</v>
      </c>
      <c r="O34">
        <f t="shared" ca="1" si="14"/>
        <v>1</v>
      </c>
      <c r="P34">
        <f t="shared" ca="1" si="14"/>
        <v>1</v>
      </c>
      <c r="Q34">
        <f t="shared" ca="1" si="14"/>
        <v>1</v>
      </c>
      <c r="R34">
        <f t="shared" ca="1" si="14"/>
        <v>1</v>
      </c>
      <c r="S34">
        <f t="shared" ca="1" si="14"/>
        <v>0</v>
      </c>
      <c r="T34">
        <f t="shared" ca="1" si="14"/>
        <v>0</v>
      </c>
      <c r="U34">
        <f t="shared" ca="1" si="14"/>
        <v>0</v>
      </c>
      <c r="V34">
        <f t="shared" ca="1" si="14"/>
        <v>0</v>
      </c>
      <c r="W34">
        <f t="shared" ca="1" si="13"/>
        <v>0</v>
      </c>
      <c r="X34">
        <f t="shared" ca="1" si="13"/>
        <v>0</v>
      </c>
      <c r="Y34">
        <f t="shared" ca="1" si="13"/>
        <v>1</v>
      </c>
      <c r="Z34">
        <f t="shared" ca="1" si="13"/>
        <v>1</v>
      </c>
      <c r="AA34">
        <f t="shared" ca="1" si="13"/>
        <v>0</v>
      </c>
    </row>
    <row r="35" spans="1:27" ht="18">
      <c r="A35" s="258" t="s">
        <v>165</v>
      </c>
      <c r="B35" s="258" t="str">
        <f>VLOOKUP(A35,'Data Pegawai'!B:P,2,FALSE)</f>
        <v>Aktif</v>
      </c>
      <c r="C35" s="258" t="str">
        <f>VLOOKUP(A35,'Data Pegawai'!B:P,4,FALSE)</f>
        <v>NJAD</v>
      </c>
      <c r="D35" s="258" t="str">
        <f>VLOOKUP(A35,'Data Pegawai'!B:P,3,FALSE)</f>
        <v>Dosen</v>
      </c>
      <c r="E35" s="265">
        <f>VLOOKUP(A35,'Data Pegawai'!B:P,13,FALSE)</f>
        <v>45717</v>
      </c>
      <c r="F35" s="265">
        <f ca="1">IF(VLOOKUP(A35,'Data Pegawai'!B:P,14,FALSE)=0,EOMONTH(TODAY(),0),VLOOKUP(A35,'Data Pegawai'!B:P,13,FALSE))</f>
        <v>46053</v>
      </c>
      <c r="G35">
        <f t="shared" ca="1" si="12"/>
        <v>0</v>
      </c>
      <c r="H35">
        <f t="shared" ca="1" si="14"/>
        <v>0</v>
      </c>
      <c r="I35">
        <f t="shared" ca="1" si="14"/>
        <v>1</v>
      </c>
      <c r="J35">
        <f t="shared" ca="1" si="14"/>
        <v>1</v>
      </c>
      <c r="K35">
        <f t="shared" ca="1" si="14"/>
        <v>1</v>
      </c>
      <c r="L35">
        <f t="shared" ca="1" si="14"/>
        <v>1</v>
      </c>
      <c r="M35">
        <f t="shared" ca="1" si="14"/>
        <v>1</v>
      </c>
      <c r="N35">
        <f t="shared" ca="1" si="14"/>
        <v>1</v>
      </c>
      <c r="O35">
        <f t="shared" ca="1" si="14"/>
        <v>1</v>
      </c>
      <c r="P35">
        <f t="shared" ca="1" si="14"/>
        <v>1</v>
      </c>
      <c r="Q35">
        <f t="shared" ca="1" si="14"/>
        <v>1</v>
      </c>
      <c r="R35">
        <f t="shared" ca="1" si="14"/>
        <v>1</v>
      </c>
      <c r="S35">
        <f t="shared" ca="1" si="14"/>
        <v>0</v>
      </c>
      <c r="T35">
        <f t="shared" ca="1" si="14"/>
        <v>0</v>
      </c>
      <c r="U35">
        <f t="shared" ca="1" si="14"/>
        <v>0</v>
      </c>
      <c r="V35">
        <f t="shared" ca="1" si="14"/>
        <v>0</v>
      </c>
      <c r="W35">
        <f t="shared" ca="1" si="13"/>
        <v>0</v>
      </c>
      <c r="X35">
        <f t="shared" ca="1" si="13"/>
        <v>0</v>
      </c>
      <c r="Y35">
        <f t="shared" ca="1" si="13"/>
        <v>0</v>
      </c>
      <c r="Z35">
        <f t="shared" ca="1" si="13"/>
        <v>1</v>
      </c>
      <c r="AA35">
        <f t="shared" ca="1" si="13"/>
        <v>0</v>
      </c>
    </row>
    <row r="36" spans="1:27" ht="18">
      <c r="A36" s="258" t="s">
        <v>169</v>
      </c>
      <c r="B36" s="258" t="str">
        <f>VLOOKUP(A36,'Data Pegawai'!B:P,2,FALSE)</f>
        <v>Aktif</v>
      </c>
      <c r="C36" s="258" t="str">
        <f>VLOOKUP(A36,'Data Pegawai'!B:P,4,FALSE)</f>
        <v>AA</v>
      </c>
      <c r="D36" s="258" t="str">
        <f>VLOOKUP(A36,'Data Pegawai'!B:P,3,FALSE)</f>
        <v>Dosen</v>
      </c>
      <c r="E36" s="265">
        <f>VLOOKUP(A36,'Data Pegawai'!B:P,13,FALSE)</f>
        <v>43282</v>
      </c>
      <c r="F36" s="265">
        <f ca="1">IF(VLOOKUP(A36,'Data Pegawai'!B:P,14,FALSE)=0,EOMONTH(TODAY(),0),VLOOKUP(A36,'Data Pegawai'!B:P,13,FALSE))</f>
        <v>46053</v>
      </c>
      <c r="G36">
        <f t="shared" ca="1" si="12"/>
        <v>1</v>
      </c>
      <c r="H36">
        <f t="shared" ca="1" si="14"/>
        <v>1</v>
      </c>
      <c r="I36">
        <f t="shared" ca="1" si="14"/>
        <v>1</v>
      </c>
      <c r="J36">
        <f t="shared" ca="1" si="14"/>
        <v>1</v>
      </c>
      <c r="K36">
        <f t="shared" ca="1" si="14"/>
        <v>1</v>
      </c>
      <c r="L36">
        <f t="shared" ca="1" si="14"/>
        <v>1</v>
      </c>
      <c r="M36">
        <f t="shared" ca="1" si="14"/>
        <v>1</v>
      </c>
      <c r="N36">
        <f t="shared" ca="1" si="14"/>
        <v>1</v>
      </c>
      <c r="O36">
        <f t="shared" ca="1" si="14"/>
        <v>1</v>
      </c>
      <c r="P36">
        <f t="shared" ca="1" si="14"/>
        <v>1</v>
      </c>
      <c r="Q36">
        <f t="shared" ca="1" si="14"/>
        <v>1</v>
      </c>
      <c r="R36">
        <f t="shared" ca="1" si="14"/>
        <v>1</v>
      </c>
      <c r="S36">
        <f t="shared" ca="1" si="14"/>
        <v>1</v>
      </c>
      <c r="T36">
        <f t="shared" ca="1" si="14"/>
        <v>1</v>
      </c>
      <c r="U36">
        <f t="shared" ca="1" si="14"/>
        <v>1</v>
      </c>
      <c r="V36">
        <f t="shared" ca="1" si="14"/>
        <v>1</v>
      </c>
      <c r="W36">
        <f t="shared" ca="1" si="13"/>
        <v>1</v>
      </c>
      <c r="X36">
        <f t="shared" ca="1" si="13"/>
        <v>1</v>
      </c>
      <c r="Y36">
        <f t="shared" ca="1" si="13"/>
        <v>1</v>
      </c>
      <c r="Z36">
        <f t="shared" ca="1" si="13"/>
        <v>1</v>
      </c>
      <c r="AA36">
        <f t="shared" ca="1" si="13"/>
        <v>0</v>
      </c>
    </row>
    <row r="37" spans="1:27" ht="18">
      <c r="A37" s="258" t="s">
        <v>174</v>
      </c>
      <c r="B37" s="258" t="str">
        <f>VLOOKUP(A37,'Data Pegawai'!B:P,2,FALSE)</f>
        <v>Aktif</v>
      </c>
      <c r="C37" s="258" t="str">
        <f>VLOOKUP(A37,'Data Pegawai'!B:P,4,FALSE)</f>
        <v>L</v>
      </c>
      <c r="D37" s="258" t="str">
        <f>VLOOKUP(A37,'Data Pegawai'!B:P,3,FALSE)</f>
        <v>Dosen</v>
      </c>
      <c r="E37" s="265">
        <f>VLOOKUP(A37,'Data Pegawai'!B:P,13,FALSE)</f>
        <v>39845</v>
      </c>
      <c r="F37" s="265">
        <f ca="1">IF(VLOOKUP(A37,'Data Pegawai'!B:P,14,FALSE)=0,EOMONTH(TODAY(),0),VLOOKUP(A37,'Data Pegawai'!B:P,13,FALSE))</f>
        <v>46053</v>
      </c>
      <c r="G37">
        <f t="shared" ca="1" si="12"/>
        <v>1</v>
      </c>
      <c r="H37">
        <f t="shared" ca="1" si="14"/>
        <v>1</v>
      </c>
      <c r="I37">
        <f t="shared" ca="1" si="14"/>
        <v>1</v>
      </c>
      <c r="J37">
        <f t="shared" ca="1" si="14"/>
        <v>1</v>
      </c>
      <c r="K37">
        <f t="shared" ca="1" si="14"/>
        <v>1</v>
      </c>
      <c r="L37">
        <f t="shared" ca="1" si="14"/>
        <v>1</v>
      </c>
      <c r="M37">
        <f t="shared" ca="1" si="14"/>
        <v>1</v>
      </c>
      <c r="N37">
        <f t="shared" ca="1" si="14"/>
        <v>1</v>
      </c>
      <c r="O37">
        <f t="shared" ca="1" si="14"/>
        <v>1</v>
      </c>
      <c r="P37">
        <f t="shared" ca="1" si="14"/>
        <v>1</v>
      </c>
      <c r="Q37">
        <f t="shared" ca="1" si="14"/>
        <v>1</v>
      </c>
      <c r="R37">
        <f t="shared" ca="1" si="14"/>
        <v>1</v>
      </c>
      <c r="S37">
        <f t="shared" ca="1" si="14"/>
        <v>1</v>
      </c>
      <c r="T37">
        <f t="shared" ca="1" si="14"/>
        <v>1</v>
      </c>
      <c r="U37">
        <f t="shared" ca="1" si="14"/>
        <v>1</v>
      </c>
      <c r="V37">
        <f t="shared" ref="V37:AA52" ca="1" si="15">IF(AND(V$3&gt;=$E37,V$3&lt;=$F37),1,0)</f>
        <v>1</v>
      </c>
      <c r="W37">
        <f t="shared" ca="1" si="15"/>
        <v>1</v>
      </c>
      <c r="X37">
        <f t="shared" ca="1" si="15"/>
        <v>1</v>
      </c>
      <c r="Y37">
        <f t="shared" ca="1" si="15"/>
        <v>1</v>
      </c>
      <c r="Z37">
        <f t="shared" ca="1" si="15"/>
        <v>1</v>
      </c>
      <c r="AA37">
        <f t="shared" ca="1" si="15"/>
        <v>0</v>
      </c>
    </row>
    <row r="38" spans="1:27" ht="18">
      <c r="A38" s="258" t="s">
        <v>179</v>
      </c>
      <c r="B38" s="258" t="str">
        <f>VLOOKUP(A38,'Data Pegawai'!B:P,2,FALSE)</f>
        <v>Aktif</v>
      </c>
      <c r="C38" s="258" t="str">
        <f>VLOOKUP(A38,'Data Pegawai'!B:P,4,FALSE)</f>
        <v>L</v>
      </c>
      <c r="D38" s="258" t="str">
        <f>VLOOKUP(A38,'Data Pegawai'!B:P,3,FALSE)</f>
        <v>Dosen</v>
      </c>
      <c r="E38" s="265">
        <f>VLOOKUP(A38,'Data Pegawai'!B:P,13,FALSE)</f>
        <v>43101</v>
      </c>
      <c r="F38" s="265">
        <f ca="1">IF(VLOOKUP(A38,'Data Pegawai'!B:P,14,FALSE)=0,EOMONTH(TODAY(),0),VLOOKUP(A38,'Data Pegawai'!B:P,13,FALSE))</f>
        <v>46053</v>
      </c>
      <c r="G38">
        <f t="shared" ca="1" si="12"/>
        <v>1</v>
      </c>
      <c r="H38">
        <f t="shared" ref="H38:V53" ca="1" si="16">IF(AND(H$3&gt;=$E38,H$3&lt;=$F38),1,0)</f>
        <v>1</v>
      </c>
      <c r="I38">
        <f t="shared" ca="1" si="16"/>
        <v>1</v>
      </c>
      <c r="J38">
        <f t="shared" ca="1" si="16"/>
        <v>1</v>
      </c>
      <c r="K38">
        <f t="shared" ca="1" si="16"/>
        <v>1</v>
      </c>
      <c r="L38">
        <f t="shared" ca="1" si="16"/>
        <v>1</v>
      </c>
      <c r="M38">
        <f t="shared" ca="1" si="16"/>
        <v>1</v>
      </c>
      <c r="N38">
        <f t="shared" ca="1" si="16"/>
        <v>1</v>
      </c>
      <c r="O38">
        <f t="shared" ca="1" si="16"/>
        <v>1</v>
      </c>
      <c r="P38">
        <f t="shared" ca="1" si="16"/>
        <v>1</v>
      </c>
      <c r="Q38">
        <f t="shared" ca="1" si="16"/>
        <v>1</v>
      </c>
      <c r="R38">
        <f t="shared" ca="1" si="16"/>
        <v>1</v>
      </c>
      <c r="S38">
        <f t="shared" ca="1" si="16"/>
        <v>1</v>
      </c>
      <c r="T38">
        <f t="shared" ca="1" si="16"/>
        <v>1</v>
      </c>
      <c r="U38">
        <f t="shared" ca="1" si="16"/>
        <v>1</v>
      </c>
      <c r="V38">
        <f t="shared" ca="1" si="16"/>
        <v>1</v>
      </c>
      <c r="W38">
        <f t="shared" ca="1" si="15"/>
        <v>1</v>
      </c>
      <c r="X38">
        <f t="shared" ca="1" si="15"/>
        <v>1</v>
      </c>
      <c r="Y38">
        <f t="shared" ca="1" si="15"/>
        <v>1</v>
      </c>
      <c r="Z38">
        <f t="shared" ca="1" si="15"/>
        <v>1</v>
      </c>
      <c r="AA38">
        <f t="shared" ca="1" si="15"/>
        <v>0</v>
      </c>
    </row>
    <row r="39" spans="1:27" ht="18">
      <c r="A39" s="258" t="s">
        <v>183</v>
      </c>
      <c r="B39" s="258" t="str">
        <f>VLOOKUP(A39,'Data Pegawai'!B:P,2,FALSE)</f>
        <v>Aktif</v>
      </c>
      <c r="C39" s="258" t="str">
        <f>VLOOKUP(A39,'Data Pegawai'!B:P,4,FALSE)</f>
        <v>AA</v>
      </c>
      <c r="D39" s="258" t="str">
        <f>VLOOKUP(A39,'Data Pegawai'!B:P,3,FALSE)</f>
        <v>Dosen</v>
      </c>
      <c r="E39" s="265">
        <f>VLOOKUP(A39,'Data Pegawai'!B:P,13,FALSE)</f>
        <v>43101</v>
      </c>
      <c r="F39" s="265">
        <f ca="1">IF(VLOOKUP(A39,'Data Pegawai'!B:P,14,FALSE)=0,EOMONTH(TODAY(),0),VLOOKUP(A39,'Data Pegawai'!B:P,13,FALSE))</f>
        <v>46053</v>
      </c>
      <c r="G39">
        <f t="shared" ca="1" si="12"/>
        <v>1</v>
      </c>
      <c r="H39">
        <f t="shared" ca="1" si="16"/>
        <v>1</v>
      </c>
      <c r="I39">
        <f t="shared" ca="1" si="16"/>
        <v>1</v>
      </c>
      <c r="J39">
        <f t="shared" ca="1" si="16"/>
        <v>1</v>
      </c>
      <c r="K39">
        <f t="shared" ca="1" si="16"/>
        <v>1</v>
      </c>
      <c r="L39">
        <f t="shared" ca="1" si="16"/>
        <v>1</v>
      </c>
      <c r="M39">
        <f t="shared" ca="1" si="16"/>
        <v>1</v>
      </c>
      <c r="N39">
        <f t="shared" ca="1" si="16"/>
        <v>1</v>
      </c>
      <c r="O39">
        <f t="shared" ca="1" si="16"/>
        <v>1</v>
      </c>
      <c r="P39">
        <f t="shared" ca="1" si="16"/>
        <v>1</v>
      </c>
      <c r="Q39">
        <f t="shared" ca="1" si="16"/>
        <v>1</v>
      </c>
      <c r="R39">
        <f t="shared" ca="1" si="16"/>
        <v>1</v>
      </c>
      <c r="S39">
        <f t="shared" ca="1" si="16"/>
        <v>1</v>
      </c>
      <c r="T39">
        <f t="shared" ca="1" si="16"/>
        <v>1</v>
      </c>
      <c r="U39">
        <f t="shared" ca="1" si="16"/>
        <v>1</v>
      </c>
      <c r="V39">
        <f t="shared" ca="1" si="16"/>
        <v>1</v>
      </c>
      <c r="W39">
        <f t="shared" ca="1" si="15"/>
        <v>1</v>
      </c>
      <c r="X39">
        <f t="shared" ca="1" si="15"/>
        <v>1</v>
      </c>
      <c r="Y39">
        <f t="shared" ca="1" si="15"/>
        <v>1</v>
      </c>
      <c r="Z39">
        <f t="shared" ca="1" si="15"/>
        <v>1</v>
      </c>
      <c r="AA39">
        <f t="shared" ca="1" si="15"/>
        <v>0</v>
      </c>
    </row>
    <row r="40" spans="1:27" ht="18">
      <c r="A40" s="258" t="s">
        <v>187</v>
      </c>
      <c r="B40" s="258" t="str">
        <f>VLOOKUP(A40,'Data Pegawai'!B:P,2,FALSE)</f>
        <v>Aktif</v>
      </c>
      <c r="C40" s="258" t="str">
        <f>VLOOKUP(A40,'Data Pegawai'!B:P,4,FALSE)</f>
        <v>L</v>
      </c>
      <c r="D40" s="258" t="str">
        <f>VLOOKUP(A40,'Data Pegawai'!B:P,3,FALSE)</f>
        <v>Dosen</v>
      </c>
      <c r="E40" s="265">
        <f>VLOOKUP(A40,'Data Pegawai'!B:P,13,FALSE)</f>
        <v>43282</v>
      </c>
      <c r="F40" s="265">
        <f ca="1">IF(VLOOKUP(A40,'Data Pegawai'!B:P,14,FALSE)=0,EOMONTH(TODAY(),0),VLOOKUP(A40,'Data Pegawai'!B:P,13,FALSE))</f>
        <v>46053</v>
      </c>
      <c r="G40">
        <f t="shared" ca="1" si="12"/>
        <v>1</v>
      </c>
      <c r="H40">
        <f t="shared" ca="1" si="16"/>
        <v>1</v>
      </c>
      <c r="I40">
        <f t="shared" ca="1" si="16"/>
        <v>1</v>
      </c>
      <c r="J40">
        <f t="shared" ca="1" si="16"/>
        <v>1</v>
      </c>
      <c r="K40">
        <f t="shared" ca="1" si="16"/>
        <v>1</v>
      </c>
      <c r="L40">
        <f t="shared" ca="1" si="16"/>
        <v>1</v>
      </c>
      <c r="M40">
        <f t="shared" ca="1" si="16"/>
        <v>1</v>
      </c>
      <c r="N40">
        <f t="shared" ca="1" si="16"/>
        <v>1</v>
      </c>
      <c r="O40">
        <f t="shared" ca="1" si="16"/>
        <v>1</v>
      </c>
      <c r="P40">
        <f t="shared" ca="1" si="16"/>
        <v>1</v>
      </c>
      <c r="Q40">
        <f t="shared" ca="1" si="16"/>
        <v>1</v>
      </c>
      <c r="R40">
        <f t="shared" ca="1" si="16"/>
        <v>1</v>
      </c>
      <c r="S40">
        <f t="shared" ca="1" si="16"/>
        <v>1</v>
      </c>
      <c r="T40">
        <f t="shared" ca="1" si="16"/>
        <v>1</v>
      </c>
      <c r="U40">
        <f t="shared" ca="1" si="16"/>
        <v>1</v>
      </c>
      <c r="V40">
        <f t="shared" ca="1" si="16"/>
        <v>1</v>
      </c>
      <c r="W40">
        <f t="shared" ca="1" si="15"/>
        <v>1</v>
      </c>
      <c r="X40">
        <f t="shared" ca="1" si="15"/>
        <v>1</v>
      </c>
      <c r="Y40">
        <f t="shared" ca="1" si="15"/>
        <v>1</v>
      </c>
      <c r="Z40">
        <f t="shared" ca="1" si="15"/>
        <v>1</v>
      </c>
      <c r="AA40">
        <f t="shared" ca="1" si="15"/>
        <v>0</v>
      </c>
    </row>
    <row r="41" spans="1:27" ht="18">
      <c r="A41" s="258" t="s">
        <v>192</v>
      </c>
      <c r="B41" s="258" t="str">
        <f>VLOOKUP(A41,'Data Pegawai'!B:P,2,FALSE)</f>
        <v>Aktif</v>
      </c>
      <c r="C41" s="258" t="str">
        <f>VLOOKUP(A41,'Data Pegawai'!B:P,4,FALSE)</f>
        <v>L</v>
      </c>
      <c r="D41" s="258" t="str">
        <f>VLOOKUP(A41,'Data Pegawai'!B:P,3,FALSE)</f>
        <v>Dosen</v>
      </c>
      <c r="E41" s="265">
        <f>VLOOKUP(A41,'Data Pegawai'!B:P,13,FALSE)</f>
        <v>44627</v>
      </c>
      <c r="F41" s="265">
        <f ca="1">IF(VLOOKUP(A41,'Data Pegawai'!B:P,14,FALSE)=0,EOMONTH(TODAY(),0),VLOOKUP(A41,'Data Pegawai'!B:P,13,FALSE))</f>
        <v>46053</v>
      </c>
      <c r="G41">
        <f t="shared" ca="1" si="12"/>
        <v>1</v>
      </c>
      <c r="H41">
        <f t="shared" ca="1" si="16"/>
        <v>1</v>
      </c>
      <c r="I41">
        <f t="shared" ca="1" si="16"/>
        <v>1</v>
      </c>
      <c r="J41">
        <f t="shared" ca="1" si="16"/>
        <v>1</v>
      </c>
      <c r="K41">
        <f t="shared" ca="1" si="16"/>
        <v>1</v>
      </c>
      <c r="L41">
        <f t="shared" ca="1" si="16"/>
        <v>1</v>
      </c>
      <c r="M41">
        <f t="shared" ca="1" si="16"/>
        <v>1</v>
      </c>
      <c r="N41">
        <f t="shared" ca="1" si="16"/>
        <v>1</v>
      </c>
      <c r="O41">
        <f t="shared" ca="1" si="16"/>
        <v>1</v>
      </c>
      <c r="P41">
        <f t="shared" ca="1" si="16"/>
        <v>1</v>
      </c>
      <c r="Q41">
        <f t="shared" ca="1" si="16"/>
        <v>1</v>
      </c>
      <c r="R41">
        <f t="shared" ca="1" si="16"/>
        <v>1</v>
      </c>
      <c r="S41">
        <f t="shared" ca="1" si="16"/>
        <v>0</v>
      </c>
      <c r="T41">
        <f t="shared" ca="1" si="16"/>
        <v>0</v>
      </c>
      <c r="U41">
        <f t="shared" ca="1" si="16"/>
        <v>0</v>
      </c>
      <c r="V41">
        <f t="shared" ca="1" si="16"/>
        <v>0</v>
      </c>
      <c r="W41">
        <f t="shared" ca="1" si="15"/>
        <v>1</v>
      </c>
      <c r="X41">
        <f t="shared" ca="1" si="15"/>
        <v>1</v>
      </c>
      <c r="Y41">
        <f t="shared" ca="1" si="15"/>
        <v>1</v>
      </c>
      <c r="Z41">
        <f t="shared" ca="1" si="15"/>
        <v>1</v>
      </c>
      <c r="AA41">
        <f t="shared" ca="1" si="15"/>
        <v>0</v>
      </c>
    </row>
    <row r="42" spans="1:27" ht="18">
      <c r="A42" s="258" t="s">
        <v>196</v>
      </c>
      <c r="B42" s="258" t="str">
        <f>VLOOKUP(A42,'Data Pegawai'!B:P,2,FALSE)</f>
        <v>Aktif</v>
      </c>
      <c r="C42" s="258" t="str">
        <f>VLOOKUP(A42,'Data Pegawai'!B:P,4,FALSE)</f>
        <v>AA</v>
      </c>
      <c r="D42" s="258" t="str">
        <f>VLOOKUP(A42,'Data Pegawai'!B:P,3,FALSE)</f>
        <v>Dosen</v>
      </c>
      <c r="E42" s="265">
        <f>VLOOKUP(A42,'Data Pegawai'!B:P,13,FALSE)</f>
        <v>45170</v>
      </c>
      <c r="F42" s="265">
        <f ca="1">IF(VLOOKUP(A42,'Data Pegawai'!B:P,14,FALSE)=0,EOMONTH(TODAY(),0),VLOOKUP(A42,'Data Pegawai'!B:P,13,FALSE))</f>
        <v>46053</v>
      </c>
      <c r="G42">
        <f t="shared" ca="1" si="12"/>
        <v>1</v>
      </c>
      <c r="H42">
        <f t="shared" ca="1" si="16"/>
        <v>1</v>
      </c>
      <c r="I42">
        <f t="shared" ca="1" si="16"/>
        <v>1</v>
      </c>
      <c r="J42">
        <f t="shared" ca="1" si="16"/>
        <v>1</v>
      </c>
      <c r="K42">
        <f t="shared" ca="1" si="16"/>
        <v>1</v>
      </c>
      <c r="L42">
        <f t="shared" ca="1" si="16"/>
        <v>1</v>
      </c>
      <c r="M42">
        <f t="shared" ca="1" si="16"/>
        <v>1</v>
      </c>
      <c r="N42">
        <f t="shared" ca="1" si="16"/>
        <v>1</v>
      </c>
      <c r="O42">
        <f t="shared" ca="1" si="16"/>
        <v>1</v>
      </c>
      <c r="P42">
        <f t="shared" ca="1" si="16"/>
        <v>1</v>
      </c>
      <c r="Q42">
        <f t="shared" ca="1" si="16"/>
        <v>1</v>
      </c>
      <c r="R42">
        <f t="shared" ca="1" si="16"/>
        <v>1</v>
      </c>
      <c r="S42">
        <f t="shared" ca="1" si="16"/>
        <v>0</v>
      </c>
      <c r="T42">
        <f t="shared" ca="1" si="16"/>
        <v>0</v>
      </c>
      <c r="U42">
        <f t="shared" ca="1" si="16"/>
        <v>0</v>
      </c>
      <c r="V42">
        <f t="shared" ca="1" si="16"/>
        <v>0</v>
      </c>
      <c r="W42">
        <f t="shared" ca="1" si="15"/>
        <v>0</v>
      </c>
      <c r="X42">
        <f t="shared" ca="1" si="15"/>
        <v>1</v>
      </c>
      <c r="Y42">
        <f t="shared" ca="1" si="15"/>
        <v>1</v>
      </c>
      <c r="Z42">
        <f t="shared" ca="1" si="15"/>
        <v>1</v>
      </c>
      <c r="AA42">
        <f t="shared" ca="1" si="15"/>
        <v>0</v>
      </c>
    </row>
    <row r="43" spans="1:27" ht="18">
      <c r="A43" s="258" t="s">
        <v>200</v>
      </c>
      <c r="B43" s="258" t="str">
        <f>VLOOKUP(A43,'Data Pegawai'!B:P,2,FALSE)</f>
        <v>Aktif</v>
      </c>
      <c r="C43" s="258" t="str">
        <f>VLOOKUP(A43,'Data Pegawai'!B:P,4,FALSE)</f>
        <v>L</v>
      </c>
      <c r="D43" s="258" t="str">
        <f>VLOOKUP(A43,'Data Pegawai'!B:P,3,FALSE)</f>
        <v>Dosen</v>
      </c>
      <c r="E43" s="265">
        <f>VLOOKUP(A43,'Data Pegawai'!B:P,13,FALSE)</f>
        <v>44166</v>
      </c>
      <c r="F43" s="265">
        <f ca="1">IF(VLOOKUP(A43,'Data Pegawai'!B:P,14,FALSE)=0,EOMONTH(TODAY(),0),VLOOKUP(A43,'Data Pegawai'!B:P,13,FALSE))</f>
        <v>46053</v>
      </c>
      <c r="G43">
        <f t="shared" ca="1" si="12"/>
        <v>1</v>
      </c>
      <c r="H43">
        <f t="shared" ca="1" si="16"/>
        <v>1</v>
      </c>
      <c r="I43">
        <f t="shared" ca="1" si="16"/>
        <v>1</v>
      </c>
      <c r="J43">
        <f t="shared" ca="1" si="16"/>
        <v>1</v>
      </c>
      <c r="K43">
        <f t="shared" ca="1" si="16"/>
        <v>1</v>
      </c>
      <c r="L43">
        <f t="shared" ca="1" si="16"/>
        <v>1</v>
      </c>
      <c r="M43">
        <f t="shared" ca="1" si="16"/>
        <v>1</v>
      </c>
      <c r="N43">
        <f t="shared" ca="1" si="16"/>
        <v>1</v>
      </c>
      <c r="O43">
        <f t="shared" ca="1" si="16"/>
        <v>1</v>
      </c>
      <c r="P43">
        <f t="shared" ca="1" si="16"/>
        <v>1</v>
      </c>
      <c r="Q43">
        <f t="shared" ca="1" si="16"/>
        <v>1</v>
      </c>
      <c r="R43">
        <f t="shared" ca="1" si="16"/>
        <v>1</v>
      </c>
      <c r="S43">
        <f t="shared" ca="1" si="16"/>
        <v>0</v>
      </c>
      <c r="T43">
        <f t="shared" ca="1" si="16"/>
        <v>0</v>
      </c>
      <c r="U43">
        <f t="shared" ca="1" si="16"/>
        <v>1</v>
      </c>
      <c r="V43">
        <f t="shared" ca="1" si="16"/>
        <v>1</v>
      </c>
      <c r="W43">
        <f t="shared" ca="1" si="15"/>
        <v>1</v>
      </c>
      <c r="X43">
        <f t="shared" ca="1" si="15"/>
        <v>1</v>
      </c>
      <c r="Y43">
        <f t="shared" ca="1" si="15"/>
        <v>1</v>
      </c>
      <c r="Z43">
        <f t="shared" ca="1" si="15"/>
        <v>1</v>
      </c>
      <c r="AA43">
        <f t="shared" ca="1" si="15"/>
        <v>0</v>
      </c>
    </row>
    <row r="44" spans="1:27" ht="18">
      <c r="A44" s="258" t="s">
        <v>206</v>
      </c>
      <c r="B44" s="258" t="str">
        <f>VLOOKUP(A44,'Data Pegawai'!B:P,2,FALSE)</f>
        <v>Non-Aktif</v>
      </c>
      <c r="C44" s="258" t="str">
        <f>VLOOKUP(A44,'Data Pegawai'!B:P,4,FALSE)</f>
        <v>AA</v>
      </c>
      <c r="D44" s="258" t="str">
        <f>VLOOKUP(A44,'Data Pegawai'!B:P,3,FALSE)</f>
        <v>Dosen</v>
      </c>
      <c r="E44" s="265">
        <f>VLOOKUP(A44,'Data Pegawai'!B:P,13,FALSE)</f>
        <v>44166</v>
      </c>
      <c r="F44" s="265">
        <f ca="1">IF(VLOOKUP(A44,'Data Pegawai'!B:P,14,FALSE)=0,EOMONTH(TODAY(),0),VLOOKUP(A44,'Data Pegawai'!B:P,13,FALSE))</f>
        <v>44166</v>
      </c>
      <c r="G44">
        <f t="shared" ca="1" si="12"/>
        <v>0</v>
      </c>
      <c r="H44">
        <f t="shared" ca="1" si="16"/>
        <v>0</v>
      </c>
      <c r="I44">
        <f t="shared" ca="1" si="16"/>
        <v>0</v>
      </c>
      <c r="J44">
        <f t="shared" ca="1" si="16"/>
        <v>0</v>
      </c>
      <c r="K44">
        <f t="shared" ca="1" si="16"/>
        <v>0</v>
      </c>
      <c r="L44">
        <f t="shared" ca="1" si="16"/>
        <v>0</v>
      </c>
      <c r="M44">
        <f t="shared" ca="1" si="16"/>
        <v>0</v>
      </c>
      <c r="N44">
        <f t="shared" ca="1" si="16"/>
        <v>0</v>
      </c>
      <c r="O44">
        <f t="shared" ca="1" si="16"/>
        <v>0</v>
      </c>
      <c r="P44">
        <f t="shared" ca="1" si="16"/>
        <v>0</v>
      </c>
      <c r="Q44">
        <f t="shared" ca="1" si="16"/>
        <v>0</v>
      </c>
      <c r="R44">
        <f t="shared" ca="1" si="16"/>
        <v>0</v>
      </c>
      <c r="S44">
        <f t="shared" ca="1" si="16"/>
        <v>0</v>
      </c>
      <c r="T44">
        <f t="shared" ca="1" si="16"/>
        <v>0</v>
      </c>
      <c r="U44">
        <f t="shared" ca="1" si="16"/>
        <v>0</v>
      </c>
      <c r="V44">
        <f t="shared" ca="1" si="16"/>
        <v>0</v>
      </c>
      <c r="W44">
        <f t="shared" ca="1" si="15"/>
        <v>0</v>
      </c>
      <c r="X44">
        <f t="shared" ca="1" si="15"/>
        <v>0</v>
      </c>
      <c r="Y44">
        <f t="shared" ca="1" si="15"/>
        <v>0</v>
      </c>
      <c r="Z44">
        <f t="shared" ca="1" si="15"/>
        <v>0</v>
      </c>
      <c r="AA44">
        <f t="shared" ca="1" si="15"/>
        <v>0</v>
      </c>
    </row>
    <row r="45" spans="1:27" ht="18">
      <c r="A45" s="258" t="s">
        <v>211</v>
      </c>
      <c r="B45" s="258" t="str">
        <f>VLOOKUP(A45,'Data Pegawai'!B:P,2,FALSE)</f>
        <v>Aktif</v>
      </c>
      <c r="C45" s="258" t="str">
        <f>VLOOKUP(A45,'Data Pegawai'!B:P,4,FALSE)</f>
        <v>L</v>
      </c>
      <c r="D45" s="258" t="str">
        <f>VLOOKUP(A45,'Data Pegawai'!B:P,3,FALSE)</f>
        <v>Dosen</v>
      </c>
      <c r="E45" s="265">
        <f>VLOOKUP(A45,'Data Pegawai'!B:P,13,FALSE)</f>
        <v>44166</v>
      </c>
      <c r="F45" s="265">
        <f ca="1">IF(VLOOKUP(A45,'Data Pegawai'!B:P,14,FALSE)=0,EOMONTH(TODAY(),0),VLOOKUP(A45,'Data Pegawai'!B:P,13,FALSE))</f>
        <v>46053</v>
      </c>
      <c r="G45">
        <f t="shared" ca="1" si="12"/>
        <v>1</v>
      </c>
      <c r="H45">
        <f t="shared" ca="1" si="16"/>
        <v>1</v>
      </c>
      <c r="I45">
        <f t="shared" ca="1" si="16"/>
        <v>1</v>
      </c>
      <c r="J45">
        <f t="shared" ca="1" si="16"/>
        <v>1</v>
      </c>
      <c r="K45">
        <f t="shared" ca="1" si="16"/>
        <v>1</v>
      </c>
      <c r="L45">
        <f t="shared" ca="1" si="16"/>
        <v>1</v>
      </c>
      <c r="M45">
        <f t="shared" ca="1" si="16"/>
        <v>1</v>
      </c>
      <c r="N45">
        <f t="shared" ca="1" si="16"/>
        <v>1</v>
      </c>
      <c r="O45">
        <f t="shared" ca="1" si="16"/>
        <v>1</v>
      </c>
      <c r="P45">
        <f t="shared" ca="1" si="16"/>
        <v>1</v>
      </c>
      <c r="Q45">
        <f t="shared" ca="1" si="16"/>
        <v>1</v>
      </c>
      <c r="R45">
        <f t="shared" ca="1" si="16"/>
        <v>1</v>
      </c>
      <c r="S45">
        <f t="shared" ca="1" si="16"/>
        <v>0</v>
      </c>
      <c r="T45">
        <f t="shared" ca="1" si="16"/>
        <v>0</v>
      </c>
      <c r="U45">
        <f t="shared" ca="1" si="16"/>
        <v>1</v>
      </c>
      <c r="V45">
        <f t="shared" ca="1" si="16"/>
        <v>1</v>
      </c>
      <c r="W45">
        <f t="shared" ca="1" si="15"/>
        <v>1</v>
      </c>
      <c r="X45">
        <f t="shared" ca="1" si="15"/>
        <v>1</v>
      </c>
      <c r="Y45">
        <f t="shared" ca="1" si="15"/>
        <v>1</v>
      </c>
      <c r="Z45">
        <f t="shared" ca="1" si="15"/>
        <v>1</v>
      </c>
      <c r="AA45">
        <f t="shared" ca="1" si="15"/>
        <v>0</v>
      </c>
    </row>
    <row r="46" spans="1:27" ht="18">
      <c r="A46" s="258" t="s">
        <v>215</v>
      </c>
      <c r="B46" s="258" t="str">
        <f>VLOOKUP(A46,'Data Pegawai'!B:P,2,FALSE)</f>
        <v>Aktif</v>
      </c>
      <c r="C46" s="258" t="str">
        <f>VLOOKUP(A46,'Data Pegawai'!B:P,4,FALSE)</f>
        <v>AA</v>
      </c>
      <c r="D46" s="258" t="str">
        <f>VLOOKUP(A46,'Data Pegawai'!B:P,3,FALSE)</f>
        <v>Dosen</v>
      </c>
      <c r="E46" s="265">
        <f>VLOOKUP(A46,'Data Pegawai'!B:P,13,FALSE)</f>
        <v>44627</v>
      </c>
      <c r="F46" s="265">
        <f ca="1">IF(VLOOKUP(A46,'Data Pegawai'!B:P,14,FALSE)=0,EOMONTH(TODAY(),0),VLOOKUP(A46,'Data Pegawai'!B:P,13,FALSE))</f>
        <v>46053</v>
      </c>
      <c r="G46">
        <f t="shared" ca="1" si="12"/>
        <v>1</v>
      </c>
      <c r="H46">
        <f t="shared" ca="1" si="16"/>
        <v>1</v>
      </c>
      <c r="I46">
        <f t="shared" ca="1" si="16"/>
        <v>1</v>
      </c>
      <c r="J46">
        <f t="shared" ca="1" si="16"/>
        <v>1</v>
      </c>
      <c r="K46">
        <f t="shared" ca="1" si="16"/>
        <v>1</v>
      </c>
      <c r="L46">
        <f t="shared" ca="1" si="16"/>
        <v>1</v>
      </c>
      <c r="M46">
        <f t="shared" ca="1" si="16"/>
        <v>1</v>
      </c>
      <c r="N46">
        <f t="shared" ca="1" si="16"/>
        <v>1</v>
      </c>
      <c r="O46">
        <f t="shared" ca="1" si="16"/>
        <v>1</v>
      </c>
      <c r="P46">
        <f t="shared" ca="1" si="16"/>
        <v>1</v>
      </c>
      <c r="Q46">
        <f t="shared" ca="1" si="16"/>
        <v>1</v>
      </c>
      <c r="R46">
        <f t="shared" ca="1" si="16"/>
        <v>1</v>
      </c>
      <c r="S46">
        <f t="shared" ca="1" si="16"/>
        <v>0</v>
      </c>
      <c r="T46">
        <f t="shared" ca="1" si="16"/>
        <v>0</v>
      </c>
      <c r="U46">
        <f t="shared" ca="1" si="16"/>
        <v>0</v>
      </c>
      <c r="V46">
        <f t="shared" ca="1" si="16"/>
        <v>0</v>
      </c>
      <c r="W46">
        <f t="shared" ca="1" si="15"/>
        <v>1</v>
      </c>
      <c r="X46">
        <f t="shared" ca="1" si="15"/>
        <v>1</v>
      </c>
      <c r="Y46">
        <f t="shared" ca="1" si="15"/>
        <v>1</v>
      </c>
      <c r="Z46">
        <f t="shared" ca="1" si="15"/>
        <v>1</v>
      </c>
      <c r="AA46">
        <f t="shared" ca="1" si="15"/>
        <v>0</v>
      </c>
    </row>
    <row r="47" spans="1:27" ht="18">
      <c r="A47" s="258" t="s">
        <v>220</v>
      </c>
      <c r="B47" s="258" t="str">
        <f>VLOOKUP(A47,'Data Pegawai'!B:P,2,FALSE)</f>
        <v>Aktif</v>
      </c>
      <c r="C47" s="258" t="str">
        <f>VLOOKUP(A47,'Data Pegawai'!B:P,4,FALSE)</f>
        <v>AA</v>
      </c>
      <c r="D47" s="258" t="str">
        <f>VLOOKUP(A47,'Data Pegawai'!B:P,3,FALSE)</f>
        <v>Dosen</v>
      </c>
      <c r="E47" s="265">
        <f>VLOOKUP(A47,'Data Pegawai'!B:P,13,FALSE)</f>
        <v>44627</v>
      </c>
      <c r="F47" s="265">
        <f ca="1">IF(VLOOKUP(A47,'Data Pegawai'!B:P,14,FALSE)=0,EOMONTH(TODAY(),0),VLOOKUP(A47,'Data Pegawai'!B:P,13,FALSE))</f>
        <v>46053</v>
      </c>
      <c r="G47">
        <f t="shared" ca="1" si="12"/>
        <v>1</v>
      </c>
      <c r="H47">
        <f t="shared" ca="1" si="16"/>
        <v>1</v>
      </c>
      <c r="I47">
        <f t="shared" ca="1" si="16"/>
        <v>1</v>
      </c>
      <c r="J47">
        <f t="shared" ca="1" si="16"/>
        <v>1</v>
      </c>
      <c r="K47">
        <f t="shared" ca="1" si="16"/>
        <v>1</v>
      </c>
      <c r="L47">
        <f t="shared" ca="1" si="16"/>
        <v>1</v>
      </c>
      <c r="M47">
        <f t="shared" ca="1" si="16"/>
        <v>1</v>
      </c>
      <c r="N47">
        <f t="shared" ca="1" si="16"/>
        <v>1</v>
      </c>
      <c r="O47">
        <f t="shared" ca="1" si="16"/>
        <v>1</v>
      </c>
      <c r="P47">
        <f t="shared" ca="1" si="16"/>
        <v>1</v>
      </c>
      <c r="Q47">
        <f t="shared" ca="1" si="16"/>
        <v>1</v>
      </c>
      <c r="R47">
        <f t="shared" ca="1" si="16"/>
        <v>1</v>
      </c>
      <c r="S47">
        <f t="shared" ca="1" si="16"/>
        <v>0</v>
      </c>
      <c r="T47">
        <f t="shared" ca="1" si="16"/>
        <v>0</v>
      </c>
      <c r="U47">
        <f t="shared" ca="1" si="16"/>
        <v>0</v>
      </c>
      <c r="V47">
        <f t="shared" ca="1" si="16"/>
        <v>0</v>
      </c>
      <c r="W47">
        <f t="shared" ca="1" si="15"/>
        <v>1</v>
      </c>
      <c r="X47">
        <f t="shared" ca="1" si="15"/>
        <v>1</v>
      </c>
      <c r="Y47">
        <f t="shared" ca="1" si="15"/>
        <v>1</v>
      </c>
      <c r="Z47">
        <f t="shared" ca="1" si="15"/>
        <v>1</v>
      </c>
      <c r="AA47">
        <f t="shared" ca="1" si="15"/>
        <v>0</v>
      </c>
    </row>
    <row r="48" spans="1:27" ht="18">
      <c r="A48" s="258" t="s">
        <v>224</v>
      </c>
      <c r="B48" s="258" t="str">
        <f>VLOOKUP(A48,'Data Pegawai'!B:P,2,FALSE)</f>
        <v>Aktif</v>
      </c>
      <c r="C48" s="258" t="str">
        <f>VLOOKUP(A48,'Data Pegawai'!B:P,4,FALSE)</f>
        <v>AA</v>
      </c>
      <c r="D48" s="258" t="str">
        <f>VLOOKUP(A48,'Data Pegawai'!B:P,3,FALSE)</f>
        <v>Dosen</v>
      </c>
      <c r="E48" s="265">
        <f>VLOOKUP(A48,'Data Pegawai'!B:P,13,FALSE)</f>
        <v>44627</v>
      </c>
      <c r="F48" s="265">
        <f ca="1">IF(VLOOKUP(A48,'Data Pegawai'!B:P,14,FALSE)=0,EOMONTH(TODAY(),0),VLOOKUP(A48,'Data Pegawai'!B:P,13,FALSE))</f>
        <v>46053</v>
      </c>
      <c r="G48">
        <f t="shared" ca="1" si="12"/>
        <v>1</v>
      </c>
      <c r="H48">
        <f t="shared" ca="1" si="16"/>
        <v>1</v>
      </c>
      <c r="I48">
        <f t="shared" ca="1" si="16"/>
        <v>1</v>
      </c>
      <c r="J48">
        <f t="shared" ca="1" si="16"/>
        <v>1</v>
      </c>
      <c r="K48">
        <f t="shared" ca="1" si="16"/>
        <v>1</v>
      </c>
      <c r="L48">
        <f t="shared" ca="1" si="16"/>
        <v>1</v>
      </c>
      <c r="M48">
        <f t="shared" ca="1" si="16"/>
        <v>1</v>
      </c>
      <c r="N48">
        <f t="shared" ca="1" si="16"/>
        <v>1</v>
      </c>
      <c r="O48">
        <f t="shared" ca="1" si="16"/>
        <v>1</v>
      </c>
      <c r="P48">
        <f t="shared" ca="1" si="16"/>
        <v>1</v>
      </c>
      <c r="Q48">
        <f t="shared" ca="1" si="16"/>
        <v>1</v>
      </c>
      <c r="R48">
        <f t="shared" ca="1" si="16"/>
        <v>1</v>
      </c>
      <c r="S48">
        <f t="shared" ca="1" si="16"/>
        <v>0</v>
      </c>
      <c r="T48">
        <f t="shared" ca="1" si="16"/>
        <v>0</v>
      </c>
      <c r="U48">
        <f t="shared" ca="1" si="16"/>
        <v>0</v>
      </c>
      <c r="V48">
        <f t="shared" ca="1" si="16"/>
        <v>0</v>
      </c>
      <c r="W48">
        <f t="shared" ca="1" si="15"/>
        <v>1</v>
      </c>
      <c r="X48">
        <f t="shared" ca="1" si="15"/>
        <v>1</v>
      </c>
      <c r="Y48">
        <f t="shared" ca="1" si="15"/>
        <v>1</v>
      </c>
      <c r="Z48">
        <f t="shared" ca="1" si="15"/>
        <v>1</v>
      </c>
      <c r="AA48">
        <f t="shared" ca="1" si="15"/>
        <v>0</v>
      </c>
    </row>
    <row r="49" spans="1:27" ht="18">
      <c r="A49" s="258" t="s">
        <v>229</v>
      </c>
      <c r="B49" s="258" t="str">
        <f>VLOOKUP(A49,'Data Pegawai'!B:P,2,FALSE)</f>
        <v>Aktif</v>
      </c>
      <c r="C49" s="258" t="str">
        <f>VLOOKUP(A49,'Data Pegawai'!B:P,4,FALSE)</f>
        <v>NJAD</v>
      </c>
      <c r="D49" s="258" t="str">
        <f>VLOOKUP(A49,'Data Pegawai'!B:P,3,FALSE)</f>
        <v>Dosen</v>
      </c>
      <c r="E49" s="265">
        <f>VLOOKUP(A49,'Data Pegawai'!B:P,13,FALSE)</f>
        <v>45658</v>
      </c>
      <c r="F49" s="265">
        <f ca="1">IF(VLOOKUP(A49,'Data Pegawai'!B:P,14,FALSE)=0,EOMONTH(TODAY(),0),VLOOKUP(A49,'Data Pegawai'!B:P,13,FALSE))</f>
        <v>46053</v>
      </c>
      <c r="G49">
        <f t="shared" ca="1" si="12"/>
        <v>1</v>
      </c>
      <c r="H49">
        <f t="shared" ca="1" si="16"/>
        <v>1</v>
      </c>
      <c r="I49">
        <f t="shared" ca="1" si="16"/>
        <v>1</v>
      </c>
      <c r="J49">
        <f t="shared" ca="1" si="16"/>
        <v>1</v>
      </c>
      <c r="K49">
        <f t="shared" ca="1" si="16"/>
        <v>1</v>
      </c>
      <c r="L49">
        <f t="shared" ca="1" si="16"/>
        <v>1</v>
      </c>
      <c r="M49">
        <f t="shared" ca="1" si="16"/>
        <v>1</v>
      </c>
      <c r="N49">
        <f t="shared" ca="1" si="16"/>
        <v>1</v>
      </c>
      <c r="O49">
        <f t="shared" ca="1" si="16"/>
        <v>1</v>
      </c>
      <c r="P49">
        <f t="shared" ca="1" si="16"/>
        <v>1</v>
      </c>
      <c r="Q49">
        <f t="shared" ca="1" si="16"/>
        <v>1</v>
      </c>
      <c r="R49">
        <f t="shared" ca="1" si="16"/>
        <v>1</v>
      </c>
      <c r="S49">
        <f t="shared" ca="1" si="16"/>
        <v>0</v>
      </c>
      <c r="T49">
        <f t="shared" ca="1" si="16"/>
        <v>0</v>
      </c>
      <c r="U49">
        <f t="shared" ca="1" si="16"/>
        <v>0</v>
      </c>
      <c r="V49">
        <f t="shared" ca="1" si="16"/>
        <v>0</v>
      </c>
      <c r="W49">
        <f t="shared" ca="1" si="15"/>
        <v>0</v>
      </c>
      <c r="X49">
        <f t="shared" ca="1" si="15"/>
        <v>0</v>
      </c>
      <c r="Y49">
        <f t="shared" ca="1" si="15"/>
        <v>0</v>
      </c>
      <c r="Z49">
        <f t="shared" ca="1" si="15"/>
        <v>1</v>
      </c>
      <c r="AA49">
        <f t="shared" ca="1" si="15"/>
        <v>0</v>
      </c>
    </row>
    <row r="50" spans="1:27" ht="18">
      <c r="A50" s="258" t="s">
        <v>234</v>
      </c>
      <c r="B50" s="258" t="str">
        <f>VLOOKUP(A50,'Data Pegawai'!B:P,2,FALSE)</f>
        <v>Aktif</v>
      </c>
      <c r="C50" s="258" t="str">
        <f>VLOOKUP(A50,'Data Pegawai'!B:P,4,FALSE)</f>
        <v>AA</v>
      </c>
      <c r="D50" s="258" t="str">
        <f>VLOOKUP(A50,'Data Pegawai'!B:P,3,FALSE)</f>
        <v>Dosen</v>
      </c>
      <c r="E50" s="265">
        <f>VLOOKUP(A50,'Data Pegawai'!B:P,13,FALSE)</f>
        <v>43101</v>
      </c>
      <c r="F50" s="265">
        <f ca="1">IF(VLOOKUP(A50,'Data Pegawai'!B:P,14,FALSE)=0,EOMONTH(TODAY(),0),VLOOKUP(A50,'Data Pegawai'!B:P,13,FALSE))</f>
        <v>46053</v>
      </c>
      <c r="G50">
        <f t="shared" ca="1" si="12"/>
        <v>1</v>
      </c>
      <c r="H50">
        <f t="shared" ca="1" si="16"/>
        <v>1</v>
      </c>
      <c r="I50">
        <f t="shared" ca="1" si="16"/>
        <v>1</v>
      </c>
      <c r="J50">
        <f t="shared" ca="1" si="16"/>
        <v>1</v>
      </c>
      <c r="K50">
        <f t="shared" ca="1" si="16"/>
        <v>1</v>
      </c>
      <c r="L50">
        <f t="shared" ca="1" si="16"/>
        <v>1</v>
      </c>
      <c r="M50">
        <f t="shared" ca="1" si="16"/>
        <v>1</v>
      </c>
      <c r="N50">
        <f t="shared" ca="1" si="16"/>
        <v>1</v>
      </c>
      <c r="O50">
        <f t="shared" ca="1" si="16"/>
        <v>1</v>
      </c>
      <c r="P50">
        <f t="shared" ca="1" si="16"/>
        <v>1</v>
      </c>
      <c r="Q50">
        <f t="shared" ca="1" si="16"/>
        <v>1</v>
      </c>
      <c r="R50">
        <f t="shared" ca="1" si="16"/>
        <v>1</v>
      </c>
      <c r="S50">
        <f t="shared" ca="1" si="16"/>
        <v>1</v>
      </c>
      <c r="T50">
        <f t="shared" ca="1" si="16"/>
        <v>1</v>
      </c>
      <c r="U50">
        <f t="shared" ca="1" si="16"/>
        <v>1</v>
      </c>
      <c r="V50">
        <f t="shared" ca="1" si="16"/>
        <v>1</v>
      </c>
      <c r="W50">
        <f t="shared" ca="1" si="15"/>
        <v>1</v>
      </c>
      <c r="X50">
        <f t="shared" ca="1" si="15"/>
        <v>1</v>
      </c>
      <c r="Y50">
        <f t="shared" ca="1" si="15"/>
        <v>1</v>
      </c>
      <c r="Z50">
        <f t="shared" ca="1" si="15"/>
        <v>1</v>
      </c>
      <c r="AA50">
        <f t="shared" ca="1" si="15"/>
        <v>0</v>
      </c>
    </row>
    <row r="51" spans="1:27" ht="18">
      <c r="A51" s="258" t="s">
        <v>239</v>
      </c>
      <c r="B51" s="258" t="str">
        <f>VLOOKUP(A51,'Data Pegawai'!B:P,2,FALSE)</f>
        <v>Aktif</v>
      </c>
      <c r="C51" s="258" t="str">
        <f>VLOOKUP(A51,'Data Pegawai'!B:P,4,FALSE)</f>
        <v>AA</v>
      </c>
      <c r="D51" s="258" t="str">
        <f>VLOOKUP(A51,'Data Pegawai'!B:P,3,FALSE)</f>
        <v>Dosen</v>
      </c>
      <c r="E51" s="265">
        <f>VLOOKUP(A51,'Data Pegawai'!B:P,13,FALSE)</f>
        <v>43282</v>
      </c>
      <c r="F51" s="265">
        <f ca="1">IF(VLOOKUP(A51,'Data Pegawai'!B:P,14,FALSE)=0,EOMONTH(TODAY(),0),VLOOKUP(A51,'Data Pegawai'!B:P,13,FALSE))</f>
        <v>46053</v>
      </c>
      <c r="G51">
        <f t="shared" ca="1" si="12"/>
        <v>1</v>
      </c>
      <c r="H51">
        <f t="shared" ca="1" si="16"/>
        <v>1</v>
      </c>
      <c r="I51">
        <f t="shared" ca="1" si="16"/>
        <v>1</v>
      </c>
      <c r="J51">
        <f t="shared" ca="1" si="16"/>
        <v>1</v>
      </c>
      <c r="K51">
        <f t="shared" ca="1" si="16"/>
        <v>1</v>
      </c>
      <c r="L51">
        <f t="shared" ca="1" si="16"/>
        <v>1</v>
      </c>
      <c r="M51">
        <f t="shared" ca="1" si="16"/>
        <v>1</v>
      </c>
      <c r="N51">
        <f t="shared" ca="1" si="16"/>
        <v>1</v>
      </c>
      <c r="O51">
        <f t="shared" ca="1" si="16"/>
        <v>1</v>
      </c>
      <c r="P51">
        <f t="shared" ca="1" si="16"/>
        <v>1</v>
      </c>
      <c r="Q51">
        <f t="shared" ca="1" si="16"/>
        <v>1</v>
      </c>
      <c r="R51">
        <f t="shared" ca="1" si="16"/>
        <v>1</v>
      </c>
      <c r="S51">
        <f t="shared" ca="1" si="16"/>
        <v>1</v>
      </c>
      <c r="T51">
        <f t="shared" ca="1" si="16"/>
        <v>1</v>
      </c>
      <c r="U51">
        <f t="shared" ca="1" si="16"/>
        <v>1</v>
      </c>
      <c r="V51">
        <f t="shared" ca="1" si="16"/>
        <v>1</v>
      </c>
      <c r="W51">
        <f t="shared" ca="1" si="15"/>
        <v>1</v>
      </c>
      <c r="X51">
        <f t="shared" ca="1" si="15"/>
        <v>1</v>
      </c>
      <c r="Y51">
        <f t="shared" ca="1" si="15"/>
        <v>1</v>
      </c>
      <c r="Z51">
        <f t="shared" ca="1" si="15"/>
        <v>1</v>
      </c>
      <c r="AA51">
        <f t="shared" ca="1" si="15"/>
        <v>0</v>
      </c>
    </row>
    <row r="52" spans="1:27" ht="18">
      <c r="A52" s="258" t="s">
        <v>243</v>
      </c>
      <c r="B52" s="258" t="str">
        <f>VLOOKUP(A52,'Data Pegawai'!B:P,2,FALSE)</f>
        <v>Aktif</v>
      </c>
      <c r="C52" s="258" t="str">
        <f>VLOOKUP(A52,'Data Pegawai'!B:P,4,FALSE)</f>
        <v>AA</v>
      </c>
      <c r="D52" s="258" t="str">
        <f>VLOOKUP(A52,'Data Pegawai'!B:P,3,FALSE)</f>
        <v>Dosen</v>
      </c>
      <c r="E52" s="265">
        <f>VLOOKUP(A52,'Data Pegawai'!B:P,13,FALSE)</f>
        <v>43282</v>
      </c>
      <c r="F52" s="265">
        <f ca="1">IF(VLOOKUP(A52,'Data Pegawai'!B:P,14,FALSE)=0,EOMONTH(TODAY(),0),VLOOKUP(A52,'Data Pegawai'!B:P,13,FALSE))</f>
        <v>46053</v>
      </c>
      <c r="G52">
        <f t="shared" ca="1" si="12"/>
        <v>1</v>
      </c>
      <c r="H52">
        <f t="shared" ca="1" si="16"/>
        <v>1</v>
      </c>
      <c r="I52">
        <f t="shared" ca="1" si="16"/>
        <v>1</v>
      </c>
      <c r="J52">
        <f t="shared" ca="1" si="16"/>
        <v>1</v>
      </c>
      <c r="K52">
        <f t="shared" ca="1" si="16"/>
        <v>1</v>
      </c>
      <c r="L52">
        <f t="shared" ca="1" si="16"/>
        <v>1</v>
      </c>
      <c r="M52">
        <f t="shared" ca="1" si="16"/>
        <v>1</v>
      </c>
      <c r="N52">
        <f t="shared" ca="1" si="16"/>
        <v>1</v>
      </c>
      <c r="O52">
        <f t="shared" ca="1" si="16"/>
        <v>1</v>
      </c>
      <c r="P52">
        <f t="shared" ca="1" si="16"/>
        <v>1</v>
      </c>
      <c r="Q52">
        <f t="shared" ca="1" si="16"/>
        <v>1</v>
      </c>
      <c r="R52">
        <f t="shared" ca="1" si="16"/>
        <v>1</v>
      </c>
      <c r="S52">
        <f t="shared" ca="1" si="16"/>
        <v>1</v>
      </c>
      <c r="T52">
        <f t="shared" ca="1" si="16"/>
        <v>1</v>
      </c>
      <c r="U52">
        <f t="shared" ca="1" si="16"/>
        <v>1</v>
      </c>
      <c r="V52">
        <f t="shared" ca="1" si="16"/>
        <v>1</v>
      </c>
      <c r="W52">
        <f t="shared" ca="1" si="15"/>
        <v>1</v>
      </c>
      <c r="X52">
        <f t="shared" ca="1" si="15"/>
        <v>1</v>
      </c>
      <c r="Y52">
        <f t="shared" ca="1" si="15"/>
        <v>1</v>
      </c>
      <c r="Z52">
        <f t="shared" ca="1" si="15"/>
        <v>1</v>
      </c>
      <c r="AA52">
        <f t="shared" ca="1" si="15"/>
        <v>0</v>
      </c>
    </row>
    <row r="53" spans="1:27" ht="18">
      <c r="A53" s="258" t="s">
        <v>247</v>
      </c>
      <c r="B53" s="258" t="str">
        <f>VLOOKUP(A53,'Data Pegawai'!B:P,2,FALSE)</f>
        <v>Aktif</v>
      </c>
      <c r="C53" s="258" t="str">
        <f>VLOOKUP(A53,'Data Pegawai'!B:P,4,FALSE)</f>
        <v>L</v>
      </c>
      <c r="D53" s="258" t="str">
        <f>VLOOKUP(A53,'Data Pegawai'!B:P,3,FALSE)</f>
        <v>Dosen</v>
      </c>
      <c r="E53" s="265">
        <f>VLOOKUP(A53,'Data Pegawai'!B:P,13,FALSE)</f>
        <v>43101</v>
      </c>
      <c r="F53" s="265">
        <f ca="1">IF(VLOOKUP(A53,'Data Pegawai'!B:P,14,FALSE)=0,EOMONTH(TODAY(),0),VLOOKUP(A53,'Data Pegawai'!B:P,13,FALSE))</f>
        <v>46053</v>
      </c>
      <c r="G53">
        <f t="shared" ca="1" si="12"/>
        <v>1</v>
      </c>
      <c r="H53">
        <f t="shared" ca="1" si="16"/>
        <v>1</v>
      </c>
      <c r="I53">
        <f t="shared" ca="1" si="16"/>
        <v>1</v>
      </c>
      <c r="J53">
        <f t="shared" ca="1" si="16"/>
        <v>1</v>
      </c>
      <c r="K53">
        <f t="shared" ca="1" si="16"/>
        <v>1</v>
      </c>
      <c r="L53">
        <f t="shared" ca="1" si="16"/>
        <v>1</v>
      </c>
      <c r="M53">
        <f t="shared" ca="1" si="16"/>
        <v>1</v>
      </c>
      <c r="N53">
        <f t="shared" ca="1" si="16"/>
        <v>1</v>
      </c>
      <c r="O53">
        <f t="shared" ca="1" si="16"/>
        <v>1</v>
      </c>
      <c r="P53">
        <f t="shared" ca="1" si="16"/>
        <v>1</v>
      </c>
      <c r="Q53">
        <f t="shared" ca="1" si="16"/>
        <v>1</v>
      </c>
      <c r="R53">
        <f t="shared" ca="1" si="16"/>
        <v>1</v>
      </c>
      <c r="S53">
        <f t="shared" ca="1" si="16"/>
        <v>1</v>
      </c>
      <c r="T53">
        <f t="shared" ca="1" si="16"/>
        <v>1</v>
      </c>
      <c r="U53">
        <f t="shared" ca="1" si="16"/>
        <v>1</v>
      </c>
      <c r="V53">
        <f t="shared" ref="V53:AA68" ca="1" si="17">IF(AND(V$3&gt;=$E53,V$3&lt;=$F53),1,0)</f>
        <v>1</v>
      </c>
      <c r="W53">
        <f t="shared" ca="1" si="17"/>
        <v>1</v>
      </c>
      <c r="X53">
        <f t="shared" ca="1" si="17"/>
        <v>1</v>
      </c>
      <c r="Y53">
        <f t="shared" ca="1" si="17"/>
        <v>1</v>
      </c>
      <c r="Z53">
        <f t="shared" ca="1" si="17"/>
        <v>1</v>
      </c>
      <c r="AA53">
        <f t="shared" ca="1" si="17"/>
        <v>0</v>
      </c>
    </row>
    <row r="54" spans="1:27" ht="18">
      <c r="A54" s="258" t="s">
        <v>251</v>
      </c>
      <c r="B54" s="258" t="str">
        <f>VLOOKUP(A54,'Data Pegawai'!B:P,2,FALSE)</f>
        <v>Aktif</v>
      </c>
      <c r="C54" s="258" t="str">
        <f>VLOOKUP(A54,'Data Pegawai'!B:P,4,FALSE)</f>
        <v>AA</v>
      </c>
      <c r="D54" s="258" t="str">
        <f>VLOOKUP(A54,'Data Pegawai'!B:P,3,FALSE)</f>
        <v>Dosen</v>
      </c>
      <c r="E54" s="265">
        <f>VLOOKUP(A54,'Data Pegawai'!B:P,13,FALSE)</f>
        <v>43831</v>
      </c>
      <c r="F54" s="265">
        <f ca="1">IF(VLOOKUP(A54,'Data Pegawai'!B:P,14,FALSE)=0,EOMONTH(TODAY(),0),VLOOKUP(A54,'Data Pegawai'!B:P,13,FALSE))</f>
        <v>46053</v>
      </c>
      <c r="G54">
        <f t="shared" ca="1" si="12"/>
        <v>1</v>
      </c>
      <c r="H54">
        <f t="shared" ref="H54:V69" ca="1" si="18">IF(AND(H$3&gt;=$E54,H$3&lt;=$F54),1,0)</f>
        <v>1</v>
      </c>
      <c r="I54">
        <f t="shared" ca="1" si="18"/>
        <v>1</v>
      </c>
      <c r="J54">
        <f t="shared" ca="1" si="18"/>
        <v>1</v>
      </c>
      <c r="K54">
        <f t="shared" ca="1" si="18"/>
        <v>1</v>
      </c>
      <c r="L54">
        <f t="shared" ca="1" si="18"/>
        <v>1</v>
      </c>
      <c r="M54">
        <f t="shared" ca="1" si="18"/>
        <v>1</v>
      </c>
      <c r="N54">
        <f t="shared" ca="1" si="18"/>
        <v>1</v>
      </c>
      <c r="O54">
        <f t="shared" ca="1" si="18"/>
        <v>1</v>
      </c>
      <c r="P54">
        <f t="shared" ca="1" si="18"/>
        <v>1</v>
      </c>
      <c r="Q54">
        <f t="shared" ca="1" si="18"/>
        <v>1</v>
      </c>
      <c r="R54">
        <f t="shared" ca="1" si="18"/>
        <v>1</v>
      </c>
      <c r="S54">
        <f t="shared" ca="1" si="18"/>
        <v>0</v>
      </c>
      <c r="T54">
        <f t="shared" ca="1" si="18"/>
        <v>0</v>
      </c>
      <c r="U54">
        <f t="shared" ca="1" si="18"/>
        <v>1</v>
      </c>
      <c r="V54">
        <f t="shared" ca="1" si="18"/>
        <v>1</v>
      </c>
      <c r="W54">
        <f t="shared" ca="1" si="17"/>
        <v>1</v>
      </c>
      <c r="X54">
        <f t="shared" ca="1" si="17"/>
        <v>1</v>
      </c>
      <c r="Y54">
        <f t="shared" ca="1" si="17"/>
        <v>1</v>
      </c>
      <c r="Z54">
        <f t="shared" ca="1" si="17"/>
        <v>1</v>
      </c>
      <c r="AA54">
        <f t="shared" ca="1" si="17"/>
        <v>0</v>
      </c>
    </row>
    <row r="55" spans="1:27" ht="18">
      <c r="A55" s="258" t="s">
        <v>255</v>
      </c>
      <c r="B55" s="258" t="str">
        <f>VLOOKUP(A55,'Data Pegawai'!B:P,2,FALSE)</f>
        <v>Aktif</v>
      </c>
      <c r="C55" s="258" t="str">
        <f>VLOOKUP(A55,'Data Pegawai'!B:P,4,FALSE)</f>
        <v>L</v>
      </c>
      <c r="D55" s="258" t="str">
        <f>VLOOKUP(A55,'Data Pegawai'!B:P,3,FALSE)</f>
        <v>Dosen</v>
      </c>
      <c r="E55" s="265">
        <f>VLOOKUP(A55,'Data Pegawai'!B:P,13,FALSE)</f>
        <v>43770</v>
      </c>
      <c r="F55" s="265">
        <f ca="1">IF(VLOOKUP(A55,'Data Pegawai'!B:P,14,FALSE)=0,EOMONTH(TODAY(),0),VLOOKUP(A55,'Data Pegawai'!B:P,13,FALSE))</f>
        <v>46053</v>
      </c>
      <c r="G55">
        <f t="shared" ca="1" si="12"/>
        <v>1</v>
      </c>
      <c r="H55">
        <f t="shared" ca="1" si="18"/>
        <v>1</v>
      </c>
      <c r="I55">
        <f t="shared" ca="1" si="18"/>
        <v>1</v>
      </c>
      <c r="J55">
        <f t="shared" ca="1" si="18"/>
        <v>1</v>
      </c>
      <c r="K55">
        <f t="shared" ca="1" si="18"/>
        <v>1</v>
      </c>
      <c r="L55">
        <f t="shared" ca="1" si="18"/>
        <v>1</v>
      </c>
      <c r="M55">
        <f t="shared" ca="1" si="18"/>
        <v>1</v>
      </c>
      <c r="N55">
        <f t="shared" ca="1" si="18"/>
        <v>1</v>
      </c>
      <c r="O55">
        <f t="shared" ca="1" si="18"/>
        <v>1</v>
      </c>
      <c r="P55">
        <f t="shared" ca="1" si="18"/>
        <v>1</v>
      </c>
      <c r="Q55">
        <f t="shared" ca="1" si="18"/>
        <v>1</v>
      </c>
      <c r="R55">
        <f t="shared" ca="1" si="18"/>
        <v>1</v>
      </c>
      <c r="S55">
        <f t="shared" ca="1" si="18"/>
        <v>0</v>
      </c>
      <c r="T55">
        <f t="shared" ca="1" si="18"/>
        <v>1</v>
      </c>
      <c r="U55">
        <f t="shared" ca="1" si="18"/>
        <v>1</v>
      </c>
      <c r="V55">
        <f t="shared" ca="1" si="18"/>
        <v>1</v>
      </c>
      <c r="W55">
        <f t="shared" ca="1" si="17"/>
        <v>1</v>
      </c>
      <c r="X55">
        <f t="shared" ca="1" si="17"/>
        <v>1</v>
      </c>
      <c r="Y55">
        <f t="shared" ca="1" si="17"/>
        <v>1</v>
      </c>
      <c r="Z55">
        <f t="shared" ca="1" si="17"/>
        <v>1</v>
      </c>
      <c r="AA55">
        <f t="shared" ca="1" si="17"/>
        <v>0</v>
      </c>
    </row>
    <row r="56" spans="1:27" ht="18">
      <c r="A56" s="258" t="s">
        <v>260</v>
      </c>
      <c r="B56" s="258" t="str">
        <f>VLOOKUP(A56,'Data Pegawai'!B:P,2,FALSE)</f>
        <v>Aktif</v>
      </c>
      <c r="C56" s="258" t="str">
        <f>VLOOKUP(A56,'Data Pegawai'!B:P,4,FALSE)</f>
        <v>AA</v>
      </c>
      <c r="D56" s="258" t="str">
        <f>VLOOKUP(A56,'Data Pegawai'!B:P,3,FALSE)</f>
        <v>Dosen</v>
      </c>
      <c r="E56" s="265">
        <f>VLOOKUP(A56,'Data Pegawai'!B:P,13,FALSE)</f>
        <v>44075</v>
      </c>
      <c r="F56" s="265">
        <f ca="1">IF(VLOOKUP(A56,'Data Pegawai'!B:P,14,FALSE)=0,EOMONTH(TODAY(),0),VLOOKUP(A56,'Data Pegawai'!B:P,13,FALSE))</f>
        <v>46053</v>
      </c>
      <c r="G56">
        <f t="shared" ca="1" si="12"/>
        <v>1</v>
      </c>
      <c r="H56">
        <f t="shared" ca="1" si="18"/>
        <v>1</v>
      </c>
      <c r="I56">
        <f t="shared" ca="1" si="18"/>
        <v>1</v>
      </c>
      <c r="J56">
        <f t="shared" ca="1" si="18"/>
        <v>1</v>
      </c>
      <c r="K56">
        <f t="shared" ca="1" si="18"/>
        <v>1</v>
      </c>
      <c r="L56">
        <f t="shared" ca="1" si="18"/>
        <v>1</v>
      </c>
      <c r="M56">
        <f t="shared" ca="1" si="18"/>
        <v>1</v>
      </c>
      <c r="N56">
        <f t="shared" ca="1" si="18"/>
        <v>1</v>
      </c>
      <c r="O56">
        <f t="shared" ca="1" si="18"/>
        <v>1</v>
      </c>
      <c r="P56">
        <f t="shared" ca="1" si="18"/>
        <v>1</v>
      </c>
      <c r="Q56">
        <f t="shared" ca="1" si="18"/>
        <v>1</v>
      </c>
      <c r="R56">
        <f t="shared" ca="1" si="18"/>
        <v>1</v>
      </c>
      <c r="S56">
        <f t="shared" ca="1" si="18"/>
        <v>0</v>
      </c>
      <c r="T56">
        <f t="shared" ca="1" si="18"/>
        <v>0</v>
      </c>
      <c r="U56">
        <f t="shared" ca="1" si="18"/>
        <v>1</v>
      </c>
      <c r="V56">
        <f t="shared" ca="1" si="18"/>
        <v>1</v>
      </c>
      <c r="W56">
        <f t="shared" ca="1" si="17"/>
        <v>1</v>
      </c>
      <c r="X56">
        <f t="shared" ca="1" si="17"/>
        <v>1</v>
      </c>
      <c r="Y56">
        <f t="shared" ca="1" si="17"/>
        <v>1</v>
      </c>
      <c r="Z56">
        <f t="shared" ca="1" si="17"/>
        <v>1</v>
      </c>
      <c r="AA56">
        <f t="shared" ca="1" si="17"/>
        <v>0</v>
      </c>
    </row>
    <row r="57" spans="1:27" ht="18">
      <c r="A57" s="258" t="s">
        <v>264</v>
      </c>
      <c r="B57" s="258" t="str">
        <f>VLOOKUP(A57,'Data Pegawai'!B:P,2,FALSE)</f>
        <v>Aktif</v>
      </c>
      <c r="C57" s="258" t="str">
        <f>VLOOKUP(A57,'Data Pegawai'!B:P,4,FALSE)</f>
        <v>AA</v>
      </c>
      <c r="D57" s="258" t="str">
        <f>VLOOKUP(A57,'Data Pegawai'!B:P,3,FALSE)</f>
        <v>Dosen</v>
      </c>
      <c r="E57" s="265">
        <f>VLOOKUP(A57,'Data Pegawai'!B:P,13,FALSE)</f>
        <v>44470</v>
      </c>
      <c r="F57" s="265">
        <f ca="1">IF(VLOOKUP(A57,'Data Pegawai'!B:P,14,FALSE)=0,EOMONTH(TODAY(),0),VLOOKUP(A57,'Data Pegawai'!B:P,13,FALSE))</f>
        <v>46053</v>
      </c>
      <c r="G57">
        <f t="shared" ca="1" si="12"/>
        <v>1</v>
      </c>
      <c r="H57">
        <f t="shared" ca="1" si="18"/>
        <v>1</v>
      </c>
      <c r="I57">
        <f t="shared" ca="1" si="18"/>
        <v>1</v>
      </c>
      <c r="J57">
        <f t="shared" ca="1" si="18"/>
        <v>1</v>
      </c>
      <c r="K57">
        <f t="shared" ca="1" si="18"/>
        <v>1</v>
      </c>
      <c r="L57">
        <f t="shared" ca="1" si="18"/>
        <v>1</v>
      </c>
      <c r="M57">
        <f t="shared" ca="1" si="18"/>
        <v>1</v>
      </c>
      <c r="N57">
        <f t="shared" ca="1" si="18"/>
        <v>1</v>
      </c>
      <c r="O57">
        <f t="shared" ca="1" si="18"/>
        <v>1</v>
      </c>
      <c r="P57">
        <f t="shared" ca="1" si="18"/>
        <v>1</v>
      </c>
      <c r="Q57">
        <f t="shared" ca="1" si="18"/>
        <v>1</v>
      </c>
      <c r="R57">
        <f t="shared" ca="1" si="18"/>
        <v>1</v>
      </c>
      <c r="S57">
        <f t="shared" ca="1" si="18"/>
        <v>0</v>
      </c>
      <c r="T57">
        <f t="shared" ca="1" si="18"/>
        <v>0</v>
      </c>
      <c r="U57">
        <f t="shared" ca="1" si="18"/>
        <v>0</v>
      </c>
      <c r="V57">
        <f t="shared" ca="1" si="18"/>
        <v>1</v>
      </c>
      <c r="W57">
        <f t="shared" ca="1" si="17"/>
        <v>1</v>
      </c>
      <c r="X57">
        <f t="shared" ca="1" si="17"/>
        <v>1</v>
      </c>
      <c r="Y57">
        <f t="shared" ca="1" si="17"/>
        <v>1</v>
      </c>
      <c r="Z57">
        <f t="shared" ca="1" si="17"/>
        <v>1</v>
      </c>
      <c r="AA57">
        <f t="shared" ca="1" si="17"/>
        <v>0</v>
      </c>
    </row>
    <row r="58" spans="1:27" ht="18">
      <c r="A58" s="258" t="s">
        <v>268</v>
      </c>
      <c r="B58" s="258" t="str">
        <f>VLOOKUP(A58,'Data Pegawai'!B:P,2,FALSE)</f>
        <v>Aktif</v>
      </c>
      <c r="C58" s="258" t="str">
        <f>VLOOKUP(A58,'Data Pegawai'!B:P,4,FALSE)</f>
        <v>AA</v>
      </c>
      <c r="D58" s="258" t="str">
        <f>VLOOKUP(A58,'Data Pegawai'!B:P,3,FALSE)</f>
        <v>Dosen</v>
      </c>
      <c r="E58" s="265">
        <f>VLOOKUP(A58,'Data Pegawai'!B:P,13,FALSE)</f>
        <v>44562</v>
      </c>
      <c r="F58" s="265">
        <f ca="1">IF(VLOOKUP(A58,'Data Pegawai'!B:P,14,FALSE)=0,EOMONTH(TODAY(),0),VLOOKUP(A58,'Data Pegawai'!B:P,13,FALSE))</f>
        <v>46053</v>
      </c>
      <c r="G58">
        <f t="shared" ca="1" si="12"/>
        <v>1</v>
      </c>
      <c r="H58">
        <f t="shared" ca="1" si="18"/>
        <v>1</v>
      </c>
      <c r="I58">
        <f t="shared" ca="1" si="18"/>
        <v>1</v>
      </c>
      <c r="J58">
        <f t="shared" ca="1" si="18"/>
        <v>1</v>
      </c>
      <c r="K58">
        <f t="shared" ca="1" si="18"/>
        <v>1</v>
      </c>
      <c r="L58">
        <f t="shared" ca="1" si="18"/>
        <v>1</v>
      </c>
      <c r="M58">
        <f t="shared" ca="1" si="18"/>
        <v>1</v>
      </c>
      <c r="N58">
        <f t="shared" ca="1" si="18"/>
        <v>1</v>
      </c>
      <c r="O58">
        <f t="shared" ca="1" si="18"/>
        <v>1</v>
      </c>
      <c r="P58">
        <f t="shared" ca="1" si="18"/>
        <v>1</v>
      </c>
      <c r="Q58">
        <f t="shared" ca="1" si="18"/>
        <v>1</v>
      </c>
      <c r="R58">
        <f t="shared" ca="1" si="18"/>
        <v>1</v>
      </c>
      <c r="S58">
        <f t="shared" ca="1" si="18"/>
        <v>0</v>
      </c>
      <c r="T58">
        <f t="shared" ca="1" si="18"/>
        <v>0</v>
      </c>
      <c r="U58">
        <f t="shared" ca="1" si="18"/>
        <v>0</v>
      </c>
      <c r="V58">
        <f t="shared" ca="1" si="18"/>
        <v>0</v>
      </c>
      <c r="W58">
        <f t="shared" ca="1" si="17"/>
        <v>1</v>
      </c>
      <c r="X58">
        <f t="shared" ca="1" si="17"/>
        <v>1</v>
      </c>
      <c r="Y58">
        <f t="shared" ca="1" si="17"/>
        <v>1</v>
      </c>
      <c r="Z58">
        <f t="shared" ca="1" si="17"/>
        <v>1</v>
      </c>
      <c r="AA58">
        <f t="shared" ca="1" si="17"/>
        <v>0</v>
      </c>
    </row>
    <row r="59" spans="1:27" ht="18">
      <c r="A59" s="258" t="s">
        <v>273</v>
      </c>
      <c r="B59" s="258" t="str">
        <f>VLOOKUP(A59,'Data Pegawai'!B:P,2,FALSE)</f>
        <v>Aktif</v>
      </c>
      <c r="C59" s="258" t="str">
        <f>VLOOKUP(A59,'Data Pegawai'!B:P,4,FALSE)</f>
        <v>NJAD</v>
      </c>
      <c r="D59" s="258" t="str">
        <f>VLOOKUP(A59,'Data Pegawai'!B:P,3,FALSE)</f>
        <v>Dosen</v>
      </c>
      <c r="E59" s="265">
        <f>VLOOKUP(A59,'Data Pegawai'!B:P,13,FALSE)</f>
        <v>44562</v>
      </c>
      <c r="F59" s="265">
        <f ca="1">IF(VLOOKUP(A59,'Data Pegawai'!B:P,14,FALSE)=0,EOMONTH(TODAY(),0),VLOOKUP(A59,'Data Pegawai'!B:P,13,FALSE))</f>
        <v>46053</v>
      </c>
      <c r="G59">
        <f t="shared" ca="1" si="12"/>
        <v>1</v>
      </c>
      <c r="H59">
        <f t="shared" ca="1" si="18"/>
        <v>1</v>
      </c>
      <c r="I59">
        <f t="shared" ca="1" si="18"/>
        <v>1</v>
      </c>
      <c r="J59">
        <f t="shared" ca="1" si="18"/>
        <v>1</v>
      </c>
      <c r="K59">
        <f t="shared" ca="1" si="18"/>
        <v>1</v>
      </c>
      <c r="L59">
        <f t="shared" ca="1" si="18"/>
        <v>1</v>
      </c>
      <c r="M59">
        <f t="shared" ca="1" si="18"/>
        <v>1</v>
      </c>
      <c r="N59">
        <f t="shared" ca="1" si="18"/>
        <v>1</v>
      </c>
      <c r="O59">
        <f t="shared" ca="1" si="18"/>
        <v>1</v>
      </c>
      <c r="P59">
        <f t="shared" ca="1" si="18"/>
        <v>1</v>
      </c>
      <c r="Q59">
        <f t="shared" ca="1" si="18"/>
        <v>1</v>
      </c>
      <c r="R59">
        <f t="shared" ca="1" si="18"/>
        <v>1</v>
      </c>
      <c r="S59">
        <f t="shared" ca="1" si="18"/>
        <v>0</v>
      </c>
      <c r="T59">
        <f t="shared" ca="1" si="18"/>
        <v>0</v>
      </c>
      <c r="U59">
        <f t="shared" ca="1" si="18"/>
        <v>0</v>
      </c>
      <c r="V59">
        <f t="shared" ca="1" si="18"/>
        <v>0</v>
      </c>
      <c r="W59">
        <f t="shared" ca="1" si="17"/>
        <v>1</v>
      </c>
      <c r="X59">
        <f t="shared" ca="1" si="17"/>
        <v>1</v>
      </c>
      <c r="Y59">
        <f t="shared" ca="1" si="17"/>
        <v>1</v>
      </c>
      <c r="Z59">
        <f t="shared" ca="1" si="17"/>
        <v>1</v>
      </c>
      <c r="AA59">
        <f t="shared" ca="1" si="17"/>
        <v>0</v>
      </c>
    </row>
    <row r="60" spans="1:27" ht="18">
      <c r="A60" s="258" t="s">
        <v>277</v>
      </c>
      <c r="B60" s="258" t="str">
        <f>VLOOKUP(A60,'Data Pegawai'!B:P,2,FALSE)</f>
        <v>Aktif</v>
      </c>
      <c r="C60" s="258" t="str">
        <f>VLOOKUP(A60,'Data Pegawai'!B:P,4,FALSE)</f>
        <v>AA</v>
      </c>
      <c r="D60" s="258" t="str">
        <f>VLOOKUP(A60,'Data Pegawai'!B:P,3,FALSE)</f>
        <v>Dosen</v>
      </c>
      <c r="E60" s="265">
        <f>VLOOKUP(A60,'Data Pegawai'!B:P,13,FALSE)</f>
        <v>44627</v>
      </c>
      <c r="F60" s="265">
        <f ca="1">IF(VLOOKUP(A60,'Data Pegawai'!B:P,14,FALSE)=0,EOMONTH(TODAY(),0),VLOOKUP(A60,'Data Pegawai'!B:P,13,FALSE))</f>
        <v>46053</v>
      </c>
      <c r="G60">
        <f t="shared" ca="1" si="12"/>
        <v>1</v>
      </c>
      <c r="H60">
        <f t="shared" ca="1" si="18"/>
        <v>1</v>
      </c>
      <c r="I60">
        <f t="shared" ca="1" si="18"/>
        <v>1</v>
      </c>
      <c r="J60">
        <f t="shared" ca="1" si="18"/>
        <v>1</v>
      </c>
      <c r="K60">
        <f t="shared" ca="1" si="18"/>
        <v>1</v>
      </c>
      <c r="L60">
        <f t="shared" ca="1" si="18"/>
        <v>1</v>
      </c>
      <c r="M60">
        <f t="shared" ca="1" si="18"/>
        <v>1</v>
      </c>
      <c r="N60">
        <f t="shared" ca="1" si="18"/>
        <v>1</v>
      </c>
      <c r="O60">
        <f t="shared" ca="1" si="18"/>
        <v>1</v>
      </c>
      <c r="P60">
        <f t="shared" ca="1" si="18"/>
        <v>1</v>
      </c>
      <c r="Q60">
        <f t="shared" ca="1" si="18"/>
        <v>1</v>
      </c>
      <c r="R60">
        <f t="shared" ca="1" si="18"/>
        <v>1</v>
      </c>
      <c r="S60">
        <f t="shared" ca="1" si="18"/>
        <v>0</v>
      </c>
      <c r="T60">
        <f t="shared" ca="1" si="18"/>
        <v>0</v>
      </c>
      <c r="U60">
        <f t="shared" ca="1" si="18"/>
        <v>0</v>
      </c>
      <c r="V60">
        <f t="shared" ca="1" si="18"/>
        <v>0</v>
      </c>
      <c r="W60">
        <f t="shared" ca="1" si="17"/>
        <v>1</v>
      </c>
      <c r="X60">
        <f t="shared" ca="1" si="17"/>
        <v>1</v>
      </c>
      <c r="Y60">
        <f t="shared" ca="1" si="17"/>
        <v>1</v>
      </c>
      <c r="Z60">
        <f t="shared" ca="1" si="17"/>
        <v>1</v>
      </c>
      <c r="AA60">
        <f t="shared" ca="1" si="17"/>
        <v>0</v>
      </c>
    </row>
    <row r="61" spans="1:27" ht="18">
      <c r="A61" s="258" t="s">
        <v>282</v>
      </c>
      <c r="B61" s="258" t="str">
        <f>VLOOKUP(A61,'Data Pegawai'!B:P,2,FALSE)</f>
        <v>Aktif</v>
      </c>
      <c r="C61" s="258" t="str">
        <f>VLOOKUP(A61,'Data Pegawai'!B:P,4,FALSE)</f>
        <v>AA</v>
      </c>
      <c r="D61" s="258" t="str">
        <f>VLOOKUP(A61,'Data Pegawai'!B:P,3,FALSE)</f>
        <v>Dosen</v>
      </c>
      <c r="E61" s="265">
        <f>VLOOKUP(A61,'Data Pegawai'!B:P,13,FALSE)</f>
        <v>44832</v>
      </c>
      <c r="F61" s="265">
        <f ca="1">IF(VLOOKUP(A61,'Data Pegawai'!B:P,14,FALSE)=0,EOMONTH(TODAY(),0),VLOOKUP(A61,'Data Pegawai'!B:P,13,FALSE))</f>
        <v>46053</v>
      </c>
      <c r="G61">
        <f t="shared" ca="1" si="12"/>
        <v>1</v>
      </c>
      <c r="H61">
        <f t="shared" ca="1" si="18"/>
        <v>1</v>
      </c>
      <c r="I61">
        <f t="shared" ca="1" si="18"/>
        <v>1</v>
      </c>
      <c r="J61">
        <f t="shared" ca="1" si="18"/>
        <v>1</v>
      </c>
      <c r="K61">
        <f t="shared" ca="1" si="18"/>
        <v>1</v>
      </c>
      <c r="L61">
        <f t="shared" ca="1" si="18"/>
        <v>1</v>
      </c>
      <c r="M61">
        <f t="shared" ca="1" si="18"/>
        <v>1</v>
      </c>
      <c r="N61">
        <f t="shared" ca="1" si="18"/>
        <v>1</v>
      </c>
      <c r="O61">
        <f t="shared" ca="1" si="18"/>
        <v>1</v>
      </c>
      <c r="P61">
        <f t="shared" ca="1" si="18"/>
        <v>1</v>
      </c>
      <c r="Q61">
        <f t="shared" ca="1" si="18"/>
        <v>1</v>
      </c>
      <c r="R61">
        <f t="shared" ca="1" si="18"/>
        <v>1</v>
      </c>
      <c r="S61">
        <f t="shared" ca="1" si="18"/>
        <v>0</v>
      </c>
      <c r="T61">
        <f t="shared" ca="1" si="18"/>
        <v>0</v>
      </c>
      <c r="U61">
        <f t="shared" ca="1" si="18"/>
        <v>0</v>
      </c>
      <c r="V61">
        <f t="shared" ca="1" si="18"/>
        <v>0</v>
      </c>
      <c r="W61">
        <f t="shared" ca="1" si="17"/>
        <v>1</v>
      </c>
      <c r="X61">
        <f t="shared" ca="1" si="17"/>
        <v>1</v>
      </c>
      <c r="Y61">
        <f t="shared" ca="1" si="17"/>
        <v>1</v>
      </c>
      <c r="Z61">
        <f t="shared" ca="1" si="17"/>
        <v>1</v>
      </c>
      <c r="AA61">
        <f t="shared" ca="1" si="17"/>
        <v>0</v>
      </c>
    </row>
    <row r="62" spans="1:27" ht="18">
      <c r="A62" s="258" t="s">
        <v>286</v>
      </c>
      <c r="B62" s="258" t="str">
        <f>VLOOKUP(A62,'Data Pegawai'!B:P,2,FALSE)</f>
        <v>Non-Aktif</v>
      </c>
      <c r="C62" s="258" t="str">
        <f>VLOOKUP(A62,'Data Pegawai'!B:P,4,FALSE)</f>
        <v>NJAD</v>
      </c>
      <c r="D62" s="258" t="str">
        <f>VLOOKUP(A62,'Data Pegawai'!B:P,3,FALSE)</f>
        <v>Dosen</v>
      </c>
      <c r="E62" s="265">
        <f>VLOOKUP(A62,'Data Pegawai'!B:P,13,FALSE)</f>
        <v>44832</v>
      </c>
      <c r="F62" s="265">
        <f ca="1">IF(VLOOKUP(A62,'Data Pegawai'!B:P,14,FALSE)=0,EOMONTH(TODAY(),0),VLOOKUP(A62,'Data Pegawai'!B:P,13,FALSE))</f>
        <v>44832</v>
      </c>
      <c r="G62">
        <f t="shared" ca="1" si="12"/>
        <v>0</v>
      </c>
      <c r="H62">
        <f t="shared" ca="1" si="18"/>
        <v>0</v>
      </c>
      <c r="I62">
        <f t="shared" ca="1" si="18"/>
        <v>0</v>
      </c>
      <c r="J62">
        <f t="shared" ca="1" si="18"/>
        <v>0</v>
      </c>
      <c r="K62">
        <f t="shared" ca="1" si="18"/>
        <v>0</v>
      </c>
      <c r="L62">
        <f t="shared" ca="1" si="18"/>
        <v>0</v>
      </c>
      <c r="M62">
        <f t="shared" ca="1" si="18"/>
        <v>0</v>
      </c>
      <c r="N62">
        <f t="shared" ca="1" si="18"/>
        <v>0</v>
      </c>
      <c r="O62">
        <f t="shared" ca="1" si="18"/>
        <v>0</v>
      </c>
      <c r="P62">
        <f t="shared" ca="1" si="18"/>
        <v>0</v>
      </c>
      <c r="Q62">
        <f t="shared" ca="1" si="18"/>
        <v>0</v>
      </c>
      <c r="R62">
        <f t="shared" ca="1" si="18"/>
        <v>0</v>
      </c>
      <c r="S62">
        <f t="shared" ca="1" si="18"/>
        <v>0</v>
      </c>
      <c r="T62">
        <f t="shared" ca="1" si="18"/>
        <v>0</v>
      </c>
      <c r="U62">
        <f t="shared" ca="1" si="18"/>
        <v>0</v>
      </c>
      <c r="V62">
        <f t="shared" ca="1" si="18"/>
        <v>0</v>
      </c>
      <c r="W62">
        <f t="shared" ca="1" si="17"/>
        <v>0</v>
      </c>
      <c r="X62">
        <f t="shared" ca="1" si="17"/>
        <v>0</v>
      </c>
      <c r="Y62">
        <f t="shared" ca="1" si="17"/>
        <v>0</v>
      </c>
      <c r="Z62">
        <f t="shared" ca="1" si="17"/>
        <v>0</v>
      </c>
      <c r="AA62">
        <f t="shared" ca="1" si="17"/>
        <v>0</v>
      </c>
    </row>
    <row r="63" spans="1:27" ht="18">
      <c r="A63" s="258" t="s">
        <v>290</v>
      </c>
      <c r="B63" s="258" t="str">
        <f>VLOOKUP(A63,'Data Pegawai'!B:P,2,FALSE)</f>
        <v>Aktif</v>
      </c>
      <c r="C63" s="258" t="str">
        <f>VLOOKUP(A63,'Data Pegawai'!B:P,4,FALSE)</f>
        <v>AA</v>
      </c>
      <c r="D63" s="258" t="str">
        <f>VLOOKUP(A63,'Data Pegawai'!B:P,3,FALSE)</f>
        <v>Dosen</v>
      </c>
      <c r="E63" s="265">
        <f>VLOOKUP(A63,'Data Pegawai'!B:P,13,FALSE)</f>
        <v>44832</v>
      </c>
      <c r="F63" s="265">
        <f ca="1">IF(VLOOKUP(A63,'Data Pegawai'!B:P,14,FALSE)=0,EOMONTH(TODAY(),0),VLOOKUP(A63,'Data Pegawai'!B:P,13,FALSE))</f>
        <v>46053</v>
      </c>
      <c r="G63">
        <f t="shared" ca="1" si="12"/>
        <v>1</v>
      </c>
      <c r="H63">
        <f t="shared" ca="1" si="18"/>
        <v>1</v>
      </c>
      <c r="I63">
        <f t="shared" ca="1" si="18"/>
        <v>1</v>
      </c>
      <c r="J63">
        <f t="shared" ca="1" si="18"/>
        <v>1</v>
      </c>
      <c r="K63">
        <f t="shared" ca="1" si="18"/>
        <v>1</v>
      </c>
      <c r="L63">
        <f t="shared" ca="1" si="18"/>
        <v>1</v>
      </c>
      <c r="M63">
        <f t="shared" ca="1" si="18"/>
        <v>1</v>
      </c>
      <c r="N63">
        <f t="shared" ca="1" si="18"/>
        <v>1</v>
      </c>
      <c r="O63">
        <f t="shared" ca="1" si="18"/>
        <v>1</v>
      </c>
      <c r="P63">
        <f t="shared" ca="1" si="18"/>
        <v>1</v>
      </c>
      <c r="Q63">
        <f t="shared" ca="1" si="18"/>
        <v>1</v>
      </c>
      <c r="R63">
        <f t="shared" ca="1" si="18"/>
        <v>1</v>
      </c>
      <c r="S63">
        <f t="shared" ca="1" si="18"/>
        <v>0</v>
      </c>
      <c r="T63">
        <f t="shared" ca="1" si="18"/>
        <v>0</v>
      </c>
      <c r="U63">
        <f t="shared" ca="1" si="18"/>
        <v>0</v>
      </c>
      <c r="V63">
        <f t="shared" ca="1" si="18"/>
        <v>0</v>
      </c>
      <c r="W63">
        <f t="shared" ca="1" si="17"/>
        <v>1</v>
      </c>
      <c r="X63">
        <f t="shared" ca="1" si="17"/>
        <v>1</v>
      </c>
      <c r="Y63">
        <f t="shared" ca="1" si="17"/>
        <v>1</v>
      </c>
      <c r="Z63">
        <f t="shared" ca="1" si="17"/>
        <v>1</v>
      </c>
      <c r="AA63">
        <f t="shared" ca="1" si="17"/>
        <v>0</v>
      </c>
    </row>
    <row r="64" spans="1:27" ht="18">
      <c r="A64" s="258" t="s">
        <v>294</v>
      </c>
      <c r="B64" s="258" t="str">
        <f>VLOOKUP(A64,'Data Pegawai'!B:P,2,FALSE)</f>
        <v>Aktif</v>
      </c>
      <c r="C64" s="258" t="str">
        <f>VLOOKUP(A64,'Data Pegawai'!B:P,4,FALSE)</f>
        <v>AA</v>
      </c>
      <c r="D64" s="258" t="str">
        <f>VLOOKUP(A64,'Data Pegawai'!B:P,3,FALSE)</f>
        <v>Dosen</v>
      </c>
      <c r="E64" s="265">
        <f>VLOOKUP(A64,'Data Pegawai'!B:P,13,FALSE)</f>
        <v>44832</v>
      </c>
      <c r="F64" s="265">
        <f ca="1">IF(VLOOKUP(A64,'Data Pegawai'!B:P,14,FALSE)=0,EOMONTH(TODAY(),0),VLOOKUP(A64,'Data Pegawai'!B:P,13,FALSE))</f>
        <v>46053</v>
      </c>
      <c r="G64">
        <f t="shared" ca="1" si="12"/>
        <v>1</v>
      </c>
      <c r="H64">
        <f t="shared" ca="1" si="18"/>
        <v>1</v>
      </c>
      <c r="I64">
        <f t="shared" ca="1" si="18"/>
        <v>1</v>
      </c>
      <c r="J64">
        <f t="shared" ca="1" si="18"/>
        <v>1</v>
      </c>
      <c r="K64">
        <f t="shared" ca="1" si="18"/>
        <v>1</v>
      </c>
      <c r="L64">
        <f t="shared" ca="1" si="18"/>
        <v>1</v>
      </c>
      <c r="M64">
        <f t="shared" ca="1" si="18"/>
        <v>1</v>
      </c>
      <c r="N64">
        <f t="shared" ca="1" si="18"/>
        <v>1</v>
      </c>
      <c r="O64">
        <f t="shared" ca="1" si="18"/>
        <v>1</v>
      </c>
      <c r="P64">
        <f t="shared" ca="1" si="18"/>
        <v>1</v>
      </c>
      <c r="Q64">
        <f t="shared" ca="1" si="18"/>
        <v>1</v>
      </c>
      <c r="R64">
        <f t="shared" ca="1" si="18"/>
        <v>1</v>
      </c>
      <c r="S64">
        <f t="shared" ca="1" si="18"/>
        <v>0</v>
      </c>
      <c r="T64">
        <f t="shared" ca="1" si="18"/>
        <v>0</v>
      </c>
      <c r="U64">
        <f t="shared" ca="1" si="18"/>
        <v>0</v>
      </c>
      <c r="V64">
        <f t="shared" ca="1" si="18"/>
        <v>0</v>
      </c>
      <c r="W64">
        <f t="shared" ca="1" si="17"/>
        <v>1</v>
      </c>
      <c r="X64">
        <f t="shared" ca="1" si="17"/>
        <v>1</v>
      </c>
      <c r="Y64">
        <f t="shared" ca="1" si="17"/>
        <v>1</v>
      </c>
      <c r="Z64">
        <f t="shared" ca="1" si="17"/>
        <v>1</v>
      </c>
      <c r="AA64">
        <f t="shared" ca="1" si="17"/>
        <v>0</v>
      </c>
    </row>
    <row r="65" spans="1:27" ht="18">
      <c r="A65" s="258" t="s">
        <v>298</v>
      </c>
      <c r="B65" s="258" t="str">
        <f>VLOOKUP(A65,'Data Pegawai'!B:P,2,FALSE)</f>
        <v>Aktif</v>
      </c>
      <c r="C65" s="258" t="str">
        <f>VLOOKUP(A65,'Data Pegawai'!B:P,4,FALSE)</f>
        <v>AA</v>
      </c>
      <c r="D65" s="258" t="str">
        <f>VLOOKUP(A65,'Data Pegawai'!B:P,3,FALSE)</f>
        <v>Dosen</v>
      </c>
      <c r="E65" s="265">
        <f>VLOOKUP(A65,'Data Pegawai'!B:P,13,FALSE)</f>
        <v>44832</v>
      </c>
      <c r="F65" s="265">
        <f ca="1">IF(VLOOKUP(A65,'Data Pegawai'!B:P,14,FALSE)=0,EOMONTH(TODAY(),0),VLOOKUP(A65,'Data Pegawai'!B:P,13,FALSE))</f>
        <v>46053</v>
      </c>
      <c r="G65">
        <f t="shared" ca="1" si="12"/>
        <v>1</v>
      </c>
      <c r="H65">
        <f t="shared" ca="1" si="18"/>
        <v>1</v>
      </c>
      <c r="I65">
        <f t="shared" ca="1" si="18"/>
        <v>1</v>
      </c>
      <c r="J65">
        <f t="shared" ca="1" si="18"/>
        <v>1</v>
      </c>
      <c r="K65">
        <f t="shared" ca="1" si="18"/>
        <v>1</v>
      </c>
      <c r="L65">
        <f t="shared" ca="1" si="18"/>
        <v>1</v>
      </c>
      <c r="M65">
        <f t="shared" ca="1" si="18"/>
        <v>1</v>
      </c>
      <c r="N65">
        <f t="shared" ca="1" si="18"/>
        <v>1</v>
      </c>
      <c r="O65">
        <f t="shared" ca="1" si="18"/>
        <v>1</v>
      </c>
      <c r="P65">
        <f t="shared" ca="1" si="18"/>
        <v>1</v>
      </c>
      <c r="Q65">
        <f t="shared" ca="1" si="18"/>
        <v>1</v>
      </c>
      <c r="R65">
        <f t="shared" ca="1" si="18"/>
        <v>1</v>
      </c>
      <c r="S65">
        <f t="shared" ca="1" si="18"/>
        <v>0</v>
      </c>
      <c r="T65">
        <f t="shared" ca="1" si="18"/>
        <v>0</v>
      </c>
      <c r="U65">
        <f t="shared" ca="1" si="18"/>
        <v>0</v>
      </c>
      <c r="V65">
        <f t="shared" ca="1" si="18"/>
        <v>0</v>
      </c>
      <c r="W65">
        <f t="shared" ca="1" si="17"/>
        <v>1</v>
      </c>
      <c r="X65">
        <f t="shared" ca="1" si="17"/>
        <v>1</v>
      </c>
      <c r="Y65">
        <f t="shared" ca="1" si="17"/>
        <v>1</v>
      </c>
      <c r="Z65">
        <f t="shared" ca="1" si="17"/>
        <v>1</v>
      </c>
      <c r="AA65">
        <f t="shared" ca="1" si="17"/>
        <v>0</v>
      </c>
    </row>
    <row r="66" spans="1:27" ht="18">
      <c r="A66" s="258" t="s">
        <v>302</v>
      </c>
      <c r="B66" s="258" t="str">
        <f>VLOOKUP(A66,'Data Pegawai'!B:P,2,FALSE)</f>
        <v>Aktif</v>
      </c>
      <c r="C66" s="258" t="str">
        <f>VLOOKUP(A66,'Data Pegawai'!B:P,4,FALSE)</f>
        <v>AA</v>
      </c>
      <c r="D66" s="258" t="str">
        <f>VLOOKUP(A66,'Data Pegawai'!B:P,3,FALSE)</f>
        <v>Dosen</v>
      </c>
      <c r="E66" s="265">
        <f>VLOOKUP(A66,'Data Pegawai'!B:P,13,FALSE)</f>
        <v>44832</v>
      </c>
      <c r="F66" s="265">
        <f ca="1">IF(VLOOKUP(A66,'Data Pegawai'!B:P,14,FALSE)=0,EOMONTH(TODAY(),0),VLOOKUP(A66,'Data Pegawai'!B:P,13,FALSE))</f>
        <v>46053</v>
      </c>
      <c r="G66">
        <f t="shared" ca="1" si="12"/>
        <v>1</v>
      </c>
      <c r="H66">
        <f t="shared" ca="1" si="18"/>
        <v>1</v>
      </c>
      <c r="I66">
        <f t="shared" ca="1" si="18"/>
        <v>1</v>
      </c>
      <c r="J66">
        <f t="shared" ca="1" si="18"/>
        <v>1</v>
      </c>
      <c r="K66">
        <f t="shared" ca="1" si="18"/>
        <v>1</v>
      </c>
      <c r="L66">
        <f t="shared" ca="1" si="18"/>
        <v>1</v>
      </c>
      <c r="M66">
        <f t="shared" ca="1" si="18"/>
        <v>1</v>
      </c>
      <c r="N66">
        <f t="shared" ca="1" si="18"/>
        <v>1</v>
      </c>
      <c r="O66">
        <f t="shared" ca="1" si="18"/>
        <v>1</v>
      </c>
      <c r="P66">
        <f t="shared" ca="1" si="18"/>
        <v>1</v>
      </c>
      <c r="Q66">
        <f t="shared" ca="1" si="18"/>
        <v>1</v>
      </c>
      <c r="R66">
        <f t="shared" ca="1" si="18"/>
        <v>1</v>
      </c>
      <c r="S66">
        <f t="shared" ca="1" si="18"/>
        <v>0</v>
      </c>
      <c r="T66">
        <f t="shared" ca="1" si="18"/>
        <v>0</v>
      </c>
      <c r="U66">
        <f t="shared" ca="1" si="18"/>
        <v>0</v>
      </c>
      <c r="V66">
        <f t="shared" ca="1" si="18"/>
        <v>0</v>
      </c>
      <c r="W66">
        <f t="shared" ca="1" si="17"/>
        <v>1</v>
      </c>
      <c r="X66">
        <f t="shared" ca="1" si="17"/>
        <v>1</v>
      </c>
      <c r="Y66">
        <f t="shared" ca="1" si="17"/>
        <v>1</v>
      </c>
      <c r="Z66">
        <f t="shared" ca="1" si="17"/>
        <v>1</v>
      </c>
      <c r="AA66">
        <f t="shared" ca="1" si="17"/>
        <v>0</v>
      </c>
    </row>
    <row r="67" spans="1:27" ht="18">
      <c r="A67" s="258" t="s">
        <v>307</v>
      </c>
      <c r="B67" s="258" t="str">
        <f>VLOOKUP(A67,'Data Pegawai'!B:P,2,FALSE)</f>
        <v>Aktif</v>
      </c>
      <c r="C67" s="258" t="str">
        <f>VLOOKUP(A67,'Data Pegawai'!B:P,4,FALSE)</f>
        <v>AA</v>
      </c>
      <c r="D67" s="258" t="str">
        <f>VLOOKUP(A67,'Data Pegawai'!B:P,3,FALSE)</f>
        <v>Dosen</v>
      </c>
      <c r="E67" s="265">
        <f>VLOOKUP(A67,'Data Pegawai'!B:P,13,FALSE)</f>
        <v>44832</v>
      </c>
      <c r="F67" s="265">
        <f ca="1">IF(VLOOKUP(A67,'Data Pegawai'!B:P,14,FALSE)=0,EOMONTH(TODAY(),0),VLOOKUP(A67,'Data Pegawai'!B:P,13,FALSE))</f>
        <v>46053</v>
      </c>
      <c r="G67">
        <f t="shared" ca="1" si="12"/>
        <v>1</v>
      </c>
      <c r="H67">
        <f t="shared" ca="1" si="18"/>
        <v>1</v>
      </c>
      <c r="I67">
        <f t="shared" ca="1" si="18"/>
        <v>1</v>
      </c>
      <c r="J67">
        <f t="shared" ca="1" si="18"/>
        <v>1</v>
      </c>
      <c r="K67">
        <f t="shared" ca="1" si="18"/>
        <v>1</v>
      </c>
      <c r="L67">
        <f t="shared" ca="1" si="18"/>
        <v>1</v>
      </c>
      <c r="M67">
        <f t="shared" ca="1" si="18"/>
        <v>1</v>
      </c>
      <c r="N67">
        <f t="shared" ca="1" si="18"/>
        <v>1</v>
      </c>
      <c r="O67">
        <f t="shared" ca="1" si="18"/>
        <v>1</v>
      </c>
      <c r="P67">
        <f t="shared" ca="1" si="18"/>
        <v>1</v>
      </c>
      <c r="Q67">
        <f t="shared" ca="1" si="18"/>
        <v>1</v>
      </c>
      <c r="R67">
        <f t="shared" ca="1" si="18"/>
        <v>1</v>
      </c>
      <c r="S67">
        <f t="shared" ca="1" si="18"/>
        <v>0</v>
      </c>
      <c r="T67">
        <f t="shared" ca="1" si="18"/>
        <v>0</v>
      </c>
      <c r="U67">
        <f t="shared" ca="1" si="18"/>
        <v>0</v>
      </c>
      <c r="V67">
        <f t="shared" ca="1" si="18"/>
        <v>0</v>
      </c>
      <c r="W67">
        <f t="shared" ca="1" si="17"/>
        <v>1</v>
      </c>
      <c r="X67">
        <f t="shared" ca="1" si="17"/>
        <v>1</v>
      </c>
      <c r="Y67">
        <f t="shared" ca="1" si="17"/>
        <v>1</v>
      </c>
      <c r="Z67">
        <f t="shared" ca="1" si="17"/>
        <v>1</v>
      </c>
      <c r="AA67">
        <f t="shared" ca="1" si="17"/>
        <v>0</v>
      </c>
    </row>
    <row r="68" spans="1:27" ht="18">
      <c r="A68" s="258" t="s">
        <v>312</v>
      </c>
      <c r="B68" s="258" t="str">
        <f>VLOOKUP(A68,'Data Pegawai'!B:P,2,FALSE)</f>
        <v>Aktif</v>
      </c>
      <c r="C68" s="258" t="str">
        <f>VLOOKUP(A68,'Data Pegawai'!B:P,4,FALSE)</f>
        <v>AA</v>
      </c>
      <c r="D68" s="258" t="str">
        <f>VLOOKUP(A68,'Data Pegawai'!B:P,3,FALSE)</f>
        <v>Dosen</v>
      </c>
      <c r="E68" s="265">
        <f>VLOOKUP(A68,'Data Pegawai'!B:P,13,FALSE)</f>
        <v>44832</v>
      </c>
      <c r="F68" s="265">
        <f ca="1">IF(VLOOKUP(A68,'Data Pegawai'!B:P,14,FALSE)=0,EOMONTH(TODAY(),0),VLOOKUP(A68,'Data Pegawai'!B:P,13,FALSE))</f>
        <v>46053</v>
      </c>
      <c r="G68">
        <f t="shared" ca="1" si="12"/>
        <v>1</v>
      </c>
      <c r="H68">
        <f t="shared" ca="1" si="18"/>
        <v>1</v>
      </c>
      <c r="I68">
        <f t="shared" ca="1" si="18"/>
        <v>1</v>
      </c>
      <c r="J68">
        <f t="shared" ca="1" si="18"/>
        <v>1</v>
      </c>
      <c r="K68">
        <f t="shared" ca="1" si="18"/>
        <v>1</v>
      </c>
      <c r="L68">
        <f t="shared" ca="1" si="18"/>
        <v>1</v>
      </c>
      <c r="M68">
        <f t="shared" ca="1" si="18"/>
        <v>1</v>
      </c>
      <c r="N68">
        <f t="shared" ca="1" si="18"/>
        <v>1</v>
      </c>
      <c r="O68">
        <f t="shared" ca="1" si="18"/>
        <v>1</v>
      </c>
      <c r="P68">
        <f t="shared" ca="1" si="18"/>
        <v>1</v>
      </c>
      <c r="Q68">
        <f t="shared" ca="1" si="18"/>
        <v>1</v>
      </c>
      <c r="R68">
        <f t="shared" ca="1" si="18"/>
        <v>1</v>
      </c>
      <c r="S68">
        <f t="shared" ca="1" si="18"/>
        <v>0</v>
      </c>
      <c r="T68">
        <f t="shared" ca="1" si="18"/>
        <v>0</v>
      </c>
      <c r="U68">
        <f t="shared" ca="1" si="18"/>
        <v>0</v>
      </c>
      <c r="V68">
        <f t="shared" ca="1" si="18"/>
        <v>0</v>
      </c>
      <c r="W68">
        <f t="shared" ca="1" si="17"/>
        <v>1</v>
      </c>
      <c r="X68">
        <f t="shared" ca="1" si="17"/>
        <v>1</v>
      </c>
      <c r="Y68">
        <f t="shared" ca="1" si="17"/>
        <v>1</v>
      </c>
      <c r="Z68">
        <f t="shared" ca="1" si="17"/>
        <v>1</v>
      </c>
      <c r="AA68">
        <f t="shared" ca="1" si="17"/>
        <v>0</v>
      </c>
    </row>
    <row r="69" spans="1:27" ht="18">
      <c r="A69" s="258" t="s">
        <v>316</v>
      </c>
      <c r="B69" s="258" t="str">
        <f>VLOOKUP(A69,'Data Pegawai'!B:P,2,FALSE)</f>
        <v>Aktif</v>
      </c>
      <c r="C69" s="258" t="str">
        <f>VLOOKUP(A69,'Data Pegawai'!B:P,4,FALSE)</f>
        <v>AA</v>
      </c>
      <c r="D69" s="258" t="str">
        <f>VLOOKUP(A69,'Data Pegawai'!B:P,3,FALSE)</f>
        <v>Dosen</v>
      </c>
      <c r="E69" s="265">
        <f>VLOOKUP(A69,'Data Pegawai'!B:P,13,FALSE)</f>
        <v>44832</v>
      </c>
      <c r="F69" s="265">
        <f ca="1">IF(VLOOKUP(A69,'Data Pegawai'!B:P,14,FALSE)=0,EOMONTH(TODAY(),0),VLOOKUP(A69,'Data Pegawai'!B:P,13,FALSE))</f>
        <v>46053</v>
      </c>
      <c r="G69">
        <f t="shared" ca="1" si="12"/>
        <v>1</v>
      </c>
      <c r="H69">
        <f t="shared" ca="1" si="18"/>
        <v>1</v>
      </c>
      <c r="I69">
        <f t="shared" ca="1" si="18"/>
        <v>1</v>
      </c>
      <c r="J69">
        <f t="shared" ca="1" si="18"/>
        <v>1</v>
      </c>
      <c r="K69">
        <f t="shared" ca="1" si="18"/>
        <v>1</v>
      </c>
      <c r="L69">
        <f t="shared" ca="1" si="18"/>
        <v>1</v>
      </c>
      <c r="M69">
        <f t="shared" ca="1" si="18"/>
        <v>1</v>
      </c>
      <c r="N69">
        <f t="shared" ca="1" si="18"/>
        <v>1</v>
      </c>
      <c r="O69">
        <f t="shared" ca="1" si="18"/>
        <v>1</v>
      </c>
      <c r="P69">
        <f t="shared" ca="1" si="18"/>
        <v>1</v>
      </c>
      <c r="Q69">
        <f t="shared" ca="1" si="18"/>
        <v>1</v>
      </c>
      <c r="R69">
        <f t="shared" ca="1" si="18"/>
        <v>1</v>
      </c>
      <c r="S69">
        <f t="shared" ca="1" si="18"/>
        <v>0</v>
      </c>
      <c r="T69">
        <f t="shared" ca="1" si="18"/>
        <v>0</v>
      </c>
      <c r="U69">
        <f t="shared" ca="1" si="18"/>
        <v>0</v>
      </c>
      <c r="V69">
        <f t="shared" ref="V69:AA84" ca="1" si="19">IF(AND(V$3&gt;=$E69,V$3&lt;=$F69),1,0)</f>
        <v>0</v>
      </c>
      <c r="W69">
        <f t="shared" ca="1" si="19"/>
        <v>1</v>
      </c>
      <c r="X69">
        <f t="shared" ca="1" si="19"/>
        <v>1</v>
      </c>
      <c r="Y69">
        <f t="shared" ca="1" si="19"/>
        <v>1</v>
      </c>
      <c r="Z69">
        <f t="shared" ca="1" si="19"/>
        <v>1</v>
      </c>
      <c r="AA69">
        <f t="shared" ca="1" si="19"/>
        <v>0</v>
      </c>
    </row>
    <row r="70" spans="1:27" ht="18">
      <c r="A70" s="258" t="s">
        <v>321</v>
      </c>
      <c r="B70" s="258" t="str">
        <f>VLOOKUP(A70,'Data Pegawai'!B:P,2,FALSE)</f>
        <v>Aktif</v>
      </c>
      <c r="C70" s="258" t="str">
        <f>VLOOKUP(A70,'Data Pegawai'!B:P,4,FALSE)</f>
        <v>AA</v>
      </c>
      <c r="D70" s="258" t="str">
        <f>VLOOKUP(A70,'Data Pegawai'!B:P,3,FALSE)</f>
        <v>Dosen</v>
      </c>
      <c r="E70" s="265">
        <f>VLOOKUP(A70,'Data Pegawai'!B:P,13,FALSE)</f>
        <v>43101</v>
      </c>
      <c r="F70" s="265">
        <f ca="1">IF(VLOOKUP(A70,'Data Pegawai'!B:P,14,FALSE)=0,EOMONTH(TODAY(),0),VLOOKUP(A70,'Data Pegawai'!B:P,13,FALSE))</f>
        <v>46053</v>
      </c>
      <c r="G70">
        <f t="shared" ca="1" si="12"/>
        <v>1</v>
      </c>
      <c r="H70">
        <f t="shared" ref="H70:V85" ca="1" si="20">IF(AND(H$3&gt;=$E70,H$3&lt;=$F70),1,0)</f>
        <v>1</v>
      </c>
      <c r="I70">
        <f t="shared" ca="1" si="20"/>
        <v>1</v>
      </c>
      <c r="J70">
        <f t="shared" ca="1" si="20"/>
        <v>1</v>
      </c>
      <c r="K70">
        <f t="shared" ca="1" si="20"/>
        <v>1</v>
      </c>
      <c r="L70">
        <f t="shared" ca="1" si="20"/>
        <v>1</v>
      </c>
      <c r="M70">
        <f t="shared" ca="1" si="20"/>
        <v>1</v>
      </c>
      <c r="N70">
        <f t="shared" ca="1" si="20"/>
        <v>1</v>
      </c>
      <c r="O70">
        <f t="shared" ca="1" si="20"/>
        <v>1</v>
      </c>
      <c r="P70">
        <f t="shared" ca="1" si="20"/>
        <v>1</v>
      </c>
      <c r="Q70">
        <f t="shared" ca="1" si="20"/>
        <v>1</v>
      </c>
      <c r="R70">
        <f t="shared" ca="1" si="20"/>
        <v>1</v>
      </c>
      <c r="S70">
        <f t="shared" ca="1" si="20"/>
        <v>1</v>
      </c>
      <c r="T70">
        <f t="shared" ca="1" si="20"/>
        <v>1</v>
      </c>
      <c r="U70">
        <f t="shared" ca="1" si="20"/>
        <v>1</v>
      </c>
      <c r="V70">
        <f t="shared" ca="1" si="20"/>
        <v>1</v>
      </c>
      <c r="W70">
        <f t="shared" ca="1" si="19"/>
        <v>1</v>
      </c>
      <c r="X70">
        <f t="shared" ca="1" si="19"/>
        <v>1</v>
      </c>
      <c r="Y70">
        <f t="shared" ca="1" si="19"/>
        <v>1</v>
      </c>
      <c r="Z70">
        <f t="shared" ca="1" si="19"/>
        <v>1</v>
      </c>
      <c r="AA70">
        <f t="shared" ca="1" si="19"/>
        <v>0</v>
      </c>
    </row>
    <row r="71" spans="1:27" ht="18">
      <c r="A71" s="258" t="s">
        <v>325</v>
      </c>
      <c r="B71" s="258" t="str">
        <f>VLOOKUP(A71,'Data Pegawai'!B:P,2,FALSE)</f>
        <v>Aktif</v>
      </c>
      <c r="C71" s="258" t="str">
        <f>VLOOKUP(A71,'Data Pegawai'!B:P,4,FALSE)</f>
        <v>NJAD</v>
      </c>
      <c r="D71" s="258" t="str">
        <f>VLOOKUP(A71,'Data Pegawai'!B:P,3,FALSE)</f>
        <v>Dosen</v>
      </c>
      <c r="E71" s="265">
        <f>VLOOKUP(A71,'Data Pegawai'!B:P,13,FALSE)</f>
        <v>45170</v>
      </c>
      <c r="F71" s="265">
        <f ca="1">IF(VLOOKUP(A71,'Data Pegawai'!B:P,14,FALSE)=0,EOMONTH(TODAY(),0),VLOOKUP(A71,'Data Pegawai'!B:P,13,FALSE))</f>
        <v>46053</v>
      </c>
      <c r="G71">
        <f t="shared" ca="1" si="12"/>
        <v>1</v>
      </c>
      <c r="H71">
        <f t="shared" ca="1" si="20"/>
        <v>1</v>
      </c>
      <c r="I71">
        <f t="shared" ca="1" si="20"/>
        <v>1</v>
      </c>
      <c r="J71">
        <f t="shared" ca="1" si="20"/>
        <v>1</v>
      </c>
      <c r="K71">
        <f t="shared" ca="1" si="20"/>
        <v>1</v>
      </c>
      <c r="L71">
        <f t="shared" ca="1" si="20"/>
        <v>1</v>
      </c>
      <c r="M71">
        <f t="shared" ca="1" si="20"/>
        <v>1</v>
      </c>
      <c r="N71">
        <f t="shared" ca="1" si="20"/>
        <v>1</v>
      </c>
      <c r="O71">
        <f t="shared" ca="1" si="20"/>
        <v>1</v>
      </c>
      <c r="P71">
        <f t="shared" ca="1" si="20"/>
        <v>1</v>
      </c>
      <c r="Q71">
        <f t="shared" ca="1" si="20"/>
        <v>1</v>
      </c>
      <c r="R71">
        <f t="shared" ca="1" si="20"/>
        <v>1</v>
      </c>
      <c r="S71">
        <f t="shared" ca="1" si="20"/>
        <v>0</v>
      </c>
      <c r="T71">
        <f t="shared" ca="1" si="20"/>
        <v>0</v>
      </c>
      <c r="U71">
        <f t="shared" ca="1" si="20"/>
        <v>0</v>
      </c>
      <c r="V71">
        <f t="shared" ca="1" si="20"/>
        <v>0</v>
      </c>
      <c r="W71">
        <f t="shared" ca="1" si="19"/>
        <v>0</v>
      </c>
      <c r="X71">
        <f t="shared" ca="1" si="19"/>
        <v>1</v>
      </c>
      <c r="Y71">
        <f t="shared" ca="1" si="19"/>
        <v>1</v>
      </c>
      <c r="Z71">
        <f t="shared" ca="1" si="19"/>
        <v>1</v>
      </c>
      <c r="AA71">
        <f t="shared" ca="1" si="19"/>
        <v>0</v>
      </c>
    </row>
    <row r="72" spans="1:27" ht="18">
      <c r="A72" s="258" t="s">
        <v>329</v>
      </c>
      <c r="B72" s="258" t="str">
        <f>VLOOKUP(A72,'Data Pegawai'!B:P,2,FALSE)</f>
        <v>Aktif</v>
      </c>
      <c r="C72" s="258" t="str">
        <f>VLOOKUP(A72,'Data Pegawai'!B:P,4,FALSE)</f>
        <v>AA</v>
      </c>
      <c r="D72" s="258" t="str">
        <f>VLOOKUP(A72,'Data Pegawai'!B:P,3,FALSE)</f>
        <v>Dosen</v>
      </c>
      <c r="E72" s="265">
        <f>VLOOKUP(A72,'Data Pegawai'!B:P,13,FALSE)</f>
        <v>43101</v>
      </c>
      <c r="F72" s="265">
        <f ca="1">IF(VLOOKUP(A72,'Data Pegawai'!B:P,14,FALSE)=0,EOMONTH(TODAY(),0),VLOOKUP(A72,'Data Pegawai'!B:P,13,FALSE))</f>
        <v>46053</v>
      </c>
      <c r="G72">
        <f t="shared" ca="1" si="12"/>
        <v>1</v>
      </c>
      <c r="H72">
        <f t="shared" ca="1" si="20"/>
        <v>1</v>
      </c>
      <c r="I72">
        <f t="shared" ca="1" si="20"/>
        <v>1</v>
      </c>
      <c r="J72">
        <f t="shared" ca="1" si="20"/>
        <v>1</v>
      </c>
      <c r="K72">
        <f t="shared" ca="1" si="20"/>
        <v>1</v>
      </c>
      <c r="L72">
        <f t="shared" ca="1" si="20"/>
        <v>1</v>
      </c>
      <c r="M72">
        <f t="shared" ca="1" si="20"/>
        <v>1</v>
      </c>
      <c r="N72">
        <f t="shared" ca="1" si="20"/>
        <v>1</v>
      </c>
      <c r="O72">
        <f t="shared" ca="1" si="20"/>
        <v>1</v>
      </c>
      <c r="P72">
        <f t="shared" ca="1" si="20"/>
        <v>1</v>
      </c>
      <c r="Q72">
        <f t="shared" ca="1" si="20"/>
        <v>1</v>
      </c>
      <c r="R72">
        <f t="shared" ca="1" si="20"/>
        <v>1</v>
      </c>
      <c r="S72">
        <f t="shared" ca="1" si="20"/>
        <v>1</v>
      </c>
      <c r="T72">
        <f t="shared" ca="1" si="20"/>
        <v>1</v>
      </c>
      <c r="U72">
        <f t="shared" ca="1" si="20"/>
        <v>1</v>
      </c>
      <c r="V72">
        <f t="shared" ca="1" si="20"/>
        <v>1</v>
      </c>
      <c r="W72">
        <f t="shared" ca="1" si="19"/>
        <v>1</v>
      </c>
      <c r="X72">
        <f t="shared" ca="1" si="19"/>
        <v>1</v>
      </c>
      <c r="Y72">
        <f t="shared" ca="1" si="19"/>
        <v>1</v>
      </c>
      <c r="Z72">
        <f t="shared" ca="1" si="19"/>
        <v>1</v>
      </c>
      <c r="AA72">
        <f t="shared" ca="1" si="19"/>
        <v>0</v>
      </c>
    </row>
    <row r="73" spans="1:27" ht="18">
      <c r="A73" s="258" t="s">
        <v>334</v>
      </c>
      <c r="B73" s="258" t="str">
        <f>VLOOKUP(A73,'Data Pegawai'!B:P,2,FALSE)</f>
        <v>Aktif</v>
      </c>
      <c r="C73" s="258" t="str">
        <f>VLOOKUP(A73,'Data Pegawai'!B:P,4,FALSE)</f>
        <v>L</v>
      </c>
      <c r="D73" s="258" t="str">
        <f>VLOOKUP(A73,'Data Pegawai'!B:P,3,FALSE)</f>
        <v>Dosen</v>
      </c>
      <c r="E73" s="265">
        <f>VLOOKUP(A73,'Data Pegawai'!B:P,13,FALSE)</f>
        <v>43101</v>
      </c>
      <c r="F73" s="265">
        <f ca="1">IF(VLOOKUP(A73,'Data Pegawai'!B:P,14,FALSE)=0,EOMONTH(TODAY(),0),VLOOKUP(A73,'Data Pegawai'!B:P,13,FALSE))</f>
        <v>46053</v>
      </c>
      <c r="G73">
        <f t="shared" ca="1" si="12"/>
        <v>1</v>
      </c>
      <c r="H73">
        <f t="shared" ca="1" si="20"/>
        <v>1</v>
      </c>
      <c r="I73">
        <f t="shared" ca="1" si="20"/>
        <v>1</v>
      </c>
      <c r="J73">
        <f t="shared" ca="1" si="20"/>
        <v>1</v>
      </c>
      <c r="K73">
        <f t="shared" ca="1" si="20"/>
        <v>1</v>
      </c>
      <c r="L73">
        <f t="shared" ca="1" si="20"/>
        <v>1</v>
      </c>
      <c r="M73">
        <f t="shared" ca="1" si="20"/>
        <v>1</v>
      </c>
      <c r="N73">
        <f t="shared" ca="1" si="20"/>
        <v>1</v>
      </c>
      <c r="O73">
        <f t="shared" ca="1" si="20"/>
        <v>1</v>
      </c>
      <c r="P73">
        <f t="shared" ca="1" si="20"/>
        <v>1</v>
      </c>
      <c r="Q73">
        <f t="shared" ca="1" si="20"/>
        <v>1</v>
      </c>
      <c r="R73">
        <f t="shared" ca="1" si="20"/>
        <v>1</v>
      </c>
      <c r="S73">
        <f t="shared" ca="1" si="20"/>
        <v>1</v>
      </c>
      <c r="T73">
        <f t="shared" ca="1" si="20"/>
        <v>1</v>
      </c>
      <c r="U73">
        <f t="shared" ca="1" si="20"/>
        <v>1</v>
      </c>
      <c r="V73">
        <f t="shared" ca="1" si="20"/>
        <v>1</v>
      </c>
      <c r="W73">
        <f t="shared" ca="1" si="19"/>
        <v>1</v>
      </c>
      <c r="X73">
        <f t="shared" ca="1" si="19"/>
        <v>1</v>
      </c>
      <c r="Y73">
        <f t="shared" ca="1" si="19"/>
        <v>1</v>
      </c>
      <c r="Z73">
        <f t="shared" ca="1" si="19"/>
        <v>1</v>
      </c>
      <c r="AA73">
        <f t="shared" ca="1" si="19"/>
        <v>0</v>
      </c>
    </row>
    <row r="74" spans="1:27" ht="18">
      <c r="A74" s="258" t="s">
        <v>339</v>
      </c>
      <c r="B74" s="258" t="str">
        <f>VLOOKUP(A74,'Data Pegawai'!B:P,2,FALSE)</f>
        <v>Aktif</v>
      </c>
      <c r="C74" s="258" t="str">
        <f>VLOOKUP(A74,'Data Pegawai'!B:P,4,FALSE)</f>
        <v>AA</v>
      </c>
      <c r="D74" s="258" t="str">
        <f>VLOOKUP(A74,'Data Pegawai'!B:P,3,FALSE)</f>
        <v>Dosen</v>
      </c>
      <c r="E74" s="265">
        <f>VLOOKUP(A74,'Data Pegawai'!B:P,13,FALSE)</f>
        <v>43101</v>
      </c>
      <c r="F74" s="265">
        <f ca="1">IF(VLOOKUP(A74,'Data Pegawai'!B:P,14,FALSE)=0,EOMONTH(TODAY(),0),VLOOKUP(A74,'Data Pegawai'!B:P,13,FALSE))</f>
        <v>46053</v>
      </c>
      <c r="G74">
        <f t="shared" ca="1" si="12"/>
        <v>1</v>
      </c>
      <c r="H74">
        <f t="shared" ca="1" si="20"/>
        <v>1</v>
      </c>
      <c r="I74">
        <f t="shared" ca="1" si="20"/>
        <v>1</v>
      </c>
      <c r="J74">
        <f t="shared" ca="1" si="20"/>
        <v>1</v>
      </c>
      <c r="K74">
        <f t="shared" ca="1" si="20"/>
        <v>1</v>
      </c>
      <c r="L74">
        <f t="shared" ca="1" si="20"/>
        <v>1</v>
      </c>
      <c r="M74">
        <f t="shared" ca="1" si="20"/>
        <v>1</v>
      </c>
      <c r="N74">
        <f t="shared" ca="1" si="20"/>
        <v>1</v>
      </c>
      <c r="O74">
        <f t="shared" ca="1" si="20"/>
        <v>1</v>
      </c>
      <c r="P74">
        <f t="shared" ca="1" si="20"/>
        <v>1</v>
      </c>
      <c r="Q74">
        <f t="shared" ca="1" si="20"/>
        <v>1</v>
      </c>
      <c r="R74">
        <f t="shared" ca="1" si="20"/>
        <v>1</v>
      </c>
      <c r="S74">
        <f t="shared" ca="1" si="20"/>
        <v>1</v>
      </c>
      <c r="T74">
        <f t="shared" ca="1" si="20"/>
        <v>1</v>
      </c>
      <c r="U74">
        <f t="shared" ca="1" si="20"/>
        <v>1</v>
      </c>
      <c r="V74">
        <f t="shared" ca="1" si="20"/>
        <v>1</v>
      </c>
      <c r="W74">
        <f t="shared" ca="1" si="19"/>
        <v>1</v>
      </c>
      <c r="X74">
        <f t="shared" ca="1" si="19"/>
        <v>1</v>
      </c>
      <c r="Y74">
        <f t="shared" ca="1" si="19"/>
        <v>1</v>
      </c>
      <c r="Z74">
        <f t="shared" ca="1" si="19"/>
        <v>1</v>
      </c>
      <c r="AA74">
        <f t="shared" ca="1" si="19"/>
        <v>0</v>
      </c>
    </row>
    <row r="75" spans="1:27" ht="18">
      <c r="A75" s="258" t="s">
        <v>343</v>
      </c>
      <c r="B75" s="258" t="str">
        <f>VLOOKUP(A75,'Data Pegawai'!B:P,2,FALSE)</f>
        <v>Aktif</v>
      </c>
      <c r="C75" s="258" t="str">
        <f>VLOOKUP(A75,'Data Pegawai'!B:P,4,FALSE)</f>
        <v>L</v>
      </c>
      <c r="D75" s="258" t="str">
        <f>VLOOKUP(A75,'Data Pegawai'!B:P,3,FALSE)</f>
        <v>Dosen</v>
      </c>
      <c r="E75" s="265">
        <f>VLOOKUP(A75,'Data Pegawai'!B:P,13,FALSE)</f>
        <v>43101</v>
      </c>
      <c r="F75" s="265">
        <f ca="1">IF(VLOOKUP(A75,'Data Pegawai'!B:P,14,FALSE)=0,EOMONTH(TODAY(),0),VLOOKUP(A75,'Data Pegawai'!B:P,13,FALSE))</f>
        <v>46053</v>
      </c>
      <c r="G75">
        <f t="shared" ca="1" si="12"/>
        <v>1</v>
      </c>
      <c r="H75">
        <f t="shared" ca="1" si="20"/>
        <v>1</v>
      </c>
      <c r="I75">
        <f t="shared" ca="1" si="20"/>
        <v>1</v>
      </c>
      <c r="J75">
        <f t="shared" ca="1" si="20"/>
        <v>1</v>
      </c>
      <c r="K75">
        <f t="shared" ca="1" si="20"/>
        <v>1</v>
      </c>
      <c r="L75">
        <f t="shared" ca="1" si="20"/>
        <v>1</v>
      </c>
      <c r="M75">
        <f t="shared" ca="1" si="20"/>
        <v>1</v>
      </c>
      <c r="N75">
        <f t="shared" ca="1" si="20"/>
        <v>1</v>
      </c>
      <c r="O75">
        <f t="shared" ca="1" si="20"/>
        <v>1</v>
      </c>
      <c r="P75">
        <f t="shared" ca="1" si="20"/>
        <v>1</v>
      </c>
      <c r="Q75">
        <f t="shared" ca="1" si="20"/>
        <v>1</v>
      </c>
      <c r="R75">
        <f t="shared" ca="1" si="20"/>
        <v>1</v>
      </c>
      <c r="S75">
        <f t="shared" ca="1" si="20"/>
        <v>1</v>
      </c>
      <c r="T75">
        <f t="shared" ca="1" si="20"/>
        <v>1</v>
      </c>
      <c r="U75">
        <f t="shared" ca="1" si="20"/>
        <v>1</v>
      </c>
      <c r="V75">
        <f t="shared" ca="1" si="20"/>
        <v>1</v>
      </c>
      <c r="W75">
        <f t="shared" ca="1" si="19"/>
        <v>1</v>
      </c>
      <c r="X75">
        <f t="shared" ca="1" si="19"/>
        <v>1</v>
      </c>
      <c r="Y75">
        <f t="shared" ca="1" si="19"/>
        <v>1</v>
      </c>
      <c r="Z75">
        <f t="shared" ca="1" si="19"/>
        <v>1</v>
      </c>
      <c r="AA75">
        <f t="shared" ca="1" si="19"/>
        <v>0</v>
      </c>
    </row>
    <row r="76" spans="1:27" ht="18">
      <c r="A76" s="258" t="s">
        <v>347</v>
      </c>
      <c r="B76" s="258" t="str">
        <f>VLOOKUP(A76,'Data Pegawai'!B:P,2,FALSE)</f>
        <v>Aktif</v>
      </c>
      <c r="C76" s="258" t="str">
        <f>VLOOKUP(A76,'Data Pegawai'!B:P,4,FALSE)</f>
        <v>L</v>
      </c>
      <c r="D76" s="258" t="str">
        <f>VLOOKUP(A76,'Data Pegawai'!B:P,3,FALSE)</f>
        <v>Dosen</v>
      </c>
      <c r="E76" s="265">
        <f>VLOOKUP(A76,'Data Pegawai'!B:P,13,FALSE)</f>
        <v>43101</v>
      </c>
      <c r="F76" s="265">
        <f ca="1">IF(VLOOKUP(A76,'Data Pegawai'!B:P,14,FALSE)=0,EOMONTH(TODAY(),0),VLOOKUP(A76,'Data Pegawai'!B:P,13,FALSE))</f>
        <v>46053</v>
      </c>
      <c r="G76">
        <f t="shared" ca="1" si="12"/>
        <v>1</v>
      </c>
      <c r="H76">
        <f t="shared" ca="1" si="20"/>
        <v>1</v>
      </c>
      <c r="I76">
        <f t="shared" ca="1" si="20"/>
        <v>1</v>
      </c>
      <c r="J76">
        <f t="shared" ca="1" si="20"/>
        <v>1</v>
      </c>
      <c r="K76">
        <f t="shared" ca="1" si="20"/>
        <v>1</v>
      </c>
      <c r="L76">
        <f t="shared" ca="1" si="20"/>
        <v>1</v>
      </c>
      <c r="M76">
        <f t="shared" ca="1" si="20"/>
        <v>1</v>
      </c>
      <c r="N76">
        <f t="shared" ca="1" si="20"/>
        <v>1</v>
      </c>
      <c r="O76">
        <f t="shared" ca="1" si="20"/>
        <v>1</v>
      </c>
      <c r="P76">
        <f t="shared" ca="1" si="20"/>
        <v>1</v>
      </c>
      <c r="Q76">
        <f t="shared" ca="1" si="20"/>
        <v>1</v>
      </c>
      <c r="R76">
        <f t="shared" ca="1" si="20"/>
        <v>1</v>
      </c>
      <c r="S76">
        <f t="shared" ca="1" si="20"/>
        <v>1</v>
      </c>
      <c r="T76">
        <f t="shared" ca="1" si="20"/>
        <v>1</v>
      </c>
      <c r="U76">
        <f t="shared" ca="1" si="20"/>
        <v>1</v>
      </c>
      <c r="V76">
        <f t="shared" ca="1" si="20"/>
        <v>1</v>
      </c>
      <c r="W76">
        <f t="shared" ca="1" si="19"/>
        <v>1</v>
      </c>
      <c r="X76">
        <f t="shared" ca="1" si="19"/>
        <v>1</v>
      </c>
      <c r="Y76">
        <f t="shared" ca="1" si="19"/>
        <v>1</v>
      </c>
      <c r="Z76">
        <f t="shared" ca="1" si="19"/>
        <v>1</v>
      </c>
      <c r="AA76">
        <f t="shared" ca="1" si="19"/>
        <v>0</v>
      </c>
    </row>
    <row r="77" spans="1:27" ht="18">
      <c r="A77" s="258" t="s">
        <v>352</v>
      </c>
      <c r="B77" s="258" t="str">
        <f>VLOOKUP(A77,'Data Pegawai'!B:P,2,FALSE)</f>
        <v>Aktif</v>
      </c>
      <c r="C77" s="258" t="str">
        <f>VLOOKUP(A77,'Data Pegawai'!B:P,4,FALSE)</f>
        <v>AA</v>
      </c>
      <c r="D77" s="258" t="str">
        <f>VLOOKUP(A77,'Data Pegawai'!B:P,3,FALSE)</f>
        <v>Dosen</v>
      </c>
      <c r="E77" s="265">
        <f>VLOOKUP(A77,'Data Pegawai'!B:P,13,FALSE)</f>
        <v>43101</v>
      </c>
      <c r="F77" s="265">
        <f ca="1">IF(VLOOKUP(A77,'Data Pegawai'!B:P,14,FALSE)=0,EOMONTH(TODAY(),0),VLOOKUP(A77,'Data Pegawai'!B:P,13,FALSE))</f>
        <v>46053</v>
      </c>
      <c r="G77">
        <f t="shared" ca="1" si="12"/>
        <v>1</v>
      </c>
      <c r="H77">
        <f t="shared" ca="1" si="20"/>
        <v>1</v>
      </c>
      <c r="I77">
        <f t="shared" ca="1" si="20"/>
        <v>1</v>
      </c>
      <c r="J77">
        <f t="shared" ca="1" si="20"/>
        <v>1</v>
      </c>
      <c r="K77">
        <f t="shared" ca="1" si="20"/>
        <v>1</v>
      </c>
      <c r="L77">
        <f t="shared" ca="1" si="20"/>
        <v>1</v>
      </c>
      <c r="M77">
        <f t="shared" ca="1" si="20"/>
        <v>1</v>
      </c>
      <c r="N77">
        <f t="shared" ca="1" si="20"/>
        <v>1</v>
      </c>
      <c r="O77">
        <f t="shared" ca="1" si="20"/>
        <v>1</v>
      </c>
      <c r="P77">
        <f t="shared" ca="1" si="20"/>
        <v>1</v>
      </c>
      <c r="Q77">
        <f t="shared" ca="1" si="20"/>
        <v>1</v>
      </c>
      <c r="R77">
        <f t="shared" ca="1" si="20"/>
        <v>1</v>
      </c>
      <c r="S77">
        <f t="shared" ca="1" si="20"/>
        <v>1</v>
      </c>
      <c r="T77">
        <f t="shared" ca="1" si="20"/>
        <v>1</v>
      </c>
      <c r="U77">
        <f t="shared" ca="1" si="20"/>
        <v>1</v>
      </c>
      <c r="V77">
        <f t="shared" ca="1" si="20"/>
        <v>1</v>
      </c>
      <c r="W77">
        <f t="shared" ca="1" si="19"/>
        <v>1</v>
      </c>
      <c r="X77">
        <f t="shared" ca="1" si="19"/>
        <v>1</v>
      </c>
      <c r="Y77">
        <f t="shared" ca="1" si="19"/>
        <v>1</v>
      </c>
      <c r="Z77">
        <f t="shared" ca="1" si="19"/>
        <v>1</v>
      </c>
      <c r="AA77">
        <f t="shared" ca="1" si="19"/>
        <v>0</v>
      </c>
    </row>
    <row r="78" spans="1:27" ht="18">
      <c r="A78" s="258" t="s">
        <v>357</v>
      </c>
      <c r="B78" s="258" t="str">
        <f>VLOOKUP(A78,'Data Pegawai'!B:P,2,FALSE)</f>
        <v>Aktif</v>
      </c>
      <c r="C78" s="258" t="str">
        <f>VLOOKUP(A78,'Data Pegawai'!B:P,4,FALSE)</f>
        <v>NJAD</v>
      </c>
      <c r="D78" s="258" t="str">
        <f>VLOOKUP(A78,'Data Pegawai'!B:P,3,FALSE)</f>
        <v>Dosen</v>
      </c>
      <c r="E78" s="265">
        <f>VLOOKUP(A78,'Data Pegawai'!B:P,13,FALSE)</f>
        <v>44832</v>
      </c>
      <c r="F78" s="265">
        <f ca="1">IF(VLOOKUP(A78,'Data Pegawai'!B:P,14,FALSE)=0,EOMONTH(TODAY(),0),VLOOKUP(A78,'Data Pegawai'!B:P,13,FALSE))</f>
        <v>46053</v>
      </c>
      <c r="G78">
        <f t="shared" ca="1" si="12"/>
        <v>1</v>
      </c>
      <c r="H78">
        <f t="shared" ca="1" si="20"/>
        <v>1</v>
      </c>
      <c r="I78">
        <f t="shared" ca="1" si="20"/>
        <v>1</v>
      </c>
      <c r="J78">
        <f t="shared" ca="1" si="20"/>
        <v>1</v>
      </c>
      <c r="K78">
        <f t="shared" ca="1" si="20"/>
        <v>1</v>
      </c>
      <c r="L78">
        <f t="shared" ca="1" si="20"/>
        <v>1</v>
      </c>
      <c r="M78">
        <f t="shared" ca="1" si="20"/>
        <v>1</v>
      </c>
      <c r="N78">
        <f t="shared" ca="1" si="20"/>
        <v>1</v>
      </c>
      <c r="O78">
        <f t="shared" ca="1" si="20"/>
        <v>1</v>
      </c>
      <c r="P78">
        <f t="shared" ca="1" si="20"/>
        <v>1</v>
      </c>
      <c r="Q78">
        <f t="shared" ca="1" si="20"/>
        <v>1</v>
      </c>
      <c r="R78">
        <f t="shared" ca="1" si="20"/>
        <v>1</v>
      </c>
      <c r="S78">
        <f t="shared" ca="1" si="20"/>
        <v>0</v>
      </c>
      <c r="T78">
        <f t="shared" ca="1" si="20"/>
        <v>0</v>
      </c>
      <c r="U78">
        <f t="shared" ca="1" si="20"/>
        <v>0</v>
      </c>
      <c r="V78">
        <f t="shared" ca="1" si="20"/>
        <v>0</v>
      </c>
      <c r="W78">
        <f t="shared" ca="1" si="19"/>
        <v>1</v>
      </c>
      <c r="X78">
        <f t="shared" ca="1" si="19"/>
        <v>1</v>
      </c>
      <c r="Y78">
        <f t="shared" ca="1" si="19"/>
        <v>1</v>
      </c>
      <c r="Z78">
        <f t="shared" ca="1" si="19"/>
        <v>1</v>
      </c>
      <c r="AA78">
        <f t="shared" ca="1" si="19"/>
        <v>0</v>
      </c>
    </row>
    <row r="79" spans="1:27" ht="18">
      <c r="A79" s="258" t="s">
        <v>361</v>
      </c>
      <c r="B79" s="258" t="str">
        <f>VLOOKUP(A79,'Data Pegawai'!B:P,2,FALSE)</f>
        <v>Aktif</v>
      </c>
      <c r="C79" s="258" t="str">
        <f>VLOOKUP(A79,'Data Pegawai'!B:P,4,FALSE)</f>
        <v>L</v>
      </c>
      <c r="D79" s="258" t="str">
        <f>VLOOKUP(A79,'Data Pegawai'!B:P,3,FALSE)</f>
        <v>Dosen</v>
      </c>
      <c r="E79" s="265">
        <f>VLOOKUP(A79,'Data Pegawai'!B:P,13,FALSE)</f>
        <v>43885</v>
      </c>
      <c r="F79" s="265">
        <f ca="1">IF(VLOOKUP(A79,'Data Pegawai'!B:P,14,FALSE)=0,EOMONTH(TODAY(),0),VLOOKUP(A79,'Data Pegawai'!B:P,13,FALSE))</f>
        <v>46053</v>
      </c>
      <c r="G79">
        <f t="shared" ca="1" si="12"/>
        <v>1</v>
      </c>
      <c r="H79">
        <f t="shared" ca="1" si="20"/>
        <v>1</v>
      </c>
      <c r="I79">
        <f t="shared" ca="1" si="20"/>
        <v>1</v>
      </c>
      <c r="J79">
        <f t="shared" ca="1" si="20"/>
        <v>1</v>
      </c>
      <c r="K79">
        <f t="shared" ca="1" si="20"/>
        <v>1</v>
      </c>
      <c r="L79">
        <f t="shared" ca="1" si="20"/>
        <v>1</v>
      </c>
      <c r="M79">
        <f t="shared" ca="1" si="20"/>
        <v>1</v>
      </c>
      <c r="N79">
        <f t="shared" ca="1" si="20"/>
        <v>1</v>
      </c>
      <c r="O79">
        <f t="shared" ca="1" si="20"/>
        <v>1</v>
      </c>
      <c r="P79">
        <f t="shared" ca="1" si="20"/>
        <v>1</v>
      </c>
      <c r="Q79">
        <f t="shared" ca="1" si="20"/>
        <v>1</v>
      </c>
      <c r="R79">
        <f t="shared" ca="1" si="20"/>
        <v>1</v>
      </c>
      <c r="S79">
        <f t="shared" ca="1" si="20"/>
        <v>0</v>
      </c>
      <c r="T79">
        <f t="shared" ca="1" si="20"/>
        <v>0</v>
      </c>
      <c r="U79">
        <f t="shared" ca="1" si="20"/>
        <v>1</v>
      </c>
      <c r="V79">
        <f t="shared" ca="1" si="20"/>
        <v>1</v>
      </c>
      <c r="W79">
        <f t="shared" ca="1" si="19"/>
        <v>1</v>
      </c>
      <c r="X79">
        <f t="shared" ca="1" si="19"/>
        <v>1</v>
      </c>
      <c r="Y79">
        <f t="shared" ca="1" si="19"/>
        <v>1</v>
      </c>
      <c r="Z79">
        <f t="shared" ca="1" si="19"/>
        <v>1</v>
      </c>
      <c r="AA79">
        <f t="shared" ca="1" si="19"/>
        <v>0</v>
      </c>
    </row>
    <row r="80" spans="1:27" ht="18">
      <c r="A80" s="258" t="s">
        <v>366</v>
      </c>
      <c r="B80" s="258" t="str">
        <f>VLOOKUP(A80,'Data Pegawai'!B:P,2,FALSE)</f>
        <v>Non-Aktif</v>
      </c>
      <c r="C80" s="258" t="str">
        <f>VLOOKUP(A80,'Data Pegawai'!B:P,4,FALSE)</f>
        <v>GB</v>
      </c>
      <c r="D80" s="258" t="str">
        <f>VLOOKUP(A80,'Data Pegawai'!B:P,3,FALSE)</f>
        <v>Dosen</v>
      </c>
      <c r="E80" s="265">
        <f>VLOOKUP(A80,'Data Pegawai'!B:P,13,FALSE)</f>
        <v>43770</v>
      </c>
      <c r="F80" s="265">
        <f ca="1">IF(VLOOKUP(A80,'Data Pegawai'!B:P,14,FALSE)=0,EOMONTH(TODAY(),0),VLOOKUP(A80,'Data Pegawai'!B:P,13,FALSE))</f>
        <v>43770</v>
      </c>
      <c r="G80">
        <f t="shared" ca="1" si="12"/>
        <v>0</v>
      </c>
      <c r="H80">
        <f t="shared" ca="1" si="20"/>
        <v>0</v>
      </c>
      <c r="I80">
        <f t="shared" ca="1" si="20"/>
        <v>0</v>
      </c>
      <c r="J80">
        <f t="shared" ca="1" si="20"/>
        <v>0</v>
      </c>
      <c r="K80">
        <f t="shared" ca="1" si="20"/>
        <v>0</v>
      </c>
      <c r="L80">
        <f t="shared" ca="1" si="20"/>
        <v>0</v>
      </c>
      <c r="M80">
        <f t="shared" ca="1" si="20"/>
        <v>0</v>
      </c>
      <c r="N80">
        <f t="shared" ca="1" si="20"/>
        <v>0</v>
      </c>
      <c r="O80">
        <f t="shared" ca="1" si="20"/>
        <v>0</v>
      </c>
      <c r="P80">
        <f t="shared" ca="1" si="20"/>
        <v>0</v>
      </c>
      <c r="Q80">
        <f t="shared" ca="1" si="20"/>
        <v>0</v>
      </c>
      <c r="R80">
        <f t="shared" ca="1" si="20"/>
        <v>0</v>
      </c>
      <c r="S80">
        <f t="shared" ca="1" si="20"/>
        <v>0</v>
      </c>
      <c r="T80">
        <f t="shared" ca="1" si="20"/>
        <v>0</v>
      </c>
      <c r="U80">
        <f t="shared" ca="1" si="20"/>
        <v>0</v>
      </c>
      <c r="V80">
        <f t="shared" ca="1" si="20"/>
        <v>0</v>
      </c>
      <c r="W80">
        <f t="shared" ca="1" si="19"/>
        <v>0</v>
      </c>
      <c r="X80">
        <f t="shared" ca="1" si="19"/>
        <v>0</v>
      </c>
      <c r="Y80">
        <f t="shared" ca="1" si="19"/>
        <v>0</v>
      </c>
      <c r="Z80">
        <f t="shared" ca="1" si="19"/>
        <v>0</v>
      </c>
      <c r="AA80">
        <f t="shared" ca="1" si="19"/>
        <v>0</v>
      </c>
    </row>
    <row r="81" spans="1:27" ht="18">
      <c r="A81" s="258" t="s">
        <v>369</v>
      </c>
      <c r="B81" s="258" t="str">
        <f>VLOOKUP(A81,'Data Pegawai'!B:P,2,FALSE)</f>
        <v>Aktif</v>
      </c>
      <c r="C81" s="258" t="str">
        <f>VLOOKUP(A81,'Data Pegawai'!B:P,4,FALSE)</f>
        <v>L</v>
      </c>
      <c r="D81" s="258" t="str">
        <f>VLOOKUP(A81,'Data Pegawai'!B:P,3,FALSE)</f>
        <v>Dosen</v>
      </c>
      <c r="E81" s="265">
        <f>VLOOKUP(A81,'Data Pegawai'!B:P,13,FALSE)</f>
        <v>44013</v>
      </c>
      <c r="F81" s="265">
        <f ca="1">IF(VLOOKUP(A81,'Data Pegawai'!B:P,14,FALSE)=0,EOMONTH(TODAY(),0),VLOOKUP(A81,'Data Pegawai'!B:P,13,FALSE))</f>
        <v>46053</v>
      </c>
      <c r="G81">
        <f t="shared" ca="1" si="12"/>
        <v>1</v>
      </c>
      <c r="H81">
        <f t="shared" ca="1" si="20"/>
        <v>1</v>
      </c>
      <c r="I81">
        <f t="shared" ca="1" si="20"/>
        <v>1</v>
      </c>
      <c r="J81">
        <f t="shared" ca="1" si="20"/>
        <v>1</v>
      </c>
      <c r="K81">
        <f t="shared" ca="1" si="20"/>
        <v>1</v>
      </c>
      <c r="L81">
        <f t="shared" ca="1" si="20"/>
        <v>1</v>
      </c>
      <c r="M81">
        <f t="shared" ca="1" si="20"/>
        <v>1</v>
      </c>
      <c r="N81">
        <f t="shared" ca="1" si="20"/>
        <v>1</v>
      </c>
      <c r="O81">
        <f t="shared" ca="1" si="20"/>
        <v>1</v>
      </c>
      <c r="P81">
        <f t="shared" ca="1" si="20"/>
        <v>1</v>
      </c>
      <c r="Q81">
        <f t="shared" ca="1" si="20"/>
        <v>1</v>
      </c>
      <c r="R81">
        <f t="shared" ca="1" si="20"/>
        <v>1</v>
      </c>
      <c r="S81">
        <f t="shared" ca="1" si="20"/>
        <v>0</v>
      </c>
      <c r="T81">
        <f t="shared" ca="1" si="20"/>
        <v>0</v>
      </c>
      <c r="U81">
        <f t="shared" ca="1" si="20"/>
        <v>1</v>
      </c>
      <c r="V81">
        <f t="shared" ca="1" si="20"/>
        <v>1</v>
      </c>
      <c r="W81">
        <f t="shared" ca="1" si="19"/>
        <v>1</v>
      </c>
      <c r="X81">
        <f t="shared" ca="1" si="19"/>
        <v>1</v>
      </c>
      <c r="Y81">
        <f t="shared" ca="1" si="19"/>
        <v>1</v>
      </c>
      <c r="Z81">
        <f t="shared" ca="1" si="19"/>
        <v>1</v>
      </c>
      <c r="AA81">
        <f t="shared" ca="1" si="19"/>
        <v>0</v>
      </c>
    </row>
    <row r="82" spans="1:27" ht="18">
      <c r="A82" s="258" t="s">
        <v>374</v>
      </c>
      <c r="B82" s="258" t="str">
        <f>VLOOKUP(A82,'Data Pegawai'!B:P,2,FALSE)</f>
        <v>Aktif</v>
      </c>
      <c r="C82" s="258" t="str">
        <f>VLOOKUP(A82,'Data Pegawai'!B:P,4,FALSE)</f>
        <v>L</v>
      </c>
      <c r="D82" s="258" t="str">
        <f>VLOOKUP(A82,'Data Pegawai'!B:P,3,FALSE)</f>
        <v>Dosen</v>
      </c>
      <c r="E82" s="265">
        <f>VLOOKUP(A82,'Data Pegawai'!B:P,13,FALSE)</f>
        <v>43282</v>
      </c>
      <c r="F82" s="265">
        <f ca="1">IF(VLOOKUP(A82,'Data Pegawai'!B:P,14,FALSE)=0,EOMONTH(TODAY(),0),VLOOKUP(A82,'Data Pegawai'!B:P,13,FALSE))</f>
        <v>46053</v>
      </c>
      <c r="G82">
        <f t="shared" ca="1" si="12"/>
        <v>1</v>
      </c>
      <c r="H82">
        <f t="shared" ca="1" si="20"/>
        <v>1</v>
      </c>
      <c r="I82">
        <f t="shared" ca="1" si="20"/>
        <v>1</v>
      </c>
      <c r="J82">
        <f t="shared" ca="1" si="20"/>
        <v>1</v>
      </c>
      <c r="K82">
        <f t="shared" ca="1" si="20"/>
        <v>1</v>
      </c>
      <c r="L82">
        <f t="shared" ca="1" si="20"/>
        <v>1</v>
      </c>
      <c r="M82">
        <f t="shared" ca="1" si="20"/>
        <v>1</v>
      </c>
      <c r="N82">
        <f t="shared" ca="1" si="20"/>
        <v>1</v>
      </c>
      <c r="O82">
        <f t="shared" ca="1" si="20"/>
        <v>1</v>
      </c>
      <c r="P82">
        <f t="shared" ca="1" si="20"/>
        <v>1</v>
      </c>
      <c r="Q82">
        <f t="shared" ca="1" si="20"/>
        <v>1</v>
      </c>
      <c r="R82">
        <f t="shared" ca="1" si="20"/>
        <v>1</v>
      </c>
      <c r="S82">
        <f t="shared" ca="1" si="20"/>
        <v>1</v>
      </c>
      <c r="T82">
        <f t="shared" ca="1" si="20"/>
        <v>1</v>
      </c>
      <c r="U82">
        <f t="shared" ca="1" si="20"/>
        <v>1</v>
      </c>
      <c r="V82">
        <f t="shared" ca="1" si="20"/>
        <v>1</v>
      </c>
      <c r="W82">
        <f t="shared" ca="1" si="19"/>
        <v>1</v>
      </c>
      <c r="X82">
        <f t="shared" ca="1" si="19"/>
        <v>1</v>
      </c>
      <c r="Y82">
        <f t="shared" ca="1" si="19"/>
        <v>1</v>
      </c>
      <c r="Z82">
        <f t="shared" ca="1" si="19"/>
        <v>1</v>
      </c>
      <c r="AA82">
        <f t="shared" ca="1" si="19"/>
        <v>0</v>
      </c>
    </row>
    <row r="83" spans="1:27" ht="18">
      <c r="A83" s="258" t="s">
        <v>378</v>
      </c>
      <c r="B83" s="258" t="str">
        <f>VLOOKUP(A83,'Data Pegawai'!B:P,2,FALSE)</f>
        <v>Aktif</v>
      </c>
      <c r="C83" s="258" t="str">
        <f>VLOOKUP(A83,'Data Pegawai'!B:P,4,FALSE)</f>
        <v>AA</v>
      </c>
      <c r="D83" s="258" t="str">
        <f>VLOOKUP(A83,'Data Pegawai'!B:P,3,FALSE)</f>
        <v>Dosen</v>
      </c>
      <c r="E83" s="265">
        <f>VLOOKUP(A83,'Data Pegawai'!B:P,13,FALSE)</f>
        <v>43101</v>
      </c>
      <c r="F83" s="265">
        <f ca="1">IF(VLOOKUP(A83,'Data Pegawai'!B:P,14,FALSE)=0,EOMONTH(TODAY(),0),VLOOKUP(A83,'Data Pegawai'!B:P,13,FALSE))</f>
        <v>46053</v>
      </c>
      <c r="G83">
        <f t="shared" ca="1" si="12"/>
        <v>1</v>
      </c>
      <c r="H83">
        <f t="shared" ca="1" si="20"/>
        <v>1</v>
      </c>
      <c r="I83">
        <f t="shared" ca="1" si="20"/>
        <v>1</v>
      </c>
      <c r="J83">
        <f t="shared" ca="1" si="20"/>
        <v>1</v>
      </c>
      <c r="K83">
        <f t="shared" ca="1" si="20"/>
        <v>1</v>
      </c>
      <c r="L83">
        <f t="shared" ca="1" si="20"/>
        <v>1</v>
      </c>
      <c r="M83">
        <f t="shared" ca="1" si="20"/>
        <v>1</v>
      </c>
      <c r="N83">
        <f t="shared" ca="1" si="20"/>
        <v>1</v>
      </c>
      <c r="O83">
        <f t="shared" ca="1" si="20"/>
        <v>1</v>
      </c>
      <c r="P83">
        <f t="shared" ca="1" si="20"/>
        <v>1</v>
      </c>
      <c r="Q83">
        <f t="shared" ca="1" si="20"/>
        <v>1</v>
      </c>
      <c r="R83">
        <f t="shared" ca="1" si="20"/>
        <v>1</v>
      </c>
      <c r="S83">
        <f t="shared" ca="1" si="20"/>
        <v>1</v>
      </c>
      <c r="T83">
        <f t="shared" ca="1" si="20"/>
        <v>1</v>
      </c>
      <c r="U83">
        <f t="shared" ca="1" si="20"/>
        <v>1</v>
      </c>
      <c r="V83">
        <f t="shared" ca="1" si="20"/>
        <v>1</v>
      </c>
      <c r="W83">
        <f t="shared" ca="1" si="19"/>
        <v>1</v>
      </c>
      <c r="X83">
        <f t="shared" ca="1" si="19"/>
        <v>1</v>
      </c>
      <c r="Y83">
        <f t="shared" ca="1" si="19"/>
        <v>1</v>
      </c>
      <c r="Z83">
        <f t="shared" ca="1" si="19"/>
        <v>1</v>
      </c>
      <c r="AA83">
        <f t="shared" ca="1" si="19"/>
        <v>0</v>
      </c>
    </row>
    <row r="84" spans="1:27" ht="18">
      <c r="A84" s="258" t="s">
        <v>382</v>
      </c>
      <c r="B84" s="258" t="str">
        <f>VLOOKUP(A84,'Data Pegawai'!B:P,2,FALSE)</f>
        <v>Aktif</v>
      </c>
      <c r="C84" s="258" t="str">
        <f>VLOOKUP(A84,'Data Pegawai'!B:P,4,FALSE)</f>
        <v>L</v>
      </c>
      <c r="D84" s="258" t="str">
        <f>VLOOKUP(A84,'Data Pegawai'!B:P,3,FALSE)</f>
        <v>Dosen</v>
      </c>
      <c r="E84" s="265">
        <f>VLOOKUP(A84,'Data Pegawai'!B:P,13,FALSE)</f>
        <v>43282</v>
      </c>
      <c r="F84" s="265">
        <f ca="1">IF(VLOOKUP(A84,'Data Pegawai'!B:P,14,FALSE)=0,EOMONTH(TODAY(),0),VLOOKUP(A84,'Data Pegawai'!B:P,13,FALSE))</f>
        <v>46053</v>
      </c>
      <c r="G84">
        <f t="shared" ca="1" si="12"/>
        <v>1</v>
      </c>
      <c r="H84">
        <f t="shared" ca="1" si="20"/>
        <v>1</v>
      </c>
      <c r="I84">
        <f t="shared" ca="1" si="20"/>
        <v>1</v>
      </c>
      <c r="J84">
        <f t="shared" ca="1" si="20"/>
        <v>1</v>
      </c>
      <c r="K84">
        <f t="shared" ca="1" si="20"/>
        <v>1</v>
      </c>
      <c r="L84">
        <f t="shared" ca="1" si="20"/>
        <v>1</v>
      </c>
      <c r="M84">
        <f t="shared" ca="1" si="20"/>
        <v>1</v>
      </c>
      <c r="N84">
        <f t="shared" ca="1" si="20"/>
        <v>1</v>
      </c>
      <c r="O84">
        <f t="shared" ca="1" si="20"/>
        <v>1</v>
      </c>
      <c r="P84">
        <f t="shared" ca="1" si="20"/>
        <v>1</v>
      </c>
      <c r="Q84">
        <f t="shared" ca="1" si="20"/>
        <v>1</v>
      </c>
      <c r="R84">
        <f t="shared" ca="1" si="20"/>
        <v>1</v>
      </c>
      <c r="S84">
        <f t="shared" ca="1" si="20"/>
        <v>1</v>
      </c>
      <c r="T84">
        <f t="shared" ca="1" si="20"/>
        <v>1</v>
      </c>
      <c r="U84">
        <f t="shared" ca="1" si="20"/>
        <v>1</v>
      </c>
      <c r="V84">
        <f t="shared" ca="1" si="20"/>
        <v>1</v>
      </c>
      <c r="W84">
        <f t="shared" ca="1" si="19"/>
        <v>1</v>
      </c>
      <c r="X84">
        <f t="shared" ca="1" si="19"/>
        <v>1</v>
      </c>
      <c r="Y84">
        <f t="shared" ca="1" si="19"/>
        <v>1</v>
      </c>
      <c r="Z84">
        <f t="shared" ca="1" si="19"/>
        <v>1</v>
      </c>
      <c r="AA84">
        <f t="shared" ca="1" si="19"/>
        <v>0</v>
      </c>
    </row>
    <row r="85" spans="1:27" ht="18">
      <c r="A85" s="258" t="s">
        <v>386</v>
      </c>
      <c r="B85" s="258" t="str">
        <f>VLOOKUP(A85,'Data Pegawai'!B:P,2,FALSE)</f>
        <v>Aktif</v>
      </c>
      <c r="C85" s="258" t="str">
        <f>VLOOKUP(A85,'Data Pegawai'!B:P,4,FALSE)</f>
        <v>AA</v>
      </c>
      <c r="D85" s="258" t="str">
        <f>VLOOKUP(A85,'Data Pegawai'!B:P,3,FALSE)</f>
        <v>Dosen</v>
      </c>
      <c r="E85" s="265">
        <f>VLOOKUP(A85,'Data Pegawai'!B:P,13,FALSE)</f>
        <v>44627</v>
      </c>
      <c r="F85" s="265">
        <f ca="1">IF(VLOOKUP(A85,'Data Pegawai'!B:P,14,FALSE)=0,EOMONTH(TODAY(),0),VLOOKUP(A85,'Data Pegawai'!B:P,13,FALSE))</f>
        <v>46053</v>
      </c>
      <c r="G85">
        <f t="shared" ref="G85:G148" ca="1" si="21">IF(AND(G$3&gt;=$E85,G$3&lt;=$F85),1,0)</f>
        <v>1</v>
      </c>
      <c r="H85">
        <f t="shared" ca="1" si="20"/>
        <v>1</v>
      </c>
      <c r="I85">
        <f t="shared" ca="1" si="20"/>
        <v>1</v>
      </c>
      <c r="J85">
        <f t="shared" ca="1" si="20"/>
        <v>1</v>
      </c>
      <c r="K85">
        <f t="shared" ca="1" si="20"/>
        <v>1</v>
      </c>
      <c r="L85">
        <f t="shared" ca="1" si="20"/>
        <v>1</v>
      </c>
      <c r="M85">
        <f t="shared" ca="1" si="20"/>
        <v>1</v>
      </c>
      <c r="N85">
        <f t="shared" ca="1" si="20"/>
        <v>1</v>
      </c>
      <c r="O85">
        <f t="shared" ca="1" si="20"/>
        <v>1</v>
      </c>
      <c r="P85">
        <f t="shared" ca="1" si="20"/>
        <v>1</v>
      </c>
      <c r="Q85">
        <f t="shared" ca="1" si="20"/>
        <v>1</v>
      </c>
      <c r="R85">
        <f t="shared" ca="1" si="20"/>
        <v>1</v>
      </c>
      <c r="S85">
        <f t="shared" ca="1" si="20"/>
        <v>0</v>
      </c>
      <c r="T85">
        <f t="shared" ca="1" si="20"/>
        <v>0</v>
      </c>
      <c r="U85">
        <f t="shared" ca="1" si="20"/>
        <v>0</v>
      </c>
      <c r="V85">
        <f t="shared" ref="V85:AA100" ca="1" si="22">IF(AND(V$3&gt;=$E85,V$3&lt;=$F85),1,0)</f>
        <v>0</v>
      </c>
      <c r="W85">
        <f t="shared" ca="1" si="22"/>
        <v>1</v>
      </c>
      <c r="X85">
        <f t="shared" ca="1" si="22"/>
        <v>1</v>
      </c>
      <c r="Y85">
        <f t="shared" ca="1" si="22"/>
        <v>1</v>
      </c>
      <c r="Z85">
        <f t="shared" ca="1" si="22"/>
        <v>1</v>
      </c>
      <c r="AA85">
        <f t="shared" ca="1" si="22"/>
        <v>0</v>
      </c>
    </row>
    <row r="86" spans="1:27" ht="18">
      <c r="A86" s="258" t="s">
        <v>390</v>
      </c>
      <c r="B86" s="258" t="str">
        <f>VLOOKUP(A86,'Data Pegawai'!B:P,2,FALSE)</f>
        <v>Non-Aktif</v>
      </c>
      <c r="C86" s="258" t="str">
        <f>VLOOKUP(A86,'Data Pegawai'!B:P,4,FALSE)</f>
        <v>NJAD</v>
      </c>
      <c r="D86" s="258" t="str">
        <f>VLOOKUP(A86,'Data Pegawai'!B:P,3,FALSE)</f>
        <v>Dosen</v>
      </c>
      <c r="E86" s="265">
        <f>VLOOKUP(A86,'Data Pegawai'!B:P,13,FALSE)</f>
        <v>44832</v>
      </c>
      <c r="F86" s="265">
        <f ca="1">IF(VLOOKUP(A86,'Data Pegawai'!B:P,14,FALSE)=0,EOMONTH(TODAY(),0),VLOOKUP(A86,'Data Pegawai'!B:P,13,FALSE))</f>
        <v>44832</v>
      </c>
      <c r="G86">
        <f t="shared" ca="1" si="21"/>
        <v>0</v>
      </c>
      <c r="H86">
        <f t="shared" ref="H86:V101" ca="1" si="23">IF(AND(H$3&gt;=$E86,H$3&lt;=$F86),1,0)</f>
        <v>0</v>
      </c>
      <c r="I86">
        <f t="shared" ca="1" si="23"/>
        <v>0</v>
      </c>
      <c r="J86">
        <f t="shared" ca="1" si="23"/>
        <v>0</v>
      </c>
      <c r="K86">
        <f t="shared" ca="1" si="23"/>
        <v>0</v>
      </c>
      <c r="L86">
        <f t="shared" ca="1" si="23"/>
        <v>0</v>
      </c>
      <c r="M86">
        <f t="shared" ca="1" si="23"/>
        <v>0</v>
      </c>
      <c r="N86">
        <f t="shared" ca="1" si="23"/>
        <v>0</v>
      </c>
      <c r="O86">
        <f t="shared" ca="1" si="23"/>
        <v>0</v>
      </c>
      <c r="P86">
        <f t="shared" ca="1" si="23"/>
        <v>0</v>
      </c>
      <c r="Q86">
        <f t="shared" ca="1" si="23"/>
        <v>0</v>
      </c>
      <c r="R86">
        <f t="shared" ca="1" si="23"/>
        <v>0</v>
      </c>
      <c r="S86">
        <f t="shared" ca="1" si="23"/>
        <v>0</v>
      </c>
      <c r="T86">
        <f t="shared" ca="1" si="23"/>
        <v>0</v>
      </c>
      <c r="U86">
        <f t="shared" ca="1" si="23"/>
        <v>0</v>
      </c>
      <c r="V86">
        <f t="shared" ca="1" si="23"/>
        <v>0</v>
      </c>
      <c r="W86">
        <f t="shared" ca="1" si="22"/>
        <v>0</v>
      </c>
      <c r="X86">
        <f t="shared" ca="1" si="22"/>
        <v>0</v>
      </c>
      <c r="Y86">
        <f t="shared" ca="1" si="22"/>
        <v>0</v>
      </c>
      <c r="Z86">
        <f t="shared" ca="1" si="22"/>
        <v>0</v>
      </c>
      <c r="AA86">
        <f t="shared" ca="1" si="22"/>
        <v>0</v>
      </c>
    </row>
    <row r="87" spans="1:27" ht="18">
      <c r="A87" s="258" t="s">
        <v>393</v>
      </c>
      <c r="B87" s="258" t="str">
        <f>VLOOKUP(A87,'Data Pegawai'!B:P,2,FALSE)</f>
        <v>Aktif</v>
      </c>
      <c r="C87" s="258" t="str">
        <f>VLOOKUP(A87,'Data Pegawai'!B:P,4,FALSE)</f>
        <v>AA</v>
      </c>
      <c r="D87" s="258" t="str">
        <f>VLOOKUP(A87,'Data Pegawai'!B:P,3,FALSE)</f>
        <v>Dosen</v>
      </c>
      <c r="E87" s="265">
        <f>VLOOKUP(A87,'Data Pegawai'!B:P,13,FALSE)</f>
        <v>44832</v>
      </c>
      <c r="F87" s="265">
        <f ca="1">IF(VLOOKUP(A87,'Data Pegawai'!B:P,14,FALSE)=0,EOMONTH(TODAY(),0),VLOOKUP(A87,'Data Pegawai'!B:P,13,FALSE))</f>
        <v>46053</v>
      </c>
      <c r="G87">
        <f t="shared" ca="1" si="21"/>
        <v>1</v>
      </c>
      <c r="H87">
        <f t="shared" ca="1" si="23"/>
        <v>1</v>
      </c>
      <c r="I87">
        <f t="shared" ca="1" si="23"/>
        <v>1</v>
      </c>
      <c r="J87">
        <f t="shared" ca="1" si="23"/>
        <v>1</v>
      </c>
      <c r="K87">
        <f t="shared" ca="1" si="23"/>
        <v>1</v>
      </c>
      <c r="L87">
        <f t="shared" ca="1" si="23"/>
        <v>1</v>
      </c>
      <c r="M87">
        <f t="shared" ca="1" si="23"/>
        <v>1</v>
      </c>
      <c r="N87">
        <f t="shared" ca="1" si="23"/>
        <v>1</v>
      </c>
      <c r="O87">
        <f t="shared" ca="1" si="23"/>
        <v>1</v>
      </c>
      <c r="P87">
        <f t="shared" ca="1" si="23"/>
        <v>1</v>
      </c>
      <c r="Q87">
        <f t="shared" ca="1" si="23"/>
        <v>1</v>
      </c>
      <c r="R87">
        <f t="shared" ca="1" si="23"/>
        <v>1</v>
      </c>
      <c r="S87">
        <f t="shared" ca="1" si="23"/>
        <v>0</v>
      </c>
      <c r="T87">
        <f t="shared" ca="1" si="23"/>
        <v>0</v>
      </c>
      <c r="U87">
        <f t="shared" ca="1" si="23"/>
        <v>0</v>
      </c>
      <c r="V87">
        <f t="shared" ca="1" si="23"/>
        <v>0</v>
      </c>
      <c r="W87">
        <f t="shared" ca="1" si="22"/>
        <v>1</v>
      </c>
      <c r="X87">
        <f t="shared" ca="1" si="22"/>
        <v>1</v>
      </c>
      <c r="Y87">
        <f t="shared" ca="1" si="22"/>
        <v>1</v>
      </c>
      <c r="Z87">
        <f t="shared" ca="1" si="22"/>
        <v>1</v>
      </c>
      <c r="AA87">
        <f t="shared" ca="1" si="22"/>
        <v>0</v>
      </c>
    </row>
    <row r="88" spans="1:27" ht="18">
      <c r="A88" s="258" t="s">
        <v>398</v>
      </c>
      <c r="B88" s="258" t="str">
        <f>VLOOKUP(A88,'Data Pegawai'!B:P,2,FALSE)</f>
        <v>Aktif</v>
      </c>
      <c r="C88" s="258" t="str">
        <f>VLOOKUP(A88,'Data Pegawai'!B:P,4,FALSE)</f>
        <v>AA</v>
      </c>
      <c r="D88" s="258" t="str">
        <f>VLOOKUP(A88,'Data Pegawai'!B:P,3,FALSE)</f>
        <v>Dosen</v>
      </c>
      <c r="E88" s="265">
        <f>VLOOKUP(A88,'Data Pegawai'!B:P,13,FALSE)</f>
        <v>45170</v>
      </c>
      <c r="F88" s="265">
        <f ca="1">IF(VLOOKUP(A88,'Data Pegawai'!B:P,14,FALSE)=0,EOMONTH(TODAY(),0),VLOOKUP(A88,'Data Pegawai'!B:P,13,FALSE))</f>
        <v>46053</v>
      </c>
      <c r="G88">
        <f t="shared" ca="1" si="21"/>
        <v>1</v>
      </c>
      <c r="H88">
        <f t="shared" ca="1" si="23"/>
        <v>1</v>
      </c>
      <c r="I88">
        <f t="shared" ca="1" si="23"/>
        <v>1</v>
      </c>
      <c r="J88">
        <f t="shared" ca="1" si="23"/>
        <v>1</v>
      </c>
      <c r="K88">
        <f t="shared" ca="1" si="23"/>
        <v>1</v>
      </c>
      <c r="L88">
        <f t="shared" ca="1" si="23"/>
        <v>1</v>
      </c>
      <c r="M88">
        <f t="shared" ca="1" si="23"/>
        <v>1</v>
      </c>
      <c r="N88">
        <f t="shared" ca="1" si="23"/>
        <v>1</v>
      </c>
      <c r="O88">
        <f t="shared" ca="1" si="23"/>
        <v>1</v>
      </c>
      <c r="P88">
        <f t="shared" ca="1" si="23"/>
        <v>1</v>
      </c>
      <c r="Q88">
        <f t="shared" ca="1" si="23"/>
        <v>1</v>
      </c>
      <c r="R88">
        <f t="shared" ca="1" si="23"/>
        <v>1</v>
      </c>
      <c r="S88">
        <f t="shared" ca="1" si="23"/>
        <v>0</v>
      </c>
      <c r="T88">
        <f t="shared" ca="1" si="23"/>
        <v>0</v>
      </c>
      <c r="U88">
        <f t="shared" ca="1" si="23"/>
        <v>0</v>
      </c>
      <c r="V88">
        <f t="shared" ca="1" si="23"/>
        <v>0</v>
      </c>
      <c r="W88">
        <f t="shared" ca="1" si="22"/>
        <v>0</v>
      </c>
      <c r="X88">
        <f t="shared" ca="1" si="22"/>
        <v>1</v>
      </c>
      <c r="Y88">
        <f t="shared" ca="1" si="22"/>
        <v>1</v>
      </c>
      <c r="Z88">
        <f t="shared" ca="1" si="22"/>
        <v>1</v>
      </c>
      <c r="AA88">
        <f t="shared" ca="1" si="22"/>
        <v>0</v>
      </c>
    </row>
    <row r="89" spans="1:27" ht="18">
      <c r="A89" s="258" t="s">
        <v>402</v>
      </c>
      <c r="B89" s="258" t="str">
        <f>VLOOKUP(A89,'Data Pegawai'!B:P,2,FALSE)</f>
        <v>Aktif</v>
      </c>
      <c r="C89" s="258" t="str">
        <f>VLOOKUP(A89,'Data Pegawai'!B:P,4,FALSE)</f>
        <v>NJAD</v>
      </c>
      <c r="D89" s="258" t="str">
        <f>VLOOKUP(A89,'Data Pegawai'!B:P,3,FALSE)</f>
        <v>Dosen</v>
      </c>
      <c r="E89" s="265">
        <f>VLOOKUP(A89,'Data Pegawai'!B:P,13,FALSE)</f>
        <v>45170</v>
      </c>
      <c r="F89" s="265">
        <f ca="1">IF(VLOOKUP(A89,'Data Pegawai'!B:P,14,FALSE)=0,EOMONTH(TODAY(),0),VLOOKUP(A89,'Data Pegawai'!B:P,13,FALSE))</f>
        <v>46053</v>
      </c>
      <c r="G89">
        <f t="shared" ca="1" si="21"/>
        <v>1</v>
      </c>
      <c r="H89">
        <f t="shared" ca="1" si="23"/>
        <v>1</v>
      </c>
      <c r="I89">
        <f t="shared" ca="1" si="23"/>
        <v>1</v>
      </c>
      <c r="J89">
        <f t="shared" ca="1" si="23"/>
        <v>1</v>
      </c>
      <c r="K89">
        <f t="shared" ca="1" si="23"/>
        <v>1</v>
      </c>
      <c r="L89">
        <f t="shared" ca="1" si="23"/>
        <v>1</v>
      </c>
      <c r="M89">
        <f t="shared" ca="1" si="23"/>
        <v>1</v>
      </c>
      <c r="N89">
        <f t="shared" ca="1" si="23"/>
        <v>1</v>
      </c>
      <c r="O89">
        <f t="shared" ca="1" si="23"/>
        <v>1</v>
      </c>
      <c r="P89">
        <f t="shared" ca="1" si="23"/>
        <v>1</v>
      </c>
      <c r="Q89">
        <f t="shared" ca="1" si="23"/>
        <v>1</v>
      </c>
      <c r="R89">
        <f t="shared" ca="1" si="23"/>
        <v>1</v>
      </c>
      <c r="S89">
        <f t="shared" ca="1" si="23"/>
        <v>0</v>
      </c>
      <c r="T89">
        <f t="shared" ca="1" si="23"/>
        <v>0</v>
      </c>
      <c r="U89">
        <f t="shared" ca="1" si="23"/>
        <v>0</v>
      </c>
      <c r="V89">
        <f t="shared" ca="1" si="23"/>
        <v>0</v>
      </c>
      <c r="W89">
        <f t="shared" ca="1" si="22"/>
        <v>0</v>
      </c>
      <c r="X89">
        <f t="shared" ca="1" si="22"/>
        <v>1</v>
      </c>
      <c r="Y89">
        <f t="shared" ca="1" si="22"/>
        <v>1</v>
      </c>
      <c r="Z89">
        <f t="shared" ca="1" si="22"/>
        <v>1</v>
      </c>
      <c r="AA89">
        <f t="shared" ca="1" si="22"/>
        <v>0</v>
      </c>
    </row>
    <row r="90" spans="1:27" ht="18">
      <c r="A90" s="258" t="s">
        <v>406</v>
      </c>
      <c r="B90" s="258" t="str">
        <f>VLOOKUP(A90,'Data Pegawai'!B:P,2,FALSE)</f>
        <v>Non-Aktif</v>
      </c>
      <c r="C90" s="258" t="str">
        <f>VLOOKUP(A90,'Data Pegawai'!B:P,4,FALSE)</f>
        <v>LK</v>
      </c>
      <c r="D90" s="258" t="str">
        <f>VLOOKUP(A90,'Data Pegawai'!B:P,3,FALSE)</f>
        <v>Dosen</v>
      </c>
      <c r="E90" s="265">
        <f>VLOOKUP(A90,'Data Pegawai'!B:P,13,FALSE)</f>
        <v>43882</v>
      </c>
      <c r="F90" s="265">
        <f ca="1">IF(VLOOKUP(A90,'Data Pegawai'!B:P,14,FALSE)=0,EOMONTH(TODAY(),0),VLOOKUP(A90,'Data Pegawai'!B:P,13,FALSE))</f>
        <v>43882</v>
      </c>
      <c r="G90">
        <f t="shared" ca="1" si="21"/>
        <v>0</v>
      </c>
      <c r="H90">
        <f t="shared" ca="1" si="23"/>
        <v>0</v>
      </c>
      <c r="I90">
        <f t="shared" ca="1" si="23"/>
        <v>0</v>
      </c>
      <c r="J90">
        <f t="shared" ca="1" si="23"/>
        <v>0</v>
      </c>
      <c r="K90">
        <f t="shared" ca="1" si="23"/>
        <v>0</v>
      </c>
      <c r="L90">
        <f t="shared" ca="1" si="23"/>
        <v>0</v>
      </c>
      <c r="M90">
        <f t="shared" ca="1" si="23"/>
        <v>0</v>
      </c>
      <c r="N90">
        <f t="shared" ca="1" si="23"/>
        <v>0</v>
      </c>
      <c r="O90">
        <f t="shared" ca="1" si="23"/>
        <v>0</v>
      </c>
      <c r="P90">
        <f t="shared" ca="1" si="23"/>
        <v>0</v>
      </c>
      <c r="Q90">
        <f t="shared" ca="1" si="23"/>
        <v>0</v>
      </c>
      <c r="R90">
        <f t="shared" ca="1" si="23"/>
        <v>0</v>
      </c>
      <c r="S90">
        <f t="shared" ca="1" si="23"/>
        <v>0</v>
      </c>
      <c r="T90">
        <f t="shared" ca="1" si="23"/>
        <v>0</v>
      </c>
      <c r="U90">
        <f t="shared" ca="1" si="23"/>
        <v>0</v>
      </c>
      <c r="V90">
        <f t="shared" ca="1" si="23"/>
        <v>0</v>
      </c>
      <c r="W90">
        <f t="shared" ca="1" si="22"/>
        <v>0</v>
      </c>
      <c r="X90">
        <f t="shared" ca="1" si="22"/>
        <v>0</v>
      </c>
      <c r="Y90">
        <f t="shared" ca="1" si="22"/>
        <v>0</v>
      </c>
      <c r="Z90">
        <f t="shared" ca="1" si="22"/>
        <v>0</v>
      </c>
      <c r="AA90">
        <f t="shared" ca="1" si="22"/>
        <v>0</v>
      </c>
    </row>
    <row r="91" spans="1:27" ht="18">
      <c r="A91" s="258" t="s">
        <v>408</v>
      </c>
      <c r="B91" s="258" t="str">
        <f>VLOOKUP(A91,'Data Pegawai'!B:P,2,FALSE)</f>
        <v>Aktif</v>
      </c>
      <c r="C91" s="258" t="str">
        <f>VLOOKUP(A91,'Data Pegawai'!B:P,4,FALSE)</f>
        <v>L</v>
      </c>
      <c r="D91" s="258" t="str">
        <f>VLOOKUP(A91,'Data Pegawai'!B:P,3,FALSE)</f>
        <v>Dosen</v>
      </c>
      <c r="E91" s="265">
        <f>VLOOKUP(A91,'Data Pegawai'!B:P,13,FALSE)</f>
        <v>43101</v>
      </c>
      <c r="F91" s="265">
        <f ca="1">IF(VLOOKUP(A91,'Data Pegawai'!B:P,14,FALSE)=0,EOMONTH(TODAY(),0),VLOOKUP(A91,'Data Pegawai'!B:P,13,FALSE))</f>
        <v>46053</v>
      </c>
      <c r="G91">
        <f t="shared" ca="1" si="21"/>
        <v>1</v>
      </c>
      <c r="H91">
        <f t="shared" ca="1" si="23"/>
        <v>1</v>
      </c>
      <c r="I91">
        <f t="shared" ca="1" si="23"/>
        <v>1</v>
      </c>
      <c r="J91">
        <f t="shared" ca="1" si="23"/>
        <v>1</v>
      </c>
      <c r="K91">
        <f t="shared" ca="1" si="23"/>
        <v>1</v>
      </c>
      <c r="L91">
        <f t="shared" ca="1" si="23"/>
        <v>1</v>
      </c>
      <c r="M91">
        <f t="shared" ca="1" si="23"/>
        <v>1</v>
      </c>
      <c r="N91">
        <f t="shared" ca="1" si="23"/>
        <v>1</v>
      </c>
      <c r="O91">
        <f t="shared" ca="1" si="23"/>
        <v>1</v>
      </c>
      <c r="P91">
        <f t="shared" ca="1" si="23"/>
        <v>1</v>
      </c>
      <c r="Q91">
        <f t="shared" ca="1" si="23"/>
        <v>1</v>
      </c>
      <c r="R91">
        <f t="shared" ca="1" si="23"/>
        <v>1</v>
      </c>
      <c r="S91">
        <f t="shared" ca="1" si="23"/>
        <v>1</v>
      </c>
      <c r="T91">
        <f t="shared" ca="1" si="23"/>
        <v>1</v>
      </c>
      <c r="U91">
        <f t="shared" ca="1" si="23"/>
        <v>1</v>
      </c>
      <c r="V91">
        <f t="shared" ca="1" si="23"/>
        <v>1</v>
      </c>
      <c r="W91">
        <f t="shared" ca="1" si="22"/>
        <v>1</v>
      </c>
      <c r="X91">
        <f t="shared" ca="1" si="22"/>
        <v>1</v>
      </c>
      <c r="Y91">
        <f t="shared" ca="1" si="22"/>
        <v>1</v>
      </c>
      <c r="Z91">
        <f t="shared" ca="1" si="22"/>
        <v>1</v>
      </c>
      <c r="AA91">
        <f t="shared" ca="1" si="22"/>
        <v>0</v>
      </c>
    </row>
    <row r="92" spans="1:27" ht="18">
      <c r="A92" s="258" t="s">
        <v>412</v>
      </c>
      <c r="B92" s="258" t="str">
        <f>VLOOKUP(A92,'Data Pegawai'!B:P,2,FALSE)</f>
        <v>Aktif</v>
      </c>
      <c r="C92" s="258" t="str">
        <f>VLOOKUP(A92,'Data Pegawai'!B:P,4,FALSE)</f>
        <v>L</v>
      </c>
      <c r="D92" s="258" t="str">
        <f>VLOOKUP(A92,'Data Pegawai'!B:P,3,FALSE)</f>
        <v>Dosen</v>
      </c>
      <c r="E92" s="265">
        <f>VLOOKUP(A92,'Data Pegawai'!B:P,13,FALSE)</f>
        <v>43282</v>
      </c>
      <c r="F92" s="265">
        <f ca="1">IF(VLOOKUP(A92,'Data Pegawai'!B:P,14,FALSE)=0,EOMONTH(TODAY(),0),VLOOKUP(A92,'Data Pegawai'!B:P,13,FALSE))</f>
        <v>46053</v>
      </c>
      <c r="G92">
        <f t="shared" ca="1" si="21"/>
        <v>1</v>
      </c>
      <c r="H92">
        <f t="shared" ca="1" si="23"/>
        <v>1</v>
      </c>
      <c r="I92">
        <f t="shared" ca="1" si="23"/>
        <v>1</v>
      </c>
      <c r="J92">
        <f t="shared" ca="1" si="23"/>
        <v>1</v>
      </c>
      <c r="K92">
        <f t="shared" ca="1" si="23"/>
        <v>1</v>
      </c>
      <c r="L92">
        <f t="shared" ca="1" si="23"/>
        <v>1</v>
      </c>
      <c r="M92">
        <f t="shared" ca="1" si="23"/>
        <v>1</v>
      </c>
      <c r="N92">
        <f t="shared" ca="1" si="23"/>
        <v>1</v>
      </c>
      <c r="O92">
        <f t="shared" ca="1" si="23"/>
        <v>1</v>
      </c>
      <c r="P92">
        <f t="shared" ca="1" si="23"/>
        <v>1</v>
      </c>
      <c r="Q92">
        <f t="shared" ca="1" si="23"/>
        <v>1</v>
      </c>
      <c r="R92">
        <f t="shared" ca="1" si="23"/>
        <v>1</v>
      </c>
      <c r="S92">
        <f t="shared" ca="1" si="23"/>
        <v>1</v>
      </c>
      <c r="T92">
        <f t="shared" ca="1" si="23"/>
        <v>1</v>
      </c>
      <c r="U92">
        <f t="shared" ca="1" si="23"/>
        <v>1</v>
      </c>
      <c r="V92">
        <f t="shared" ca="1" si="23"/>
        <v>1</v>
      </c>
      <c r="W92">
        <f t="shared" ca="1" si="22"/>
        <v>1</v>
      </c>
      <c r="X92">
        <f t="shared" ca="1" si="22"/>
        <v>1</v>
      </c>
      <c r="Y92">
        <f t="shared" ca="1" si="22"/>
        <v>1</v>
      </c>
      <c r="Z92">
        <f t="shared" ca="1" si="22"/>
        <v>1</v>
      </c>
      <c r="AA92">
        <f t="shared" ca="1" si="22"/>
        <v>0</v>
      </c>
    </row>
    <row r="93" spans="1:27" ht="18">
      <c r="A93" s="258" t="s">
        <v>417</v>
      </c>
      <c r="B93" s="258" t="str">
        <f>VLOOKUP(A93,'Data Pegawai'!B:P,2,FALSE)</f>
        <v>Aktif</v>
      </c>
      <c r="C93" s="258" t="str">
        <f>VLOOKUP(A93,'Data Pegawai'!B:P,4,FALSE)</f>
        <v>NJAD</v>
      </c>
      <c r="D93" s="258" t="str">
        <f>VLOOKUP(A93,'Data Pegawai'!B:P,3,FALSE)</f>
        <v>Dosen</v>
      </c>
      <c r="E93" s="265">
        <f>VLOOKUP(A93,'Data Pegawai'!B:P,13,FALSE)</f>
        <v>43101</v>
      </c>
      <c r="F93" s="265">
        <f ca="1">IF(VLOOKUP(A93,'Data Pegawai'!B:P,14,FALSE)=0,EOMONTH(TODAY(),0),VLOOKUP(A93,'Data Pegawai'!B:P,13,FALSE))</f>
        <v>46053</v>
      </c>
      <c r="G93">
        <f t="shared" ca="1" si="21"/>
        <v>1</v>
      </c>
      <c r="H93">
        <f t="shared" ca="1" si="23"/>
        <v>1</v>
      </c>
      <c r="I93">
        <f t="shared" ca="1" si="23"/>
        <v>1</v>
      </c>
      <c r="J93">
        <f t="shared" ca="1" si="23"/>
        <v>1</v>
      </c>
      <c r="K93">
        <f t="shared" ca="1" si="23"/>
        <v>1</v>
      </c>
      <c r="L93">
        <f t="shared" ca="1" si="23"/>
        <v>1</v>
      </c>
      <c r="M93">
        <f t="shared" ca="1" si="23"/>
        <v>1</v>
      </c>
      <c r="N93">
        <f t="shared" ca="1" si="23"/>
        <v>1</v>
      </c>
      <c r="O93">
        <f t="shared" ca="1" si="23"/>
        <v>1</v>
      </c>
      <c r="P93">
        <f t="shared" ca="1" si="23"/>
        <v>1</v>
      </c>
      <c r="Q93">
        <f t="shared" ca="1" si="23"/>
        <v>1</v>
      </c>
      <c r="R93">
        <f t="shared" ca="1" si="23"/>
        <v>1</v>
      </c>
      <c r="S93">
        <f t="shared" ca="1" si="23"/>
        <v>1</v>
      </c>
      <c r="T93">
        <f t="shared" ca="1" si="23"/>
        <v>1</v>
      </c>
      <c r="U93">
        <f t="shared" ca="1" si="23"/>
        <v>1</v>
      </c>
      <c r="V93">
        <f t="shared" ca="1" si="23"/>
        <v>1</v>
      </c>
      <c r="W93">
        <f t="shared" ca="1" si="22"/>
        <v>1</v>
      </c>
      <c r="X93">
        <f t="shared" ca="1" si="22"/>
        <v>1</v>
      </c>
      <c r="Y93">
        <f t="shared" ca="1" si="22"/>
        <v>1</v>
      </c>
      <c r="Z93">
        <f t="shared" ca="1" si="22"/>
        <v>1</v>
      </c>
      <c r="AA93">
        <f t="shared" ca="1" si="22"/>
        <v>0</v>
      </c>
    </row>
    <row r="94" spans="1:27" ht="18">
      <c r="A94" s="258" t="s">
        <v>422</v>
      </c>
      <c r="B94" s="258" t="str">
        <f>VLOOKUP(A94,'Data Pegawai'!B:P,2,FALSE)</f>
        <v>Aktif</v>
      </c>
      <c r="C94" s="258" t="str">
        <f>VLOOKUP(A94,'Data Pegawai'!B:P,4,FALSE)</f>
        <v>AA</v>
      </c>
      <c r="D94" s="258" t="str">
        <f>VLOOKUP(A94,'Data Pegawai'!B:P,3,FALSE)</f>
        <v>Dosen</v>
      </c>
      <c r="E94" s="265">
        <f>VLOOKUP(A94,'Data Pegawai'!B:P,13,FALSE)</f>
        <v>43282</v>
      </c>
      <c r="F94" s="265">
        <f ca="1">IF(VLOOKUP(A94,'Data Pegawai'!B:P,14,FALSE)=0,EOMONTH(TODAY(),0),VLOOKUP(A94,'Data Pegawai'!B:P,13,FALSE))</f>
        <v>46053</v>
      </c>
      <c r="G94">
        <f t="shared" ca="1" si="21"/>
        <v>1</v>
      </c>
      <c r="H94">
        <f t="shared" ca="1" si="23"/>
        <v>1</v>
      </c>
      <c r="I94">
        <f t="shared" ca="1" si="23"/>
        <v>1</v>
      </c>
      <c r="J94">
        <f t="shared" ca="1" si="23"/>
        <v>1</v>
      </c>
      <c r="K94">
        <f t="shared" ca="1" si="23"/>
        <v>1</v>
      </c>
      <c r="L94">
        <f t="shared" ca="1" si="23"/>
        <v>1</v>
      </c>
      <c r="M94">
        <f t="shared" ca="1" si="23"/>
        <v>1</v>
      </c>
      <c r="N94">
        <f t="shared" ca="1" si="23"/>
        <v>1</v>
      </c>
      <c r="O94">
        <f t="shared" ca="1" si="23"/>
        <v>1</v>
      </c>
      <c r="P94">
        <f t="shared" ca="1" si="23"/>
        <v>1</v>
      </c>
      <c r="Q94">
        <f t="shared" ca="1" si="23"/>
        <v>1</v>
      </c>
      <c r="R94">
        <f t="shared" ca="1" si="23"/>
        <v>1</v>
      </c>
      <c r="S94">
        <f t="shared" ca="1" si="23"/>
        <v>1</v>
      </c>
      <c r="T94">
        <f t="shared" ca="1" si="23"/>
        <v>1</v>
      </c>
      <c r="U94">
        <f t="shared" ca="1" si="23"/>
        <v>1</v>
      </c>
      <c r="V94">
        <f t="shared" ca="1" si="23"/>
        <v>1</v>
      </c>
      <c r="W94">
        <f t="shared" ca="1" si="22"/>
        <v>1</v>
      </c>
      <c r="X94">
        <f t="shared" ca="1" si="22"/>
        <v>1</v>
      </c>
      <c r="Y94">
        <f t="shared" ca="1" si="22"/>
        <v>1</v>
      </c>
      <c r="Z94">
        <f t="shared" ca="1" si="22"/>
        <v>1</v>
      </c>
      <c r="AA94">
        <f t="shared" ca="1" si="22"/>
        <v>0</v>
      </c>
    </row>
    <row r="95" spans="1:27" ht="18">
      <c r="A95" s="258" t="s">
        <v>427</v>
      </c>
      <c r="B95" s="258" t="str">
        <f>VLOOKUP(A95,'Data Pegawai'!B:P,2,FALSE)</f>
        <v>Aktif</v>
      </c>
      <c r="C95" s="258" t="str">
        <f>VLOOKUP(A95,'Data Pegawai'!B:P,4,FALSE)</f>
        <v>L</v>
      </c>
      <c r="D95" s="258" t="str">
        <f>VLOOKUP(A95,'Data Pegawai'!B:P,3,FALSE)</f>
        <v>Dosen</v>
      </c>
      <c r="E95" s="265">
        <f>VLOOKUP(A95,'Data Pegawai'!B:P,13,FALSE)</f>
        <v>44075</v>
      </c>
      <c r="F95" s="265">
        <f ca="1">IF(VLOOKUP(A95,'Data Pegawai'!B:P,14,FALSE)=0,EOMONTH(TODAY(),0),VLOOKUP(A95,'Data Pegawai'!B:P,13,FALSE))</f>
        <v>46053</v>
      </c>
      <c r="G95">
        <f t="shared" ca="1" si="21"/>
        <v>1</v>
      </c>
      <c r="H95">
        <f t="shared" ca="1" si="23"/>
        <v>1</v>
      </c>
      <c r="I95">
        <f t="shared" ca="1" si="23"/>
        <v>1</v>
      </c>
      <c r="J95">
        <f t="shared" ca="1" si="23"/>
        <v>1</v>
      </c>
      <c r="K95">
        <f t="shared" ca="1" si="23"/>
        <v>1</v>
      </c>
      <c r="L95">
        <f t="shared" ca="1" si="23"/>
        <v>1</v>
      </c>
      <c r="M95">
        <f t="shared" ca="1" si="23"/>
        <v>1</v>
      </c>
      <c r="N95">
        <f t="shared" ca="1" si="23"/>
        <v>1</v>
      </c>
      <c r="O95">
        <f t="shared" ca="1" si="23"/>
        <v>1</v>
      </c>
      <c r="P95">
        <f t="shared" ca="1" si="23"/>
        <v>1</v>
      </c>
      <c r="Q95">
        <f t="shared" ca="1" si="23"/>
        <v>1</v>
      </c>
      <c r="R95">
        <f t="shared" ca="1" si="23"/>
        <v>1</v>
      </c>
      <c r="S95">
        <f t="shared" ca="1" si="23"/>
        <v>0</v>
      </c>
      <c r="T95">
        <f t="shared" ca="1" si="23"/>
        <v>0</v>
      </c>
      <c r="U95">
        <f t="shared" ca="1" si="23"/>
        <v>1</v>
      </c>
      <c r="V95">
        <f t="shared" ca="1" si="23"/>
        <v>1</v>
      </c>
      <c r="W95">
        <f t="shared" ca="1" si="22"/>
        <v>1</v>
      </c>
      <c r="X95">
        <f t="shared" ca="1" si="22"/>
        <v>1</v>
      </c>
      <c r="Y95">
        <f t="shared" ca="1" si="22"/>
        <v>1</v>
      </c>
      <c r="Z95">
        <f t="shared" ca="1" si="22"/>
        <v>1</v>
      </c>
      <c r="AA95">
        <f t="shared" ca="1" si="22"/>
        <v>0</v>
      </c>
    </row>
    <row r="96" spans="1:27" ht="18">
      <c r="A96" s="258" t="s">
        <v>432</v>
      </c>
      <c r="B96" s="258" t="str">
        <f>VLOOKUP(A96,'Data Pegawai'!B:P,2,FALSE)</f>
        <v>Non-Aktif</v>
      </c>
      <c r="C96" s="258" t="str">
        <f>VLOOKUP(A96,'Data Pegawai'!B:P,4,FALSE)</f>
        <v>AA</v>
      </c>
      <c r="D96" s="258" t="str">
        <f>VLOOKUP(A96,'Data Pegawai'!B:P,3,FALSE)</f>
        <v>Dosen</v>
      </c>
      <c r="E96" s="265">
        <f>VLOOKUP(A96,'Data Pegawai'!B:P,13,FALSE)</f>
        <v>44562</v>
      </c>
      <c r="F96" s="265">
        <f ca="1">IF(VLOOKUP(A96,'Data Pegawai'!B:P,14,FALSE)=0,EOMONTH(TODAY(),0),VLOOKUP(A96,'Data Pegawai'!B:P,13,FALSE))</f>
        <v>44562</v>
      </c>
      <c r="G96">
        <f t="shared" ca="1" si="21"/>
        <v>0</v>
      </c>
      <c r="H96">
        <f t="shared" ca="1" si="23"/>
        <v>0</v>
      </c>
      <c r="I96">
        <f t="shared" ca="1" si="23"/>
        <v>0</v>
      </c>
      <c r="J96">
        <f t="shared" ca="1" si="23"/>
        <v>0</v>
      </c>
      <c r="K96">
        <f t="shared" ca="1" si="23"/>
        <v>0</v>
      </c>
      <c r="L96">
        <f t="shared" ca="1" si="23"/>
        <v>0</v>
      </c>
      <c r="M96">
        <f t="shared" ca="1" si="23"/>
        <v>0</v>
      </c>
      <c r="N96">
        <f t="shared" ca="1" si="23"/>
        <v>0</v>
      </c>
      <c r="O96">
        <f t="shared" ca="1" si="23"/>
        <v>0</v>
      </c>
      <c r="P96">
        <f t="shared" ca="1" si="23"/>
        <v>0</v>
      </c>
      <c r="Q96">
        <f t="shared" ca="1" si="23"/>
        <v>0</v>
      </c>
      <c r="R96">
        <f t="shared" ca="1" si="23"/>
        <v>0</v>
      </c>
      <c r="S96">
        <f t="shared" ca="1" si="23"/>
        <v>0</v>
      </c>
      <c r="T96">
        <f t="shared" ca="1" si="23"/>
        <v>0</v>
      </c>
      <c r="U96">
        <f t="shared" ca="1" si="23"/>
        <v>0</v>
      </c>
      <c r="V96">
        <f t="shared" ca="1" si="23"/>
        <v>0</v>
      </c>
      <c r="W96">
        <f t="shared" ca="1" si="22"/>
        <v>0</v>
      </c>
      <c r="X96">
        <f t="shared" ca="1" si="22"/>
        <v>0</v>
      </c>
      <c r="Y96">
        <f t="shared" ca="1" si="22"/>
        <v>0</v>
      </c>
      <c r="Z96">
        <f t="shared" ca="1" si="22"/>
        <v>0</v>
      </c>
      <c r="AA96">
        <f t="shared" ca="1" si="22"/>
        <v>0</v>
      </c>
    </row>
    <row r="97" spans="1:27" ht="18">
      <c r="A97" s="258" t="s">
        <v>435</v>
      </c>
      <c r="B97" s="258" t="str">
        <f>VLOOKUP(A97,'Data Pegawai'!B:P,2,FALSE)</f>
        <v>Non-Aktif</v>
      </c>
      <c r="C97" s="258" t="str">
        <f>VLOOKUP(A97,'Data Pegawai'!B:P,4,FALSE)</f>
        <v>AA</v>
      </c>
      <c r="D97" s="258" t="str">
        <f>VLOOKUP(A97,'Data Pegawai'!B:P,3,FALSE)</f>
        <v>Dosen</v>
      </c>
      <c r="E97" s="265">
        <f>VLOOKUP(A97,'Data Pegawai'!B:P,13,FALSE)</f>
        <v>44832</v>
      </c>
      <c r="F97" s="265">
        <f ca="1">IF(VLOOKUP(A97,'Data Pegawai'!B:P,14,FALSE)=0,EOMONTH(TODAY(),0),VLOOKUP(A97,'Data Pegawai'!B:P,13,FALSE))</f>
        <v>44832</v>
      </c>
      <c r="G97">
        <f t="shared" ca="1" si="21"/>
        <v>0</v>
      </c>
      <c r="H97">
        <f t="shared" ca="1" si="23"/>
        <v>0</v>
      </c>
      <c r="I97">
        <f t="shared" ca="1" si="23"/>
        <v>0</v>
      </c>
      <c r="J97">
        <f t="shared" ca="1" si="23"/>
        <v>0</v>
      </c>
      <c r="K97">
        <f t="shared" ca="1" si="23"/>
        <v>0</v>
      </c>
      <c r="L97">
        <f t="shared" ca="1" si="23"/>
        <v>0</v>
      </c>
      <c r="M97">
        <f t="shared" ca="1" si="23"/>
        <v>0</v>
      </c>
      <c r="N97">
        <f t="shared" ca="1" si="23"/>
        <v>0</v>
      </c>
      <c r="O97">
        <f t="shared" ca="1" si="23"/>
        <v>0</v>
      </c>
      <c r="P97">
        <f t="shared" ca="1" si="23"/>
        <v>0</v>
      </c>
      <c r="Q97">
        <f t="shared" ca="1" si="23"/>
        <v>0</v>
      </c>
      <c r="R97">
        <f t="shared" ca="1" si="23"/>
        <v>0</v>
      </c>
      <c r="S97">
        <f t="shared" ca="1" si="23"/>
        <v>0</v>
      </c>
      <c r="T97">
        <f t="shared" ca="1" si="23"/>
        <v>0</v>
      </c>
      <c r="U97">
        <f t="shared" ca="1" si="23"/>
        <v>0</v>
      </c>
      <c r="V97">
        <f t="shared" ca="1" si="23"/>
        <v>0</v>
      </c>
      <c r="W97">
        <f t="shared" ca="1" si="22"/>
        <v>0</v>
      </c>
      <c r="X97">
        <f t="shared" ca="1" si="22"/>
        <v>0</v>
      </c>
      <c r="Y97">
        <f t="shared" ca="1" si="22"/>
        <v>0</v>
      </c>
      <c r="Z97">
        <f t="shared" ca="1" si="22"/>
        <v>0</v>
      </c>
      <c r="AA97">
        <f t="shared" ca="1" si="22"/>
        <v>0</v>
      </c>
    </row>
    <row r="98" spans="1:27" ht="18">
      <c r="A98" s="258" t="s">
        <v>438</v>
      </c>
      <c r="B98" s="258" t="str">
        <f>VLOOKUP(A98,'Data Pegawai'!B:P,2,FALSE)</f>
        <v>Aktif</v>
      </c>
      <c r="C98" s="258" t="str">
        <f>VLOOKUP(A98,'Data Pegawai'!B:P,4,FALSE)</f>
        <v>L</v>
      </c>
      <c r="D98" s="258" t="str">
        <f>VLOOKUP(A98,'Data Pegawai'!B:P,3,FALSE)</f>
        <v>Dosen</v>
      </c>
      <c r="E98" s="265">
        <f>VLOOKUP(A98,'Data Pegawai'!B:P,13,FALSE)</f>
        <v>43101</v>
      </c>
      <c r="F98" s="265">
        <f ca="1">IF(VLOOKUP(A98,'Data Pegawai'!B:P,14,FALSE)=0,EOMONTH(TODAY(),0),VLOOKUP(A98,'Data Pegawai'!B:P,13,FALSE))</f>
        <v>46053</v>
      </c>
      <c r="G98">
        <f t="shared" ca="1" si="21"/>
        <v>1</v>
      </c>
      <c r="H98">
        <f t="shared" ca="1" si="23"/>
        <v>1</v>
      </c>
      <c r="I98">
        <f t="shared" ca="1" si="23"/>
        <v>1</v>
      </c>
      <c r="J98">
        <f t="shared" ca="1" si="23"/>
        <v>1</v>
      </c>
      <c r="K98">
        <f t="shared" ca="1" si="23"/>
        <v>1</v>
      </c>
      <c r="L98">
        <f t="shared" ca="1" si="23"/>
        <v>1</v>
      </c>
      <c r="M98">
        <f t="shared" ca="1" si="23"/>
        <v>1</v>
      </c>
      <c r="N98">
        <f t="shared" ca="1" si="23"/>
        <v>1</v>
      </c>
      <c r="O98">
        <f t="shared" ca="1" si="23"/>
        <v>1</v>
      </c>
      <c r="P98">
        <f t="shared" ca="1" si="23"/>
        <v>1</v>
      </c>
      <c r="Q98">
        <f t="shared" ca="1" si="23"/>
        <v>1</v>
      </c>
      <c r="R98">
        <f t="shared" ca="1" si="23"/>
        <v>1</v>
      </c>
      <c r="S98">
        <f t="shared" ca="1" si="23"/>
        <v>1</v>
      </c>
      <c r="T98">
        <f t="shared" ca="1" si="23"/>
        <v>1</v>
      </c>
      <c r="U98">
        <f t="shared" ca="1" si="23"/>
        <v>1</v>
      </c>
      <c r="V98">
        <f t="shared" ca="1" si="23"/>
        <v>1</v>
      </c>
      <c r="W98">
        <f t="shared" ca="1" si="22"/>
        <v>1</v>
      </c>
      <c r="X98">
        <f t="shared" ca="1" si="22"/>
        <v>1</v>
      </c>
      <c r="Y98">
        <f t="shared" ca="1" si="22"/>
        <v>1</v>
      </c>
      <c r="Z98">
        <f t="shared" ca="1" si="22"/>
        <v>1</v>
      </c>
      <c r="AA98">
        <f t="shared" ca="1" si="22"/>
        <v>0</v>
      </c>
    </row>
    <row r="99" spans="1:27" ht="18">
      <c r="A99" s="258" t="s">
        <v>442</v>
      </c>
      <c r="B99" s="258" t="str">
        <f>VLOOKUP(A99,'Data Pegawai'!B:P,2,FALSE)</f>
        <v>Aktif</v>
      </c>
      <c r="C99" s="258" t="str">
        <f>VLOOKUP(A99,'Data Pegawai'!B:P,4,FALSE)</f>
        <v>AA</v>
      </c>
      <c r="D99" s="258" t="str">
        <f>VLOOKUP(A99,'Data Pegawai'!B:P,3,FALSE)</f>
        <v>Dosen</v>
      </c>
      <c r="E99" s="265">
        <f>VLOOKUP(A99,'Data Pegawai'!B:P,13,FALSE)</f>
        <v>45170</v>
      </c>
      <c r="F99" s="265">
        <f ca="1">IF(VLOOKUP(A99,'Data Pegawai'!B:P,14,FALSE)=0,EOMONTH(TODAY(),0),VLOOKUP(A99,'Data Pegawai'!B:P,13,FALSE))</f>
        <v>46053</v>
      </c>
      <c r="G99">
        <f t="shared" ca="1" si="21"/>
        <v>1</v>
      </c>
      <c r="H99">
        <f t="shared" ca="1" si="23"/>
        <v>1</v>
      </c>
      <c r="I99">
        <f t="shared" ca="1" si="23"/>
        <v>1</v>
      </c>
      <c r="J99">
        <f t="shared" ca="1" si="23"/>
        <v>1</v>
      </c>
      <c r="K99">
        <f t="shared" ca="1" si="23"/>
        <v>1</v>
      </c>
      <c r="L99">
        <f t="shared" ca="1" si="23"/>
        <v>1</v>
      </c>
      <c r="M99">
        <f t="shared" ca="1" si="23"/>
        <v>1</v>
      </c>
      <c r="N99">
        <f t="shared" ca="1" si="23"/>
        <v>1</v>
      </c>
      <c r="O99">
        <f t="shared" ca="1" si="23"/>
        <v>1</v>
      </c>
      <c r="P99">
        <f t="shared" ca="1" si="23"/>
        <v>1</v>
      </c>
      <c r="Q99">
        <f t="shared" ca="1" si="23"/>
        <v>1</v>
      </c>
      <c r="R99">
        <f t="shared" ca="1" si="23"/>
        <v>1</v>
      </c>
      <c r="S99">
        <f t="shared" ca="1" si="23"/>
        <v>0</v>
      </c>
      <c r="T99">
        <f t="shared" ca="1" si="23"/>
        <v>0</v>
      </c>
      <c r="U99">
        <f t="shared" ca="1" si="23"/>
        <v>0</v>
      </c>
      <c r="V99">
        <f t="shared" ca="1" si="23"/>
        <v>0</v>
      </c>
      <c r="W99">
        <f t="shared" ca="1" si="22"/>
        <v>0</v>
      </c>
      <c r="X99">
        <f t="shared" ca="1" si="22"/>
        <v>1</v>
      </c>
      <c r="Y99">
        <f t="shared" ca="1" si="22"/>
        <v>1</v>
      </c>
      <c r="Z99">
        <f t="shared" ca="1" si="22"/>
        <v>1</v>
      </c>
      <c r="AA99">
        <f t="shared" ca="1" si="22"/>
        <v>0</v>
      </c>
    </row>
    <row r="100" spans="1:27" ht="18">
      <c r="A100" s="258" t="s">
        <v>447</v>
      </c>
      <c r="B100" s="258" t="str">
        <f>VLOOKUP(A100,'Data Pegawai'!B:P,2,FALSE)</f>
        <v>Aktif</v>
      </c>
      <c r="C100" s="258" t="str">
        <f>VLOOKUP(A100,'Data Pegawai'!B:P,4,FALSE)</f>
        <v>L</v>
      </c>
      <c r="D100" s="258" t="str">
        <f>VLOOKUP(A100,'Data Pegawai'!B:P,3,FALSE)</f>
        <v>Dosen</v>
      </c>
      <c r="E100" s="265">
        <f>VLOOKUP(A100,'Data Pegawai'!B:P,13,FALSE)</f>
        <v>43282</v>
      </c>
      <c r="F100" s="265">
        <f ca="1">IF(VLOOKUP(A100,'Data Pegawai'!B:P,14,FALSE)=0,EOMONTH(TODAY(),0),VLOOKUP(A100,'Data Pegawai'!B:P,13,FALSE))</f>
        <v>46053</v>
      </c>
      <c r="G100">
        <f t="shared" ca="1" si="21"/>
        <v>1</v>
      </c>
      <c r="H100">
        <f t="shared" ca="1" si="23"/>
        <v>1</v>
      </c>
      <c r="I100">
        <f t="shared" ca="1" si="23"/>
        <v>1</v>
      </c>
      <c r="J100">
        <f t="shared" ca="1" si="23"/>
        <v>1</v>
      </c>
      <c r="K100">
        <f t="shared" ca="1" si="23"/>
        <v>1</v>
      </c>
      <c r="L100">
        <f t="shared" ca="1" si="23"/>
        <v>1</v>
      </c>
      <c r="M100">
        <f t="shared" ca="1" si="23"/>
        <v>1</v>
      </c>
      <c r="N100">
        <f t="shared" ca="1" si="23"/>
        <v>1</v>
      </c>
      <c r="O100">
        <f t="shared" ca="1" si="23"/>
        <v>1</v>
      </c>
      <c r="P100">
        <f t="shared" ca="1" si="23"/>
        <v>1</v>
      </c>
      <c r="Q100">
        <f t="shared" ca="1" si="23"/>
        <v>1</v>
      </c>
      <c r="R100">
        <f t="shared" ca="1" si="23"/>
        <v>1</v>
      </c>
      <c r="S100">
        <f t="shared" ca="1" si="23"/>
        <v>1</v>
      </c>
      <c r="T100">
        <f t="shared" ca="1" si="23"/>
        <v>1</v>
      </c>
      <c r="U100">
        <f t="shared" ca="1" si="23"/>
        <v>1</v>
      </c>
      <c r="V100">
        <f t="shared" ca="1" si="23"/>
        <v>1</v>
      </c>
      <c r="W100">
        <f t="shared" ca="1" si="22"/>
        <v>1</v>
      </c>
      <c r="X100">
        <f t="shared" ca="1" si="22"/>
        <v>1</v>
      </c>
      <c r="Y100">
        <f t="shared" ca="1" si="22"/>
        <v>1</v>
      </c>
      <c r="Z100">
        <f t="shared" ca="1" si="22"/>
        <v>1</v>
      </c>
      <c r="AA100">
        <f t="shared" ca="1" si="22"/>
        <v>0</v>
      </c>
    </row>
    <row r="101" spans="1:27" ht="18">
      <c r="A101" s="258" t="s">
        <v>453</v>
      </c>
      <c r="B101" s="258" t="str">
        <f>VLOOKUP(A101,'Data Pegawai'!B:P,2,FALSE)</f>
        <v>Aktif</v>
      </c>
      <c r="C101" s="258" t="str">
        <f>VLOOKUP(A101,'Data Pegawai'!B:P,4,FALSE)</f>
        <v>L</v>
      </c>
      <c r="D101" s="258" t="str">
        <f>VLOOKUP(A101,'Data Pegawai'!B:P,3,FALSE)</f>
        <v>Dosen</v>
      </c>
      <c r="E101" s="265">
        <f>VLOOKUP(A101,'Data Pegawai'!B:P,13,FALSE)</f>
        <v>45689</v>
      </c>
      <c r="F101" s="265">
        <f ca="1">IF(VLOOKUP(A101,'Data Pegawai'!B:P,14,FALSE)=0,EOMONTH(TODAY(),0),VLOOKUP(A101,'Data Pegawai'!B:P,13,FALSE))</f>
        <v>46053</v>
      </c>
      <c r="G101">
        <f t="shared" ca="1" si="21"/>
        <v>0</v>
      </c>
      <c r="H101">
        <f t="shared" ca="1" si="23"/>
        <v>1</v>
      </c>
      <c r="I101">
        <f t="shared" ca="1" si="23"/>
        <v>1</v>
      </c>
      <c r="J101">
        <f t="shared" ca="1" si="23"/>
        <v>1</v>
      </c>
      <c r="K101">
        <f t="shared" ca="1" si="23"/>
        <v>1</v>
      </c>
      <c r="L101">
        <f t="shared" ca="1" si="23"/>
        <v>1</v>
      </c>
      <c r="M101">
        <f t="shared" ca="1" si="23"/>
        <v>1</v>
      </c>
      <c r="N101">
        <f t="shared" ca="1" si="23"/>
        <v>1</v>
      </c>
      <c r="O101">
        <f t="shared" ca="1" si="23"/>
        <v>1</v>
      </c>
      <c r="P101">
        <f t="shared" ca="1" si="23"/>
        <v>1</v>
      </c>
      <c r="Q101">
        <f t="shared" ca="1" si="23"/>
        <v>1</v>
      </c>
      <c r="R101">
        <f t="shared" ca="1" si="23"/>
        <v>1</v>
      </c>
      <c r="S101">
        <f t="shared" ca="1" si="23"/>
        <v>0</v>
      </c>
      <c r="T101">
        <f t="shared" ca="1" si="23"/>
        <v>0</v>
      </c>
      <c r="U101">
        <f t="shared" ca="1" si="23"/>
        <v>0</v>
      </c>
      <c r="V101">
        <f t="shared" ref="V101:AA116" ca="1" si="24">IF(AND(V$3&gt;=$E101,V$3&lt;=$F101),1,0)</f>
        <v>0</v>
      </c>
      <c r="W101">
        <f t="shared" ca="1" si="24"/>
        <v>0</v>
      </c>
      <c r="X101">
        <f t="shared" ca="1" si="24"/>
        <v>0</v>
      </c>
      <c r="Y101">
        <f t="shared" ca="1" si="24"/>
        <v>0</v>
      </c>
      <c r="Z101">
        <f t="shared" ca="1" si="24"/>
        <v>1</v>
      </c>
      <c r="AA101">
        <f t="shared" ca="1" si="24"/>
        <v>0</v>
      </c>
    </row>
    <row r="102" spans="1:27" ht="18">
      <c r="A102" s="258" t="s">
        <v>457</v>
      </c>
      <c r="B102" s="258" t="str">
        <f>VLOOKUP(A102,'Data Pegawai'!B:P,2,FALSE)</f>
        <v>Non-Aktif</v>
      </c>
      <c r="C102" s="258" t="str">
        <f>VLOOKUP(A102,'Data Pegawai'!B:P,4,FALSE)</f>
        <v>NJAD</v>
      </c>
      <c r="D102" s="258" t="str">
        <f>VLOOKUP(A102,'Data Pegawai'!B:P,3,FALSE)</f>
        <v>Dosen</v>
      </c>
      <c r="E102" s="265">
        <f>VLOOKUP(A102,'Data Pegawai'!B:P,13,FALSE)</f>
        <v>44166</v>
      </c>
      <c r="F102" s="265">
        <f ca="1">IF(VLOOKUP(A102,'Data Pegawai'!B:P,14,FALSE)=0,EOMONTH(TODAY(),0),VLOOKUP(A102,'Data Pegawai'!B:P,13,FALSE))</f>
        <v>44166</v>
      </c>
      <c r="G102">
        <f t="shared" ca="1" si="21"/>
        <v>0</v>
      </c>
      <c r="H102">
        <f t="shared" ref="H102:V117" ca="1" si="25">IF(AND(H$3&gt;=$E102,H$3&lt;=$F102),1,0)</f>
        <v>0</v>
      </c>
      <c r="I102">
        <f t="shared" ca="1" si="25"/>
        <v>0</v>
      </c>
      <c r="J102">
        <f t="shared" ca="1" si="25"/>
        <v>0</v>
      </c>
      <c r="K102">
        <f t="shared" ca="1" si="25"/>
        <v>0</v>
      </c>
      <c r="L102">
        <f t="shared" ca="1" si="25"/>
        <v>0</v>
      </c>
      <c r="M102">
        <f t="shared" ca="1" si="25"/>
        <v>0</v>
      </c>
      <c r="N102">
        <f t="shared" ca="1" si="25"/>
        <v>0</v>
      </c>
      <c r="O102">
        <f t="shared" ca="1" si="25"/>
        <v>0</v>
      </c>
      <c r="P102">
        <f t="shared" ca="1" si="25"/>
        <v>0</v>
      </c>
      <c r="Q102">
        <f t="shared" ca="1" si="25"/>
        <v>0</v>
      </c>
      <c r="R102">
        <f t="shared" ca="1" si="25"/>
        <v>0</v>
      </c>
      <c r="S102">
        <f t="shared" ca="1" si="25"/>
        <v>0</v>
      </c>
      <c r="T102">
        <f t="shared" ca="1" si="25"/>
        <v>0</v>
      </c>
      <c r="U102">
        <f t="shared" ca="1" si="25"/>
        <v>0</v>
      </c>
      <c r="V102">
        <f t="shared" ca="1" si="25"/>
        <v>0</v>
      </c>
      <c r="W102">
        <f t="shared" ca="1" si="24"/>
        <v>0</v>
      </c>
      <c r="X102">
        <f t="shared" ca="1" si="24"/>
        <v>0</v>
      </c>
      <c r="Y102">
        <f t="shared" ca="1" si="24"/>
        <v>0</v>
      </c>
      <c r="Z102">
        <f t="shared" ca="1" si="24"/>
        <v>0</v>
      </c>
      <c r="AA102">
        <f t="shared" ca="1" si="24"/>
        <v>0</v>
      </c>
    </row>
    <row r="103" spans="1:27" ht="18">
      <c r="A103" s="258" t="s">
        <v>461</v>
      </c>
      <c r="B103" s="258" t="str">
        <f>VLOOKUP(A103,'Data Pegawai'!B:P,2,FALSE)</f>
        <v>Aktif</v>
      </c>
      <c r="C103" s="258" t="str">
        <f>VLOOKUP(A103,'Data Pegawai'!B:P,4,FALSE)</f>
        <v>AA</v>
      </c>
      <c r="D103" s="258" t="str">
        <f>VLOOKUP(A103,'Data Pegawai'!B:P,3,FALSE)</f>
        <v>Dosen</v>
      </c>
      <c r="E103" s="265">
        <f>VLOOKUP(A103,'Data Pegawai'!B:P,13,FALSE)</f>
        <v>44166</v>
      </c>
      <c r="F103" s="265">
        <f ca="1">IF(VLOOKUP(A103,'Data Pegawai'!B:P,14,FALSE)=0,EOMONTH(TODAY(),0),VLOOKUP(A103,'Data Pegawai'!B:P,13,FALSE))</f>
        <v>46053</v>
      </c>
      <c r="G103">
        <f t="shared" ca="1" si="21"/>
        <v>1</v>
      </c>
      <c r="H103">
        <f t="shared" ca="1" si="25"/>
        <v>1</v>
      </c>
      <c r="I103">
        <f t="shared" ca="1" si="25"/>
        <v>1</v>
      </c>
      <c r="J103">
        <f t="shared" ca="1" si="25"/>
        <v>1</v>
      </c>
      <c r="K103">
        <f t="shared" ca="1" si="25"/>
        <v>1</v>
      </c>
      <c r="L103">
        <f t="shared" ca="1" si="25"/>
        <v>1</v>
      </c>
      <c r="M103">
        <f t="shared" ca="1" si="25"/>
        <v>1</v>
      </c>
      <c r="N103">
        <f t="shared" ca="1" si="25"/>
        <v>1</v>
      </c>
      <c r="O103">
        <f t="shared" ca="1" si="25"/>
        <v>1</v>
      </c>
      <c r="P103">
        <f t="shared" ca="1" si="25"/>
        <v>1</v>
      </c>
      <c r="Q103">
        <f t="shared" ca="1" si="25"/>
        <v>1</v>
      </c>
      <c r="R103">
        <f t="shared" ca="1" si="25"/>
        <v>1</v>
      </c>
      <c r="S103">
        <f t="shared" ca="1" si="25"/>
        <v>0</v>
      </c>
      <c r="T103">
        <f t="shared" ca="1" si="25"/>
        <v>0</v>
      </c>
      <c r="U103">
        <f t="shared" ca="1" si="25"/>
        <v>1</v>
      </c>
      <c r="V103">
        <f t="shared" ca="1" si="25"/>
        <v>1</v>
      </c>
      <c r="W103">
        <f t="shared" ca="1" si="24"/>
        <v>1</v>
      </c>
      <c r="X103">
        <f t="shared" ca="1" si="24"/>
        <v>1</v>
      </c>
      <c r="Y103">
        <f t="shared" ca="1" si="24"/>
        <v>1</v>
      </c>
      <c r="Z103">
        <f t="shared" ca="1" si="24"/>
        <v>1</v>
      </c>
      <c r="AA103">
        <f t="shared" ca="1" si="24"/>
        <v>0</v>
      </c>
    </row>
    <row r="104" spans="1:27" ht="18">
      <c r="A104" s="258" t="s">
        <v>465</v>
      </c>
      <c r="B104" s="258" t="str">
        <f>VLOOKUP(A104,'Data Pegawai'!B:P,2,FALSE)</f>
        <v>Aktif</v>
      </c>
      <c r="C104" s="258" t="str">
        <f>VLOOKUP(A104,'Data Pegawai'!B:P,4,FALSE)</f>
        <v>L</v>
      </c>
      <c r="D104" s="258" t="str">
        <f>VLOOKUP(A104,'Data Pegawai'!B:P,3,FALSE)</f>
        <v>Dosen</v>
      </c>
      <c r="E104" s="265">
        <f>VLOOKUP(A104,'Data Pegawai'!B:P,13,FALSE)</f>
        <v>44166</v>
      </c>
      <c r="F104" s="265">
        <f ca="1">IF(VLOOKUP(A104,'Data Pegawai'!B:P,14,FALSE)=0,EOMONTH(TODAY(),0),VLOOKUP(A104,'Data Pegawai'!B:P,13,FALSE))</f>
        <v>46053</v>
      </c>
      <c r="G104">
        <f t="shared" ca="1" si="21"/>
        <v>1</v>
      </c>
      <c r="H104">
        <f t="shared" ca="1" si="25"/>
        <v>1</v>
      </c>
      <c r="I104">
        <f t="shared" ca="1" si="25"/>
        <v>1</v>
      </c>
      <c r="J104">
        <f t="shared" ca="1" si="25"/>
        <v>1</v>
      </c>
      <c r="K104">
        <f t="shared" ca="1" si="25"/>
        <v>1</v>
      </c>
      <c r="L104">
        <f t="shared" ca="1" si="25"/>
        <v>1</v>
      </c>
      <c r="M104">
        <f t="shared" ca="1" si="25"/>
        <v>1</v>
      </c>
      <c r="N104">
        <f t="shared" ca="1" si="25"/>
        <v>1</v>
      </c>
      <c r="O104">
        <f t="shared" ca="1" si="25"/>
        <v>1</v>
      </c>
      <c r="P104">
        <f t="shared" ca="1" si="25"/>
        <v>1</v>
      </c>
      <c r="Q104">
        <f t="shared" ca="1" si="25"/>
        <v>1</v>
      </c>
      <c r="R104">
        <f t="shared" ca="1" si="25"/>
        <v>1</v>
      </c>
      <c r="S104">
        <f t="shared" ca="1" si="25"/>
        <v>0</v>
      </c>
      <c r="T104">
        <f t="shared" ca="1" si="25"/>
        <v>0</v>
      </c>
      <c r="U104">
        <f t="shared" ca="1" si="25"/>
        <v>1</v>
      </c>
      <c r="V104">
        <f t="shared" ca="1" si="25"/>
        <v>1</v>
      </c>
      <c r="W104">
        <f t="shared" ca="1" si="24"/>
        <v>1</v>
      </c>
      <c r="X104">
        <f t="shared" ca="1" si="24"/>
        <v>1</v>
      </c>
      <c r="Y104">
        <f t="shared" ca="1" si="24"/>
        <v>1</v>
      </c>
      <c r="Z104">
        <f t="shared" ca="1" si="24"/>
        <v>1</v>
      </c>
      <c r="AA104">
        <f t="shared" ca="1" si="24"/>
        <v>0</v>
      </c>
    </row>
    <row r="105" spans="1:27" ht="18">
      <c r="A105" s="258" t="s">
        <v>469</v>
      </c>
      <c r="B105" s="258" t="str">
        <f>VLOOKUP(A105,'Data Pegawai'!B:P,2,FALSE)</f>
        <v>Aktif</v>
      </c>
      <c r="C105" s="258" t="str">
        <f>VLOOKUP(A105,'Data Pegawai'!B:P,4,FALSE)</f>
        <v>AA</v>
      </c>
      <c r="D105" s="258" t="str">
        <f>VLOOKUP(A105,'Data Pegawai'!B:P,3,FALSE)</f>
        <v>Dosen</v>
      </c>
      <c r="E105" s="265">
        <f>VLOOKUP(A105,'Data Pegawai'!B:P,13,FALSE)</f>
        <v>44166</v>
      </c>
      <c r="F105" s="265">
        <f ca="1">IF(VLOOKUP(A105,'Data Pegawai'!B:P,14,FALSE)=0,EOMONTH(TODAY(),0),VLOOKUP(A105,'Data Pegawai'!B:P,13,FALSE))</f>
        <v>46053</v>
      </c>
      <c r="G105">
        <f t="shared" ca="1" si="21"/>
        <v>1</v>
      </c>
      <c r="H105">
        <f t="shared" ca="1" si="25"/>
        <v>1</v>
      </c>
      <c r="I105">
        <f t="shared" ca="1" si="25"/>
        <v>1</v>
      </c>
      <c r="J105">
        <f t="shared" ca="1" si="25"/>
        <v>1</v>
      </c>
      <c r="K105">
        <f t="shared" ca="1" si="25"/>
        <v>1</v>
      </c>
      <c r="L105">
        <f t="shared" ca="1" si="25"/>
        <v>1</v>
      </c>
      <c r="M105">
        <f t="shared" ca="1" si="25"/>
        <v>1</v>
      </c>
      <c r="N105">
        <f t="shared" ca="1" si="25"/>
        <v>1</v>
      </c>
      <c r="O105">
        <f t="shared" ca="1" si="25"/>
        <v>1</v>
      </c>
      <c r="P105">
        <f t="shared" ca="1" si="25"/>
        <v>1</v>
      </c>
      <c r="Q105">
        <f t="shared" ca="1" si="25"/>
        <v>1</v>
      </c>
      <c r="R105">
        <f t="shared" ca="1" si="25"/>
        <v>1</v>
      </c>
      <c r="S105">
        <f t="shared" ca="1" si="25"/>
        <v>0</v>
      </c>
      <c r="T105">
        <f t="shared" ca="1" si="25"/>
        <v>0</v>
      </c>
      <c r="U105">
        <f t="shared" ca="1" si="25"/>
        <v>1</v>
      </c>
      <c r="V105">
        <f t="shared" ca="1" si="25"/>
        <v>1</v>
      </c>
      <c r="W105">
        <f t="shared" ca="1" si="24"/>
        <v>1</v>
      </c>
      <c r="X105">
        <f t="shared" ca="1" si="24"/>
        <v>1</v>
      </c>
      <c r="Y105">
        <f t="shared" ca="1" si="24"/>
        <v>1</v>
      </c>
      <c r="Z105">
        <f t="shared" ca="1" si="24"/>
        <v>1</v>
      </c>
      <c r="AA105">
        <f t="shared" ca="1" si="24"/>
        <v>0</v>
      </c>
    </row>
    <row r="106" spans="1:27" ht="18">
      <c r="A106" s="258" t="s">
        <v>473</v>
      </c>
      <c r="B106" s="258" t="str">
        <f>VLOOKUP(A106,'Data Pegawai'!B:P,2,FALSE)</f>
        <v>Non-Aktif</v>
      </c>
      <c r="C106" s="258" t="str">
        <f>VLOOKUP(A106,'Data Pegawai'!B:P,4,FALSE)</f>
        <v> </v>
      </c>
      <c r="D106" s="258" t="str">
        <f>VLOOKUP(A106,'Data Pegawai'!B:P,3,FALSE)</f>
        <v>Dosen</v>
      </c>
      <c r="E106" s="265">
        <f>VLOOKUP(A106,'Data Pegawai'!B:P,13,FALSE)</f>
        <v>44166</v>
      </c>
      <c r="F106" s="265">
        <f ca="1">IF(VLOOKUP(A106,'Data Pegawai'!B:P,14,FALSE)=0,EOMONTH(TODAY(),0),VLOOKUP(A106,'Data Pegawai'!B:P,13,FALSE))</f>
        <v>44166</v>
      </c>
      <c r="G106">
        <f t="shared" ca="1" si="21"/>
        <v>0</v>
      </c>
      <c r="H106">
        <f t="shared" ca="1" si="25"/>
        <v>0</v>
      </c>
      <c r="I106">
        <f t="shared" ca="1" si="25"/>
        <v>0</v>
      </c>
      <c r="J106">
        <f t="shared" ca="1" si="25"/>
        <v>0</v>
      </c>
      <c r="K106">
        <f t="shared" ca="1" si="25"/>
        <v>0</v>
      </c>
      <c r="L106">
        <f t="shared" ca="1" si="25"/>
        <v>0</v>
      </c>
      <c r="M106">
        <f t="shared" ca="1" si="25"/>
        <v>0</v>
      </c>
      <c r="N106">
        <f t="shared" ca="1" si="25"/>
        <v>0</v>
      </c>
      <c r="O106">
        <f t="shared" ca="1" si="25"/>
        <v>0</v>
      </c>
      <c r="P106">
        <f t="shared" ca="1" si="25"/>
        <v>0</v>
      </c>
      <c r="Q106">
        <f t="shared" ca="1" si="25"/>
        <v>0</v>
      </c>
      <c r="R106">
        <f t="shared" ca="1" si="25"/>
        <v>0</v>
      </c>
      <c r="S106">
        <f t="shared" ca="1" si="25"/>
        <v>0</v>
      </c>
      <c r="T106">
        <f t="shared" ca="1" si="25"/>
        <v>0</v>
      </c>
      <c r="U106">
        <f t="shared" ca="1" si="25"/>
        <v>0</v>
      </c>
      <c r="V106">
        <f t="shared" ca="1" si="25"/>
        <v>0</v>
      </c>
      <c r="W106">
        <f t="shared" ca="1" si="24"/>
        <v>0</v>
      </c>
      <c r="X106">
        <f t="shared" ca="1" si="24"/>
        <v>0</v>
      </c>
      <c r="Y106">
        <f t="shared" ca="1" si="24"/>
        <v>0</v>
      </c>
      <c r="Z106">
        <f t="shared" ca="1" si="24"/>
        <v>0</v>
      </c>
      <c r="AA106">
        <f t="shared" ca="1" si="24"/>
        <v>0</v>
      </c>
    </row>
    <row r="107" spans="1:27" ht="18">
      <c r="A107" s="258" t="s">
        <v>474</v>
      </c>
      <c r="B107" s="258" t="str">
        <f>VLOOKUP(A107,'Data Pegawai'!B:P,2,FALSE)</f>
        <v>Aktif</v>
      </c>
      <c r="C107" s="258" t="str">
        <f>VLOOKUP(A107,'Data Pegawai'!B:P,4,FALSE)</f>
        <v>AA</v>
      </c>
      <c r="D107" s="258" t="str">
        <f>VLOOKUP(A107,'Data Pegawai'!B:P,3,FALSE)</f>
        <v>Dosen</v>
      </c>
      <c r="E107" s="265">
        <f>VLOOKUP(A107,'Data Pegawai'!B:P,13,FALSE)</f>
        <v>43101</v>
      </c>
      <c r="F107" s="265">
        <f ca="1">IF(VLOOKUP(A107,'Data Pegawai'!B:P,14,FALSE)=0,EOMONTH(TODAY(),0),VLOOKUP(A107,'Data Pegawai'!B:P,13,FALSE))</f>
        <v>46053</v>
      </c>
      <c r="G107">
        <f t="shared" ca="1" si="21"/>
        <v>1</v>
      </c>
      <c r="H107">
        <f t="shared" ca="1" si="25"/>
        <v>1</v>
      </c>
      <c r="I107">
        <f t="shared" ca="1" si="25"/>
        <v>1</v>
      </c>
      <c r="J107">
        <f t="shared" ca="1" si="25"/>
        <v>1</v>
      </c>
      <c r="K107">
        <f t="shared" ca="1" si="25"/>
        <v>1</v>
      </c>
      <c r="L107">
        <f t="shared" ca="1" si="25"/>
        <v>1</v>
      </c>
      <c r="M107">
        <f t="shared" ca="1" si="25"/>
        <v>1</v>
      </c>
      <c r="N107">
        <f t="shared" ca="1" si="25"/>
        <v>1</v>
      </c>
      <c r="O107">
        <f t="shared" ca="1" si="25"/>
        <v>1</v>
      </c>
      <c r="P107">
        <f t="shared" ca="1" si="25"/>
        <v>1</v>
      </c>
      <c r="Q107">
        <f t="shared" ca="1" si="25"/>
        <v>1</v>
      </c>
      <c r="R107">
        <f t="shared" ca="1" si="25"/>
        <v>1</v>
      </c>
      <c r="S107">
        <f t="shared" ca="1" si="25"/>
        <v>1</v>
      </c>
      <c r="T107">
        <f t="shared" ca="1" si="25"/>
        <v>1</v>
      </c>
      <c r="U107">
        <f t="shared" ca="1" si="25"/>
        <v>1</v>
      </c>
      <c r="V107">
        <f t="shared" ca="1" si="25"/>
        <v>1</v>
      </c>
      <c r="W107">
        <f t="shared" ca="1" si="24"/>
        <v>1</v>
      </c>
      <c r="X107">
        <f t="shared" ca="1" si="24"/>
        <v>1</v>
      </c>
      <c r="Y107">
        <f t="shared" ca="1" si="24"/>
        <v>1</v>
      </c>
      <c r="Z107">
        <f t="shared" ca="1" si="24"/>
        <v>1</v>
      </c>
      <c r="AA107">
        <f t="shared" ca="1" si="24"/>
        <v>0</v>
      </c>
    </row>
    <row r="108" spans="1:27" ht="18">
      <c r="A108" s="258" t="s">
        <v>480</v>
      </c>
      <c r="B108" s="258" t="str">
        <f>VLOOKUP(A108,'Data Pegawai'!B:P,2,FALSE)</f>
        <v>Aktif</v>
      </c>
      <c r="C108" s="258" t="str">
        <f>VLOOKUP(A108,'Data Pegawai'!B:P,4,FALSE)</f>
        <v>AA</v>
      </c>
      <c r="D108" s="258" t="str">
        <f>VLOOKUP(A108,'Data Pegawai'!B:P,3,FALSE)</f>
        <v>Dosen</v>
      </c>
      <c r="E108" s="265">
        <f>VLOOKUP(A108,'Data Pegawai'!B:P,13,FALSE)</f>
        <v>43101</v>
      </c>
      <c r="F108" s="265">
        <f ca="1">IF(VLOOKUP(A108,'Data Pegawai'!B:P,14,FALSE)=0,EOMONTH(TODAY(),0),VLOOKUP(A108,'Data Pegawai'!B:P,13,FALSE))</f>
        <v>46053</v>
      </c>
      <c r="G108">
        <f t="shared" ca="1" si="21"/>
        <v>1</v>
      </c>
      <c r="H108">
        <f t="shared" ca="1" si="25"/>
        <v>1</v>
      </c>
      <c r="I108">
        <f t="shared" ca="1" si="25"/>
        <v>1</v>
      </c>
      <c r="J108">
        <f t="shared" ca="1" si="25"/>
        <v>1</v>
      </c>
      <c r="K108">
        <f t="shared" ca="1" si="25"/>
        <v>1</v>
      </c>
      <c r="L108">
        <f t="shared" ca="1" si="25"/>
        <v>1</v>
      </c>
      <c r="M108">
        <f t="shared" ca="1" si="25"/>
        <v>1</v>
      </c>
      <c r="N108">
        <f t="shared" ca="1" si="25"/>
        <v>1</v>
      </c>
      <c r="O108">
        <f t="shared" ca="1" si="25"/>
        <v>1</v>
      </c>
      <c r="P108">
        <f t="shared" ca="1" si="25"/>
        <v>1</v>
      </c>
      <c r="Q108">
        <f t="shared" ca="1" si="25"/>
        <v>1</v>
      </c>
      <c r="R108">
        <f t="shared" ca="1" si="25"/>
        <v>1</v>
      </c>
      <c r="S108">
        <f t="shared" ca="1" si="25"/>
        <v>1</v>
      </c>
      <c r="T108">
        <f t="shared" ca="1" si="25"/>
        <v>1</v>
      </c>
      <c r="U108">
        <f t="shared" ca="1" si="25"/>
        <v>1</v>
      </c>
      <c r="V108">
        <f t="shared" ca="1" si="25"/>
        <v>1</v>
      </c>
      <c r="W108">
        <f t="shared" ca="1" si="24"/>
        <v>1</v>
      </c>
      <c r="X108">
        <f t="shared" ca="1" si="24"/>
        <v>1</v>
      </c>
      <c r="Y108">
        <f t="shared" ca="1" si="24"/>
        <v>1</v>
      </c>
      <c r="Z108">
        <f t="shared" ca="1" si="24"/>
        <v>1</v>
      </c>
      <c r="AA108">
        <f t="shared" ca="1" si="24"/>
        <v>0</v>
      </c>
    </row>
    <row r="109" spans="1:27" ht="18">
      <c r="A109" s="258" t="s">
        <v>484</v>
      </c>
      <c r="B109" s="258" t="str">
        <f>VLOOKUP(A109,'Data Pegawai'!B:P,2,FALSE)</f>
        <v>Aktif</v>
      </c>
      <c r="C109" s="258" t="str">
        <f>VLOOKUP(A109,'Data Pegawai'!B:P,4,FALSE)</f>
        <v>AA</v>
      </c>
      <c r="D109" s="258" t="str">
        <f>VLOOKUP(A109,'Data Pegawai'!B:P,3,FALSE)</f>
        <v>Dosen</v>
      </c>
      <c r="E109" s="265">
        <f>VLOOKUP(A109,'Data Pegawai'!B:P,13,FALSE)</f>
        <v>43101</v>
      </c>
      <c r="F109" s="265">
        <f ca="1">IF(VLOOKUP(A109,'Data Pegawai'!B:P,14,FALSE)=0,EOMONTH(TODAY(),0),VLOOKUP(A109,'Data Pegawai'!B:P,13,FALSE))</f>
        <v>46053</v>
      </c>
      <c r="G109">
        <f t="shared" ca="1" si="21"/>
        <v>1</v>
      </c>
      <c r="H109">
        <f t="shared" ca="1" si="25"/>
        <v>1</v>
      </c>
      <c r="I109">
        <f t="shared" ca="1" si="25"/>
        <v>1</v>
      </c>
      <c r="J109">
        <f t="shared" ca="1" si="25"/>
        <v>1</v>
      </c>
      <c r="K109">
        <f t="shared" ca="1" si="25"/>
        <v>1</v>
      </c>
      <c r="L109">
        <f t="shared" ca="1" si="25"/>
        <v>1</v>
      </c>
      <c r="M109">
        <f t="shared" ca="1" si="25"/>
        <v>1</v>
      </c>
      <c r="N109">
        <f t="shared" ca="1" si="25"/>
        <v>1</v>
      </c>
      <c r="O109">
        <f t="shared" ca="1" si="25"/>
        <v>1</v>
      </c>
      <c r="P109">
        <f t="shared" ca="1" si="25"/>
        <v>1</v>
      </c>
      <c r="Q109">
        <f t="shared" ca="1" si="25"/>
        <v>1</v>
      </c>
      <c r="R109">
        <f t="shared" ca="1" si="25"/>
        <v>1</v>
      </c>
      <c r="S109">
        <f t="shared" ca="1" si="25"/>
        <v>1</v>
      </c>
      <c r="T109">
        <f t="shared" ca="1" si="25"/>
        <v>1</v>
      </c>
      <c r="U109">
        <f t="shared" ca="1" si="25"/>
        <v>1</v>
      </c>
      <c r="V109">
        <f t="shared" ca="1" si="25"/>
        <v>1</v>
      </c>
      <c r="W109">
        <f t="shared" ca="1" si="24"/>
        <v>1</v>
      </c>
      <c r="X109">
        <f t="shared" ca="1" si="24"/>
        <v>1</v>
      </c>
      <c r="Y109">
        <f t="shared" ca="1" si="24"/>
        <v>1</v>
      </c>
      <c r="Z109">
        <f t="shared" ca="1" si="24"/>
        <v>1</v>
      </c>
      <c r="AA109">
        <f t="shared" ca="1" si="24"/>
        <v>0</v>
      </c>
    </row>
    <row r="110" spans="1:27" ht="18">
      <c r="A110" s="258" t="s">
        <v>488</v>
      </c>
      <c r="B110" s="258" t="str">
        <f>VLOOKUP(A110,'Data Pegawai'!B:P,2,FALSE)</f>
        <v>Aktif</v>
      </c>
      <c r="C110" s="258" t="str">
        <f>VLOOKUP(A110,'Data Pegawai'!B:P,4,FALSE)</f>
        <v>LK</v>
      </c>
      <c r="D110" s="258" t="str">
        <f>VLOOKUP(A110,'Data Pegawai'!B:P,3,FALSE)</f>
        <v>Dosen</v>
      </c>
      <c r="E110" s="265">
        <f>VLOOKUP(A110,'Data Pegawai'!B:P,13,FALSE)</f>
        <v>44832</v>
      </c>
      <c r="F110" s="265">
        <f ca="1">IF(VLOOKUP(A110,'Data Pegawai'!B:P,14,FALSE)=0,EOMONTH(TODAY(),0),VLOOKUP(A110,'Data Pegawai'!B:P,13,FALSE))</f>
        <v>46053</v>
      </c>
      <c r="G110">
        <f t="shared" ca="1" si="21"/>
        <v>1</v>
      </c>
      <c r="H110">
        <f t="shared" ca="1" si="25"/>
        <v>1</v>
      </c>
      <c r="I110">
        <f t="shared" ca="1" si="25"/>
        <v>1</v>
      </c>
      <c r="J110">
        <f t="shared" ca="1" si="25"/>
        <v>1</v>
      </c>
      <c r="K110">
        <f t="shared" ca="1" si="25"/>
        <v>1</v>
      </c>
      <c r="L110">
        <f t="shared" ca="1" si="25"/>
        <v>1</v>
      </c>
      <c r="M110">
        <f t="shared" ca="1" si="25"/>
        <v>1</v>
      </c>
      <c r="N110">
        <f t="shared" ca="1" si="25"/>
        <v>1</v>
      </c>
      <c r="O110">
        <f t="shared" ca="1" si="25"/>
        <v>1</v>
      </c>
      <c r="P110">
        <f t="shared" ca="1" si="25"/>
        <v>1</v>
      </c>
      <c r="Q110">
        <f t="shared" ca="1" si="25"/>
        <v>1</v>
      </c>
      <c r="R110">
        <f t="shared" ca="1" si="25"/>
        <v>1</v>
      </c>
      <c r="S110">
        <f t="shared" ca="1" si="25"/>
        <v>0</v>
      </c>
      <c r="T110">
        <f t="shared" ca="1" si="25"/>
        <v>0</v>
      </c>
      <c r="U110">
        <f t="shared" ca="1" si="25"/>
        <v>0</v>
      </c>
      <c r="V110">
        <f t="shared" ca="1" si="25"/>
        <v>0</v>
      </c>
      <c r="W110">
        <f t="shared" ca="1" si="24"/>
        <v>1</v>
      </c>
      <c r="X110">
        <f t="shared" ca="1" si="24"/>
        <v>1</v>
      </c>
      <c r="Y110">
        <f t="shared" ca="1" si="24"/>
        <v>1</v>
      </c>
      <c r="Z110">
        <f t="shared" ca="1" si="24"/>
        <v>1</v>
      </c>
      <c r="AA110">
        <f t="shared" ca="1" si="24"/>
        <v>0</v>
      </c>
    </row>
    <row r="111" spans="1:27" ht="18">
      <c r="A111" s="258" t="s">
        <v>492</v>
      </c>
      <c r="B111" s="258" t="str">
        <f>VLOOKUP(A111,'Data Pegawai'!B:P,2,FALSE)</f>
        <v>Aktif</v>
      </c>
      <c r="C111" s="258" t="str">
        <f>VLOOKUP(A111,'Data Pegawai'!B:P,4,FALSE)</f>
        <v>L</v>
      </c>
      <c r="D111" s="258" t="str">
        <f>VLOOKUP(A111,'Data Pegawai'!B:P,3,FALSE)</f>
        <v>Dosen</v>
      </c>
      <c r="E111" s="265">
        <f>VLOOKUP(A111,'Data Pegawai'!B:P,13,FALSE)</f>
        <v>43101</v>
      </c>
      <c r="F111" s="265">
        <f ca="1">IF(VLOOKUP(A111,'Data Pegawai'!B:P,14,FALSE)=0,EOMONTH(TODAY(),0),VLOOKUP(A111,'Data Pegawai'!B:P,13,FALSE))</f>
        <v>46053</v>
      </c>
      <c r="G111">
        <f t="shared" ca="1" si="21"/>
        <v>1</v>
      </c>
      <c r="H111">
        <f t="shared" ca="1" si="25"/>
        <v>1</v>
      </c>
      <c r="I111">
        <f t="shared" ca="1" si="25"/>
        <v>1</v>
      </c>
      <c r="J111">
        <f t="shared" ca="1" si="25"/>
        <v>1</v>
      </c>
      <c r="K111">
        <f t="shared" ca="1" si="25"/>
        <v>1</v>
      </c>
      <c r="L111">
        <f t="shared" ca="1" si="25"/>
        <v>1</v>
      </c>
      <c r="M111">
        <f t="shared" ca="1" si="25"/>
        <v>1</v>
      </c>
      <c r="N111">
        <f t="shared" ca="1" si="25"/>
        <v>1</v>
      </c>
      <c r="O111">
        <f t="shared" ca="1" si="25"/>
        <v>1</v>
      </c>
      <c r="P111">
        <f t="shared" ca="1" si="25"/>
        <v>1</v>
      </c>
      <c r="Q111">
        <f t="shared" ca="1" si="25"/>
        <v>1</v>
      </c>
      <c r="R111">
        <f t="shared" ca="1" si="25"/>
        <v>1</v>
      </c>
      <c r="S111">
        <f t="shared" ca="1" si="25"/>
        <v>1</v>
      </c>
      <c r="T111">
        <f t="shared" ca="1" si="25"/>
        <v>1</v>
      </c>
      <c r="U111">
        <f t="shared" ca="1" si="25"/>
        <v>1</v>
      </c>
      <c r="V111">
        <f t="shared" ca="1" si="25"/>
        <v>1</v>
      </c>
      <c r="W111">
        <f t="shared" ca="1" si="24"/>
        <v>1</v>
      </c>
      <c r="X111">
        <f t="shared" ca="1" si="24"/>
        <v>1</v>
      </c>
      <c r="Y111">
        <f t="shared" ca="1" si="24"/>
        <v>1</v>
      </c>
      <c r="Z111">
        <f t="shared" ca="1" si="24"/>
        <v>1</v>
      </c>
      <c r="AA111">
        <f t="shared" ca="1" si="24"/>
        <v>0</v>
      </c>
    </row>
    <row r="112" spans="1:27" ht="18">
      <c r="A112" s="258" t="s">
        <v>497</v>
      </c>
      <c r="B112" s="258" t="str">
        <f>VLOOKUP(A112,'Data Pegawai'!B:P,2,FALSE)</f>
        <v>Aktif</v>
      </c>
      <c r="C112" s="258" t="str">
        <f>VLOOKUP(A112,'Data Pegawai'!B:P,4,FALSE)</f>
        <v>NJAD</v>
      </c>
      <c r="D112" s="258" t="str">
        <f>VLOOKUP(A112,'Data Pegawai'!B:P,3,FALSE)</f>
        <v>Dosen</v>
      </c>
      <c r="E112" s="265">
        <f>VLOOKUP(A112,'Data Pegawai'!B:P,13,FALSE)</f>
        <v>43885</v>
      </c>
      <c r="F112" s="265">
        <f ca="1">IF(VLOOKUP(A112,'Data Pegawai'!B:P,14,FALSE)=0,EOMONTH(TODAY(),0),VLOOKUP(A112,'Data Pegawai'!B:P,13,FALSE))</f>
        <v>46053</v>
      </c>
      <c r="G112">
        <f t="shared" ca="1" si="21"/>
        <v>1</v>
      </c>
      <c r="H112">
        <f t="shared" ca="1" si="25"/>
        <v>1</v>
      </c>
      <c r="I112">
        <f t="shared" ca="1" si="25"/>
        <v>1</v>
      </c>
      <c r="J112">
        <f t="shared" ca="1" si="25"/>
        <v>1</v>
      </c>
      <c r="K112">
        <f t="shared" ca="1" si="25"/>
        <v>1</v>
      </c>
      <c r="L112">
        <f t="shared" ca="1" si="25"/>
        <v>1</v>
      </c>
      <c r="M112">
        <f t="shared" ca="1" si="25"/>
        <v>1</v>
      </c>
      <c r="N112">
        <f t="shared" ca="1" si="25"/>
        <v>1</v>
      </c>
      <c r="O112">
        <f t="shared" ca="1" si="25"/>
        <v>1</v>
      </c>
      <c r="P112">
        <f t="shared" ca="1" si="25"/>
        <v>1</v>
      </c>
      <c r="Q112">
        <f t="shared" ca="1" si="25"/>
        <v>1</v>
      </c>
      <c r="R112">
        <f t="shared" ca="1" si="25"/>
        <v>1</v>
      </c>
      <c r="S112">
        <f t="shared" ca="1" si="25"/>
        <v>0</v>
      </c>
      <c r="T112">
        <f t="shared" ca="1" si="25"/>
        <v>0</v>
      </c>
      <c r="U112">
        <f t="shared" ca="1" si="25"/>
        <v>1</v>
      </c>
      <c r="V112">
        <f t="shared" ca="1" si="25"/>
        <v>1</v>
      </c>
      <c r="W112">
        <f t="shared" ca="1" si="24"/>
        <v>1</v>
      </c>
      <c r="X112">
        <f t="shared" ca="1" si="24"/>
        <v>1</v>
      </c>
      <c r="Y112">
        <f t="shared" ca="1" si="24"/>
        <v>1</v>
      </c>
      <c r="Z112">
        <f t="shared" ca="1" si="24"/>
        <v>1</v>
      </c>
      <c r="AA112">
        <f t="shared" ca="1" si="24"/>
        <v>0</v>
      </c>
    </row>
    <row r="113" spans="1:27" ht="18">
      <c r="A113" s="258" t="s">
        <v>501</v>
      </c>
      <c r="B113" s="258" t="str">
        <f>VLOOKUP(A113,'Data Pegawai'!B:P,2,FALSE)</f>
        <v>Aktif</v>
      </c>
      <c r="C113" s="258" t="str">
        <f>VLOOKUP(A113,'Data Pegawai'!B:P,4,FALSE)</f>
        <v>L</v>
      </c>
      <c r="D113" s="258" t="str">
        <f>VLOOKUP(A113,'Data Pegawai'!B:P,3,FALSE)</f>
        <v>Dosen</v>
      </c>
      <c r="E113" s="265">
        <f>VLOOKUP(A113,'Data Pegawai'!B:P,13,FALSE)</f>
        <v>43885</v>
      </c>
      <c r="F113" s="265">
        <f ca="1">IF(VLOOKUP(A113,'Data Pegawai'!B:P,14,FALSE)=0,EOMONTH(TODAY(),0),VLOOKUP(A113,'Data Pegawai'!B:P,13,FALSE))</f>
        <v>46053</v>
      </c>
      <c r="G113">
        <f t="shared" ca="1" si="21"/>
        <v>1</v>
      </c>
      <c r="H113">
        <f t="shared" ca="1" si="25"/>
        <v>1</v>
      </c>
      <c r="I113">
        <f t="shared" ca="1" si="25"/>
        <v>1</v>
      </c>
      <c r="J113">
        <f t="shared" ca="1" si="25"/>
        <v>1</v>
      </c>
      <c r="K113">
        <f t="shared" ca="1" si="25"/>
        <v>1</v>
      </c>
      <c r="L113">
        <f t="shared" ca="1" si="25"/>
        <v>1</v>
      </c>
      <c r="M113">
        <f t="shared" ca="1" si="25"/>
        <v>1</v>
      </c>
      <c r="N113">
        <f t="shared" ca="1" si="25"/>
        <v>1</v>
      </c>
      <c r="O113">
        <f t="shared" ca="1" si="25"/>
        <v>1</v>
      </c>
      <c r="P113">
        <f t="shared" ca="1" si="25"/>
        <v>1</v>
      </c>
      <c r="Q113">
        <f t="shared" ca="1" si="25"/>
        <v>1</v>
      </c>
      <c r="R113">
        <f t="shared" ca="1" si="25"/>
        <v>1</v>
      </c>
      <c r="S113">
        <f t="shared" ca="1" si="25"/>
        <v>0</v>
      </c>
      <c r="T113">
        <f t="shared" ca="1" si="25"/>
        <v>0</v>
      </c>
      <c r="U113">
        <f t="shared" ca="1" si="25"/>
        <v>1</v>
      </c>
      <c r="V113">
        <f t="shared" ca="1" si="25"/>
        <v>1</v>
      </c>
      <c r="W113">
        <f t="shared" ca="1" si="24"/>
        <v>1</v>
      </c>
      <c r="X113">
        <f t="shared" ca="1" si="24"/>
        <v>1</v>
      </c>
      <c r="Y113">
        <f t="shared" ca="1" si="24"/>
        <v>1</v>
      </c>
      <c r="Z113">
        <f t="shared" ca="1" si="24"/>
        <v>1</v>
      </c>
      <c r="AA113">
        <f t="shared" ca="1" si="24"/>
        <v>0</v>
      </c>
    </row>
    <row r="114" spans="1:27" ht="18">
      <c r="A114" s="258" t="s">
        <v>506</v>
      </c>
      <c r="B114" s="258" t="str">
        <f>VLOOKUP(A114,'Data Pegawai'!B:P,2,FALSE)</f>
        <v>Aktif</v>
      </c>
      <c r="C114" s="258" t="str">
        <f>VLOOKUP(A114,'Data Pegawai'!B:P,4,FALSE)</f>
        <v>NJAD</v>
      </c>
      <c r="D114" s="258" t="str">
        <f>VLOOKUP(A114,'Data Pegawai'!B:P,3,FALSE)</f>
        <v>Dosen</v>
      </c>
      <c r="E114" s="265">
        <f>VLOOKUP(A114,'Data Pegawai'!B:P,13,FALSE)</f>
        <v>44627</v>
      </c>
      <c r="F114" s="265">
        <f ca="1">IF(VLOOKUP(A114,'Data Pegawai'!B:P,14,FALSE)=0,EOMONTH(TODAY(),0),VLOOKUP(A114,'Data Pegawai'!B:P,13,FALSE))</f>
        <v>46053</v>
      </c>
      <c r="G114">
        <f t="shared" ca="1" si="21"/>
        <v>1</v>
      </c>
      <c r="H114">
        <f t="shared" ca="1" si="25"/>
        <v>1</v>
      </c>
      <c r="I114">
        <f t="shared" ca="1" si="25"/>
        <v>1</v>
      </c>
      <c r="J114">
        <f t="shared" ca="1" si="25"/>
        <v>1</v>
      </c>
      <c r="K114">
        <f t="shared" ca="1" si="25"/>
        <v>1</v>
      </c>
      <c r="L114">
        <f t="shared" ca="1" si="25"/>
        <v>1</v>
      </c>
      <c r="M114">
        <f t="shared" ca="1" si="25"/>
        <v>1</v>
      </c>
      <c r="N114">
        <f t="shared" ca="1" si="25"/>
        <v>1</v>
      </c>
      <c r="O114">
        <f t="shared" ca="1" si="25"/>
        <v>1</v>
      </c>
      <c r="P114">
        <f t="shared" ca="1" si="25"/>
        <v>1</v>
      </c>
      <c r="Q114">
        <f t="shared" ca="1" si="25"/>
        <v>1</v>
      </c>
      <c r="R114">
        <f t="shared" ca="1" si="25"/>
        <v>1</v>
      </c>
      <c r="S114">
        <f t="shared" ca="1" si="25"/>
        <v>0</v>
      </c>
      <c r="T114">
        <f t="shared" ca="1" si="25"/>
        <v>0</v>
      </c>
      <c r="U114">
        <f t="shared" ca="1" si="25"/>
        <v>0</v>
      </c>
      <c r="V114">
        <f t="shared" ca="1" si="25"/>
        <v>0</v>
      </c>
      <c r="W114">
        <f t="shared" ca="1" si="24"/>
        <v>1</v>
      </c>
      <c r="X114">
        <f t="shared" ca="1" si="24"/>
        <v>1</v>
      </c>
      <c r="Y114">
        <f t="shared" ca="1" si="24"/>
        <v>1</v>
      </c>
      <c r="Z114">
        <f t="shared" ca="1" si="24"/>
        <v>1</v>
      </c>
      <c r="AA114">
        <f t="shared" ca="1" si="24"/>
        <v>0</v>
      </c>
    </row>
    <row r="115" spans="1:27" ht="18">
      <c r="A115" s="258" t="s">
        <v>510</v>
      </c>
      <c r="B115" s="258" t="str">
        <f>VLOOKUP(A115,'Data Pegawai'!B:P,2,FALSE)</f>
        <v>Non-Aktif</v>
      </c>
      <c r="C115" s="258" t="str">
        <f>VLOOKUP(A115,'Data Pegawai'!B:P,4,FALSE)</f>
        <v>NJAD</v>
      </c>
      <c r="D115" s="258" t="str">
        <f>VLOOKUP(A115,'Data Pegawai'!B:P,3,FALSE)</f>
        <v>Dosen</v>
      </c>
      <c r="E115" s="265">
        <f>VLOOKUP(A115,'Data Pegawai'!B:P,13,FALSE)</f>
        <v>44627</v>
      </c>
      <c r="F115" s="265">
        <f ca="1">IF(VLOOKUP(A115,'Data Pegawai'!B:P,14,FALSE)=0,EOMONTH(TODAY(),0),VLOOKUP(A115,'Data Pegawai'!B:P,13,FALSE))</f>
        <v>44627</v>
      </c>
      <c r="G115">
        <f t="shared" ca="1" si="21"/>
        <v>0</v>
      </c>
      <c r="H115">
        <f t="shared" ca="1" si="25"/>
        <v>0</v>
      </c>
      <c r="I115">
        <f t="shared" ca="1" si="25"/>
        <v>0</v>
      </c>
      <c r="J115">
        <f t="shared" ca="1" si="25"/>
        <v>0</v>
      </c>
      <c r="K115">
        <f t="shared" ca="1" si="25"/>
        <v>0</v>
      </c>
      <c r="L115">
        <f t="shared" ca="1" si="25"/>
        <v>0</v>
      </c>
      <c r="M115">
        <f t="shared" ca="1" si="25"/>
        <v>0</v>
      </c>
      <c r="N115">
        <f t="shared" ca="1" si="25"/>
        <v>0</v>
      </c>
      <c r="O115">
        <f t="shared" ca="1" si="25"/>
        <v>0</v>
      </c>
      <c r="P115">
        <f t="shared" ca="1" si="25"/>
        <v>0</v>
      </c>
      <c r="Q115">
        <f t="shared" ca="1" si="25"/>
        <v>0</v>
      </c>
      <c r="R115">
        <f t="shared" ca="1" si="25"/>
        <v>0</v>
      </c>
      <c r="S115">
        <f t="shared" ca="1" si="25"/>
        <v>0</v>
      </c>
      <c r="T115">
        <f t="shared" ca="1" si="25"/>
        <v>0</v>
      </c>
      <c r="U115">
        <f t="shared" ca="1" si="25"/>
        <v>0</v>
      </c>
      <c r="V115">
        <f t="shared" ca="1" si="25"/>
        <v>0</v>
      </c>
      <c r="W115">
        <f t="shared" ca="1" si="24"/>
        <v>0</v>
      </c>
      <c r="X115">
        <f t="shared" ca="1" si="24"/>
        <v>0</v>
      </c>
      <c r="Y115">
        <f t="shared" ca="1" si="24"/>
        <v>0</v>
      </c>
      <c r="Z115">
        <f t="shared" ca="1" si="24"/>
        <v>0</v>
      </c>
      <c r="AA115">
        <f t="shared" ca="1" si="24"/>
        <v>0</v>
      </c>
    </row>
    <row r="116" spans="1:27" ht="18">
      <c r="A116" s="258" t="s">
        <v>514</v>
      </c>
      <c r="B116" s="258" t="str">
        <f>VLOOKUP(A116,'Data Pegawai'!B:P,2,FALSE)</f>
        <v>Aktif</v>
      </c>
      <c r="C116" s="258" t="str">
        <f>VLOOKUP(A116,'Data Pegawai'!B:P,4,FALSE)</f>
        <v>L</v>
      </c>
      <c r="D116" s="258" t="str">
        <f>VLOOKUP(A116,'Data Pegawai'!B:P,3,FALSE)</f>
        <v>Dosen</v>
      </c>
      <c r="E116" s="265">
        <f>VLOOKUP(A116,'Data Pegawai'!B:P,13,FALSE)</f>
        <v>44927</v>
      </c>
      <c r="F116" s="265">
        <f ca="1">IF(VLOOKUP(A116,'Data Pegawai'!B:P,14,FALSE)=0,EOMONTH(TODAY(),0),VLOOKUP(A116,'Data Pegawai'!B:P,13,FALSE))</f>
        <v>46053</v>
      </c>
      <c r="G116">
        <f t="shared" ca="1" si="21"/>
        <v>1</v>
      </c>
      <c r="H116">
        <f t="shared" ca="1" si="25"/>
        <v>1</v>
      </c>
      <c r="I116">
        <f t="shared" ca="1" si="25"/>
        <v>1</v>
      </c>
      <c r="J116">
        <f t="shared" ca="1" si="25"/>
        <v>1</v>
      </c>
      <c r="K116">
        <f t="shared" ca="1" si="25"/>
        <v>1</v>
      </c>
      <c r="L116">
        <f t="shared" ca="1" si="25"/>
        <v>1</v>
      </c>
      <c r="M116">
        <f t="shared" ca="1" si="25"/>
        <v>1</v>
      </c>
      <c r="N116">
        <f t="shared" ca="1" si="25"/>
        <v>1</v>
      </c>
      <c r="O116">
        <f t="shared" ca="1" si="25"/>
        <v>1</v>
      </c>
      <c r="P116">
        <f t="shared" ca="1" si="25"/>
        <v>1</v>
      </c>
      <c r="Q116">
        <f t="shared" ca="1" si="25"/>
        <v>1</v>
      </c>
      <c r="R116">
        <f t="shared" ca="1" si="25"/>
        <v>1</v>
      </c>
      <c r="S116">
        <f t="shared" ca="1" si="25"/>
        <v>0</v>
      </c>
      <c r="T116">
        <f t="shared" ca="1" si="25"/>
        <v>0</v>
      </c>
      <c r="U116">
        <f t="shared" ca="1" si="25"/>
        <v>0</v>
      </c>
      <c r="V116">
        <f t="shared" ca="1" si="25"/>
        <v>0</v>
      </c>
      <c r="W116">
        <f t="shared" ca="1" si="24"/>
        <v>0</v>
      </c>
      <c r="X116">
        <f t="shared" ca="1" si="24"/>
        <v>1</v>
      </c>
      <c r="Y116">
        <f t="shared" ca="1" si="24"/>
        <v>1</v>
      </c>
      <c r="Z116">
        <f t="shared" ca="1" si="24"/>
        <v>1</v>
      </c>
      <c r="AA116">
        <f t="shared" ca="1" si="24"/>
        <v>0</v>
      </c>
    </row>
    <row r="117" spans="1:27" ht="18">
      <c r="A117" s="258" t="s">
        <v>519</v>
      </c>
      <c r="B117" s="258" t="str">
        <f>VLOOKUP(A117,'Data Pegawai'!B:P,2,FALSE)</f>
        <v>Aktif</v>
      </c>
      <c r="C117" s="258" t="str">
        <f>VLOOKUP(A117,'Data Pegawai'!B:P,4,FALSE)</f>
        <v>AA</v>
      </c>
      <c r="D117" s="258" t="str">
        <f>VLOOKUP(A117,'Data Pegawai'!B:P,3,FALSE)</f>
        <v>Dosen</v>
      </c>
      <c r="E117" s="265">
        <f>VLOOKUP(A117,'Data Pegawai'!B:P,13,FALSE)</f>
        <v>43101</v>
      </c>
      <c r="F117" s="265">
        <f ca="1">IF(VLOOKUP(A117,'Data Pegawai'!B:P,14,FALSE)=0,EOMONTH(TODAY(),0),VLOOKUP(A117,'Data Pegawai'!B:P,13,FALSE))</f>
        <v>46053</v>
      </c>
      <c r="G117">
        <f t="shared" ca="1" si="21"/>
        <v>1</v>
      </c>
      <c r="H117">
        <f t="shared" ca="1" si="25"/>
        <v>1</v>
      </c>
      <c r="I117">
        <f t="shared" ca="1" si="25"/>
        <v>1</v>
      </c>
      <c r="J117">
        <f t="shared" ca="1" si="25"/>
        <v>1</v>
      </c>
      <c r="K117">
        <f t="shared" ca="1" si="25"/>
        <v>1</v>
      </c>
      <c r="L117">
        <f t="shared" ca="1" si="25"/>
        <v>1</v>
      </c>
      <c r="M117">
        <f t="shared" ca="1" si="25"/>
        <v>1</v>
      </c>
      <c r="N117">
        <f t="shared" ca="1" si="25"/>
        <v>1</v>
      </c>
      <c r="O117">
        <f t="shared" ca="1" si="25"/>
        <v>1</v>
      </c>
      <c r="P117">
        <f t="shared" ca="1" si="25"/>
        <v>1</v>
      </c>
      <c r="Q117">
        <f t="shared" ca="1" si="25"/>
        <v>1</v>
      </c>
      <c r="R117">
        <f t="shared" ca="1" si="25"/>
        <v>1</v>
      </c>
      <c r="S117">
        <f t="shared" ca="1" si="25"/>
        <v>1</v>
      </c>
      <c r="T117">
        <f t="shared" ca="1" si="25"/>
        <v>1</v>
      </c>
      <c r="U117">
        <f t="shared" ca="1" si="25"/>
        <v>1</v>
      </c>
      <c r="V117">
        <f t="shared" ref="V117:AA132" ca="1" si="26">IF(AND(V$3&gt;=$E117,V$3&lt;=$F117),1,0)</f>
        <v>1</v>
      </c>
      <c r="W117">
        <f t="shared" ca="1" si="26"/>
        <v>1</v>
      </c>
      <c r="X117">
        <f t="shared" ca="1" si="26"/>
        <v>1</v>
      </c>
      <c r="Y117">
        <f t="shared" ca="1" si="26"/>
        <v>1</v>
      </c>
      <c r="Z117">
        <f t="shared" ca="1" si="26"/>
        <v>1</v>
      </c>
      <c r="AA117">
        <f t="shared" ca="1" si="26"/>
        <v>0</v>
      </c>
    </row>
    <row r="118" spans="1:27" ht="18">
      <c r="A118" s="258" t="s">
        <v>523</v>
      </c>
      <c r="B118" s="258" t="str">
        <f>VLOOKUP(A118,'Data Pegawai'!B:P,2,FALSE)</f>
        <v>Aktif</v>
      </c>
      <c r="C118" s="258" t="str">
        <f>VLOOKUP(A118,'Data Pegawai'!B:P,4,FALSE)</f>
        <v>L</v>
      </c>
      <c r="D118" s="258" t="str">
        <f>VLOOKUP(A118,'Data Pegawai'!B:P,3,FALSE)</f>
        <v>Dosen</v>
      </c>
      <c r="E118" s="265">
        <f>VLOOKUP(A118,'Data Pegawai'!B:P,13,FALSE)</f>
        <v>43282</v>
      </c>
      <c r="F118" s="265">
        <f ca="1">IF(VLOOKUP(A118,'Data Pegawai'!B:P,14,FALSE)=0,EOMONTH(TODAY(),0),VLOOKUP(A118,'Data Pegawai'!B:P,13,FALSE))</f>
        <v>46053</v>
      </c>
      <c r="G118">
        <f t="shared" ca="1" si="21"/>
        <v>1</v>
      </c>
      <c r="H118">
        <f t="shared" ref="H118:V133" ca="1" si="27">IF(AND(H$3&gt;=$E118,H$3&lt;=$F118),1,0)</f>
        <v>1</v>
      </c>
      <c r="I118">
        <f t="shared" ca="1" si="27"/>
        <v>1</v>
      </c>
      <c r="J118">
        <f t="shared" ca="1" si="27"/>
        <v>1</v>
      </c>
      <c r="K118">
        <f t="shared" ca="1" si="27"/>
        <v>1</v>
      </c>
      <c r="L118">
        <f t="shared" ca="1" si="27"/>
        <v>1</v>
      </c>
      <c r="M118">
        <f t="shared" ca="1" si="27"/>
        <v>1</v>
      </c>
      <c r="N118">
        <f t="shared" ca="1" si="27"/>
        <v>1</v>
      </c>
      <c r="O118">
        <f t="shared" ca="1" si="27"/>
        <v>1</v>
      </c>
      <c r="P118">
        <f t="shared" ca="1" si="27"/>
        <v>1</v>
      </c>
      <c r="Q118">
        <f t="shared" ca="1" si="27"/>
        <v>1</v>
      </c>
      <c r="R118">
        <f t="shared" ca="1" si="27"/>
        <v>1</v>
      </c>
      <c r="S118">
        <f t="shared" ca="1" si="27"/>
        <v>1</v>
      </c>
      <c r="T118">
        <f t="shared" ca="1" si="27"/>
        <v>1</v>
      </c>
      <c r="U118">
        <f t="shared" ca="1" si="27"/>
        <v>1</v>
      </c>
      <c r="V118">
        <f t="shared" ca="1" si="27"/>
        <v>1</v>
      </c>
      <c r="W118">
        <f t="shared" ca="1" si="26"/>
        <v>1</v>
      </c>
      <c r="X118">
        <f t="shared" ca="1" si="26"/>
        <v>1</v>
      </c>
      <c r="Y118">
        <f t="shared" ca="1" si="26"/>
        <v>1</v>
      </c>
      <c r="Z118">
        <f t="shared" ca="1" si="26"/>
        <v>1</v>
      </c>
      <c r="AA118">
        <f t="shared" ca="1" si="26"/>
        <v>0</v>
      </c>
    </row>
    <row r="119" spans="1:27" ht="18">
      <c r="A119" s="258" t="s">
        <v>528</v>
      </c>
      <c r="B119" s="258" t="str">
        <f>VLOOKUP(A119,'Data Pegawai'!B:P,2,FALSE)</f>
        <v>Aktif</v>
      </c>
      <c r="C119" s="258" t="str">
        <f>VLOOKUP(A119,'Data Pegawai'!B:P,4,FALSE)</f>
        <v>L</v>
      </c>
      <c r="D119" s="258" t="str">
        <f>VLOOKUP(A119,'Data Pegawai'!B:P,3,FALSE)</f>
        <v>Dosen</v>
      </c>
      <c r="E119" s="265">
        <f>VLOOKUP(A119,'Data Pegawai'!B:P,13,FALSE)</f>
        <v>43101</v>
      </c>
      <c r="F119" s="265">
        <f ca="1">IF(VLOOKUP(A119,'Data Pegawai'!B:P,14,FALSE)=0,EOMONTH(TODAY(),0),VLOOKUP(A119,'Data Pegawai'!B:P,13,FALSE))</f>
        <v>46053</v>
      </c>
      <c r="G119">
        <f t="shared" ca="1" si="21"/>
        <v>1</v>
      </c>
      <c r="H119">
        <f t="shared" ca="1" si="27"/>
        <v>1</v>
      </c>
      <c r="I119">
        <f t="shared" ca="1" si="27"/>
        <v>1</v>
      </c>
      <c r="J119">
        <f t="shared" ca="1" si="27"/>
        <v>1</v>
      </c>
      <c r="K119">
        <f t="shared" ca="1" si="27"/>
        <v>1</v>
      </c>
      <c r="L119">
        <f t="shared" ca="1" si="27"/>
        <v>1</v>
      </c>
      <c r="M119">
        <f t="shared" ca="1" si="27"/>
        <v>1</v>
      </c>
      <c r="N119">
        <f t="shared" ca="1" si="27"/>
        <v>1</v>
      </c>
      <c r="O119">
        <f t="shared" ca="1" si="27"/>
        <v>1</v>
      </c>
      <c r="P119">
        <f t="shared" ca="1" si="27"/>
        <v>1</v>
      </c>
      <c r="Q119">
        <f t="shared" ca="1" si="27"/>
        <v>1</v>
      </c>
      <c r="R119">
        <f t="shared" ca="1" si="27"/>
        <v>1</v>
      </c>
      <c r="S119">
        <f t="shared" ca="1" si="27"/>
        <v>1</v>
      </c>
      <c r="T119">
        <f t="shared" ca="1" si="27"/>
        <v>1</v>
      </c>
      <c r="U119">
        <f t="shared" ca="1" si="27"/>
        <v>1</v>
      </c>
      <c r="V119">
        <f t="shared" ca="1" si="27"/>
        <v>1</v>
      </c>
      <c r="W119">
        <f t="shared" ca="1" si="26"/>
        <v>1</v>
      </c>
      <c r="X119">
        <f t="shared" ca="1" si="26"/>
        <v>1</v>
      </c>
      <c r="Y119">
        <f t="shared" ca="1" si="26"/>
        <v>1</v>
      </c>
      <c r="Z119">
        <f t="shared" ca="1" si="26"/>
        <v>1</v>
      </c>
      <c r="AA119">
        <f t="shared" ca="1" si="26"/>
        <v>0</v>
      </c>
    </row>
    <row r="120" spans="1:27" ht="18">
      <c r="A120" s="258" t="s">
        <v>533</v>
      </c>
      <c r="B120" s="258" t="str">
        <f>VLOOKUP(A120,'Data Pegawai'!B:P,2,FALSE)</f>
        <v>Non-Aktif</v>
      </c>
      <c r="C120" s="258" t="str">
        <f>VLOOKUP(A120,'Data Pegawai'!B:P,4,FALSE)</f>
        <v>AA</v>
      </c>
      <c r="D120" s="258" t="str">
        <f>VLOOKUP(A120,'Data Pegawai'!B:P,3,FALSE)</f>
        <v>Dosen</v>
      </c>
      <c r="E120" s="265">
        <f>VLOOKUP(A120,'Data Pegawai'!B:P,13,FALSE)</f>
        <v>43101</v>
      </c>
      <c r="F120" s="265">
        <f ca="1">IF(VLOOKUP(A120,'Data Pegawai'!B:P,14,FALSE)=0,EOMONTH(TODAY(),0),VLOOKUP(A120,'Data Pegawai'!B:P,13,FALSE))</f>
        <v>43101</v>
      </c>
      <c r="G120">
        <f t="shared" ca="1" si="21"/>
        <v>0</v>
      </c>
      <c r="H120">
        <f t="shared" ca="1" si="27"/>
        <v>0</v>
      </c>
      <c r="I120">
        <f t="shared" ca="1" si="27"/>
        <v>0</v>
      </c>
      <c r="J120">
        <f t="shared" ca="1" si="27"/>
        <v>0</v>
      </c>
      <c r="K120">
        <f t="shared" ca="1" si="27"/>
        <v>0</v>
      </c>
      <c r="L120">
        <f t="shared" ca="1" si="27"/>
        <v>0</v>
      </c>
      <c r="M120">
        <f t="shared" ca="1" si="27"/>
        <v>0</v>
      </c>
      <c r="N120">
        <f t="shared" ca="1" si="27"/>
        <v>0</v>
      </c>
      <c r="O120">
        <f t="shared" ca="1" si="27"/>
        <v>0</v>
      </c>
      <c r="P120">
        <f t="shared" ca="1" si="27"/>
        <v>0</v>
      </c>
      <c r="Q120">
        <f t="shared" ca="1" si="27"/>
        <v>0</v>
      </c>
      <c r="R120">
        <f t="shared" ca="1" si="27"/>
        <v>0</v>
      </c>
      <c r="S120">
        <f t="shared" ca="1" si="27"/>
        <v>0</v>
      </c>
      <c r="T120">
        <f t="shared" ca="1" si="27"/>
        <v>0</v>
      </c>
      <c r="U120">
        <f t="shared" ca="1" si="27"/>
        <v>0</v>
      </c>
      <c r="V120">
        <f t="shared" ca="1" si="27"/>
        <v>0</v>
      </c>
      <c r="W120">
        <f t="shared" ca="1" si="26"/>
        <v>0</v>
      </c>
      <c r="X120">
        <f t="shared" ca="1" si="26"/>
        <v>0</v>
      </c>
      <c r="Y120">
        <f t="shared" ca="1" si="26"/>
        <v>0</v>
      </c>
      <c r="Z120">
        <f t="shared" ca="1" si="26"/>
        <v>0</v>
      </c>
      <c r="AA120">
        <f t="shared" ca="1" si="26"/>
        <v>0</v>
      </c>
    </row>
    <row r="121" spans="1:27" ht="18">
      <c r="A121" s="258" t="s">
        <v>536</v>
      </c>
      <c r="B121" s="258" t="str">
        <f>VLOOKUP(A121,'Data Pegawai'!B:P,2,FALSE)</f>
        <v>Aktif</v>
      </c>
      <c r="C121" s="258" t="str">
        <f>VLOOKUP(A121,'Data Pegawai'!B:P,4,FALSE)</f>
        <v>L</v>
      </c>
      <c r="D121" s="258" t="str">
        <f>VLOOKUP(A121,'Data Pegawai'!B:P,3,FALSE)</f>
        <v>Dosen</v>
      </c>
      <c r="E121" s="265">
        <f>VLOOKUP(A121,'Data Pegawai'!B:P,13,FALSE)</f>
        <v>43101</v>
      </c>
      <c r="F121" s="265">
        <f ca="1">IF(VLOOKUP(A121,'Data Pegawai'!B:P,14,FALSE)=0,EOMONTH(TODAY(),0),VLOOKUP(A121,'Data Pegawai'!B:P,13,FALSE))</f>
        <v>46053</v>
      </c>
      <c r="G121">
        <f t="shared" ca="1" si="21"/>
        <v>1</v>
      </c>
      <c r="H121">
        <f t="shared" ca="1" si="27"/>
        <v>1</v>
      </c>
      <c r="I121">
        <f t="shared" ca="1" si="27"/>
        <v>1</v>
      </c>
      <c r="J121">
        <f t="shared" ca="1" si="27"/>
        <v>1</v>
      </c>
      <c r="K121">
        <f t="shared" ca="1" si="27"/>
        <v>1</v>
      </c>
      <c r="L121">
        <f t="shared" ca="1" si="27"/>
        <v>1</v>
      </c>
      <c r="M121">
        <f t="shared" ca="1" si="27"/>
        <v>1</v>
      </c>
      <c r="N121">
        <f t="shared" ca="1" si="27"/>
        <v>1</v>
      </c>
      <c r="O121">
        <f t="shared" ca="1" si="27"/>
        <v>1</v>
      </c>
      <c r="P121">
        <f t="shared" ca="1" si="27"/>
        <v>1</v>
      </c>
      <c r="Q121">
        <f t="shared" ca="1" si="27"/>
        <v>1</v>
      </c>
      <c r="R121">
        <f t="shared" ca="1" si="27"/>
        <v>1</v>
      </c>
      <c r="S121">
        <f t="shared" ca="1" si="27"/>
        <v>1</v>
      </c>
      <c r="T121">
        <f t="shared" ca="1" si="27"/>
        <v>1</v>
      </c>
      <c r="U121">
        <f t="shared" ca="1" si="27"/>
        <v>1</v>
      </c>
      <c r="V121">
        <f t="shared" ca="1" si="27"/>
        <v>1</v>
      </c>
      <c r="W121">
        <f t="shared" ca="1" si="26"/>
        <v>1</v>
      </c>
      <c r="X121">
        <f t="shared" ca="1" si="26"/>
        <v>1</v>
      </c>
      <c r="Y121">
        <f t="shared" ca="1" si="26"/>
        <v>1</v>
      </c>
      <c r="Z121">
        <f t="shared" ca="1" si="26"/>
        <v>1</v>
      </c>
      <c r="AA121">
        <f t="shared" ca="1" si="26"/>
        <v>0</v>
      </c>
    </row>
    <row r="122" spans="1:27" ht="18">
      <c r="A122" s="258" t="s">
        <v>540</v>
      </c>
      <c r="B122" s="258" t="str">
        <f>VLOOKUP(A122,'Data Pegawai'!B:P,2,FALSE)</f>
        <v>Aktif</v>
      </c>
      <c r="C122" s="258" t="str">
        <f>VLOOKUP(A122,'Data Pegawai'!B:P,4,FALSE)</f>
        <v>LK</v>
      </c>
      <c r="D122" s="258" t="str">
        <f>VLOOKUP(A122,'Data Pegawai'!B:P,3,FALSE)</f>
        <v>Dosen</v>
      </c>
      <c r="E122" s="265">
        <f>VLOOKUP(A122,'Data Pegawai'!B:P,13,FALSE)</f>
        <v>43101</v>
      </c>
      <c r="F122" s="265">
        <f ca="1">IF(VLOOKUP(A122,'Data Pegawai'!B:P,14,FALSE)=0,EOMONTH(TODAY(),0),VLOOKUP(A122,'Data Pegawai'!B:P,13,FALSE))</f>
        <v>46053</v>
      </c>
      <c r="G122">
        <f t="shared" ca="1" si="21"/>
        <v>1</v>
      </c>
      <c r="H122">
        <f t="shared" ca="1" si="27"/>
        <v>1</v>
      </c>
      <c r="I122">
        <f t="shared" ca="1" si="27"/>
        <v>1</v>
      </c>
      <c r="J122">
        <f t="shared" ca="1" si="27"/>
        <v>1</v>
      </c>
      <c r="K122">
        <f t="shared" ca="1" si="27"/>
        <v>1</v>
      </c>
      <c r="L122">
        <f t="shared" ca="1" si="27"/>
        <v>1</v>
      </c>
      <c r="M122">
        <f t="shared" ca="1" si="27"/>
        <v>1</v>
      </c>
      <c r="N122">
        <f t="shared" ca="1" si="27"/>
        <v>1</v>
      </c>
      <c r="O122">
        <f t="shared" ca="1" si="27"/>
        <v>1</v>
      </c>
      <c r="P122">
        <f t="shared" ca="1" si="27"/>
        <v>1</v>
      </c>
      <c r="Q122">
        <f t="shared" ca="1" si="27"/>
        <v>1</v>
      </c>
      <c r="R122">
        <f t="shared" ca="1" si="27"/>
        <v>1</v>
      </c>
      <c r="S122">
        <f t="shared" ca="1" si="27"/>
        <v>1</v>
      </c>
      <c r="T122">
        <f t="shared" ca="1" si="27"/>
        <v>1</v>
      </c>
      <c r="U122">
        <f t="shared" ca="1" si="27"/>
        <v>1</v>
      </c>
      <c r="V122">
        <f t="shared" ca="1" si="27"/>
        <v>1</v>
      </c>
      <c r="W122">
        <f t="shared" ca="1" si="26"/>
        <v>1</v>
      </c>
      <c r="X122">
        <f t="shared" ca="1" si="26"/>
        <v>1</v>
      </c>
      <c r="Y122">
        <f t="shared" ca="1" si="26"/>
        <v>1</v>
      </c>
      <c r="Z122">
        <f t="shared" ca="1" si="26"/>
        <v>1</v>
      </c>
      <c r="AA122">
        <f t="shared" ca="1" si="26"/>
        <v>0</v>
      </c>
    </row>
    <row r="123" spans="1:27" ht="18">
      <c r="A123" s="258" t="s">
        <v>544</v>
      </c>
      <c r="B123" s="258" t="str">
        <f>VLOOKUP(A123,'Data Pegawai'!B:P,2,FALSE)</f>
        <v>Aktif</v>
      </c>
      <c r="C123" s="258" t="str">
        <f>VLOOKUP(A123,'Data Pegawai'!B:P,4,FALSE)</f>
        <v>L</v>
      </c>
      <c r="D123" s="258" t="str">
        <f>VLOOKUP(A123,'Data Pegawai'!B:P,3,FALSE)</f>
        <v>Dosen</v>
      </c>
      <c r="E123" s="265">
        <f>VLOOKUP(A123,'Data Pegawai'!B:P,13,FALSE)</f>
        <v>43101</v>
      </c>
      <c r="F123" s="265">
        <f ca="1">IF(VLOOKUP(A123,'Data Pegawai'!B:P,14,FALSE)=0,EOMONTH(TODAY(),0),VLOOKUP(A123,'Data Pegawai'!B:P,13,FALSE))</f>
        <v>46053</v>
      </c>
      <c r="G123">
        <f t="shared" ca="1" si="21"/>
        <v>1</v>
      </c>
      <c r="H123">
        <f t="shared" ca="1" si="27"/>
        <v>1</v>
      </c>
      <c r="I123">
        <f t="shared" ca="1" si="27"/>
        <v>1</v>
      </c>
      <c r="J123">
        <f t="shared" ca="1" si="27"/>
        <v>1</v>
      </c>
      <c r="K123">
        <f t="shared" ca="1" si="27"/>
        <v>1</v>
      </c>
      <c r="L123">
        <f t="shared" ca="1" si="27"/>
        <v>1</v>
      </c>
      <c r="M123">
        <f t="shared" ca="1" si="27"/>
        <v>1</v>
      </c>
      <c r="N123">
        <f t="shared" ca="1" si="27"/>
        <v>1</v>
      </c>
      <c r="O123">
        <f t="shared" ca="1" si="27"/>
        <v>1</v>
      </c>
      <c r="P123">
        <f t="shared" ca="1" si="27"/>
        <v>1</v>
      </c>
      <c r="Q123">
        <f t="shared" ca="1" si="27"/>
        <v>1</v>
      </c>
      <c r="R123">
        <f t="shared" ca="1" si="27"/>
        <v>1</v>
      </c>
      <c r="S123">
        <f t="shared" ca="1" si="27"/>
        <v>1</v>
      </c>
      <c r="T123">
        <f t="shared" ca="1" si="27"/>
        <v>1</v>
      </c>
      <c r="U123">
        <f t="shared" ca="1" si="27"/>
        <v>1</v>
      </c>
      <c r="V123">
        <f t="shared" ca="1" si="27"/>
        <v>1</v>
      </c>
      <c r="W123">
        <f t="shared" ca="1" si="26"/>
        <v>1</v>
      </c>
      <c r="X123">
        <f t="shared" ca="1" si="26"/>
        <v>1</v>
      </c>
      <c r="Y123">
        <f t="shared" ca="1" si="26"/>
        <v>1</v>
      </c>
      <c r="Z123">
        <f t="shared" ca="1" si="26"/>
        <v>1</v>
      </c>
      <c r="AA123">
        <f t="shared" ca="1" si="26"/>
        <v>0</v>
      </c>
    </row>
    <row r="124" spans="1:27" ht="18">
      <c r="A124" s="258" t="s">
        <v>548</v>
      </c>
      <c r="B124" s="258" t="str">
        <f>VLOOKUP(A124,'Data Pegawai'!B:P,2,FALSE)</f>
        <v>Aktif</v>
      </c>
      <c r="C124" s="258" t="str">
        <f>VLOOKUP(A124,'Data Pegawai'!B:P,4,FALSE)</f>
        <v>AA</v>
      </c>
      <c r="D124" s="258" t="str">
        <f>VLOOKUP(A124,'Data Pegawai'!B:P,3,FALSE)</f>
        <v>Dosen</v>
      </c>
      <c r="E124" s="265">
        <f>VLOOKUP(A124,'Data Pegawai'!B:P,13,FALSE)</f>
        <v>43101</v>
      </c>
      <c r="F124" s="265">
        <f ca="1">IF(VLOOKUP(A124,'Data Pegawai'!B:P,14,FALSE)=0,EOMONTH(TODAY(),0),VLOOKUP(A124,'Data Pegawai'!B:P,13,FALSE))</f>
        <v>46053</v>
      </c>
      <c r="G124">
        <f t="shared" ca="1" si="21"/>
        <v>1</v>
      </c>
      <c r="H124">
        <f t="shared" ca="1" si="27"/>
        <v>1</v>
      </c>
      <c r="I124">
        <f t="shared" ca="1" si="27"/>
        <v>1</v>
      </c>
      <c r="J124">
        <f t="shared" ca="1" si="27"/>
        <v>1</v>
      </c>
      <c r="K124">
        <f t="shared" ca="1" si="27"/>
        <v>1</v>
      </c>
      <c r="L124">
        <f t="shared" ca="1" si="27"/>
        <v>1</v>
      </c>
      <c r="M124">
        <f t="shared" ca="1" si="27"/>
        <v>1</v>
      </c>
      <c r="N124">
        <f t="shared" ca="1" si="27"/>
        <v>1</v>
      </c>
      <c r="O124">
        <f t="shared" ca="1" si="27"/>
        <v>1</v>
      </c>
      <c r="P124">
        <f t="shared" ca="1" si="27"/>
        <v>1</v>
      </c>
      <c r="Q124">
        <f t="shared" ca="1" si="27"/>
        <v>1</v>
      </c>
      <c r="R124">
        <f t="shared" ca="1" si="27"/>
        <v>1</v>
      </c>
      <c r="S124">
        <f t="shared" ca="1" si="27"/>
        <v>1</v>
      </c>
      <c r="T124">
        <f t="shared" ca="1" si="27"/>
        <v>1</v>
      </c>
      <c r="U124">
        <f t="shared" ca="1" si="27"/>
        <v>1</v>
      </c>
      <c r="V124">
        <f t="shared" ca="1" si="27"/>
        <v>1</v>
      </c>
      <c r="W124">
        <f t="shared" ca="1" si="26"/>
        <v>1</v>
      </c>
      <c r="X124">
        <f t="shared" ca="1" si="26"/>
        <v>1</v>
      </c>
      <c r="Y124">
        <f t="shared" ca="1" si="26"/>
        <v>1</v>
      </c>
      <c r="Z124">
        <f t="shared" ca="1" si="26"/>
        <v>1</v>
      </c>
      <c r="AA124">
        <f t="shared" ca="1" si="26"/>
        <v>0</v>
      </c>
    </row>
    <row r="125" spans="1:27" ht="18">
      <c r="A125" s="258" t="s">
        <v>552</v>
      </c>
      <c r="B125" s="258" t="str">
        <f>VLOOKUP(A125,'Data Pegawai'!B:P,2,FALSE)</f>
        <v>Aktif</v>
      </c>
      <c r="C125" s="258" t="str">
        <f>VLOOKUP(A125,'Data Pegawai'!B:P,4,FALSE)</f>
        <v>AA</v>
      </c>
      <c r="D125" s="258" t="str">
        <f>VLOOKUP(A125,'Data Pegawai'!B:P,3,FALSE)</f>
        <v>Dosen</v>
      </c>
      <c r="E125" s="265">
        <f>VLOOKUP(A125,'Data Pegawai'!B:P,13,FALSE)</f>
        <v>44627</v>
      </c>
      <c r="F125" s="265">
        <f ca="1">IF(VLOOKUP(A125,'Data Pegawai'!B:P,14,FALSE)=0,EOMONTH(TODAY(),0),VLOOKUP(A125,'Data Pegawai'!B:P,13,FALSE))</f>
        <v>46053</v>
      </c>
      <c r="G125">
        <f t="shared" ca="1" si="21"/>
        <v>1</v>
      </c>
      <c r="H125">
        <f t="shared" ca="1" si="27"/>
        <v>1</v>
      </c>
      <c r="I125">
        <f t="shared" ca="1" si="27"/>
        <v>1</v>
      </c>
      <c r="J125">
        <f t="shared" ca="1" si="27"/>
        <v>1</v>
      </c>
      <c r="K125">
        <f t="shared" ca="1" si="27"/>
        <v>1</v>
      </c>
      <c r="L125">
        <f t="shared" ca="1" si="27"/>
        <v>1</v>
      </c>
      <c r="M125">
        <f t="shared" ca="1" si="27"/>
        <v>1</v>
      </c>
      <c r="N125">
        <f t="shared" ca="1" si="27"/>
        <v>1</v>
      </c>
      <c r="O125">
        <f t="shared" ca="1" si="27"/>
        <v>1</v>
      </c>
      <c r="P125">
        <f t="shared" ca="1" si="27"/>
        <v>1</v>
      </c>
      <c r="Q125">
        <f t="shared" ca="1" si="27"/>
        <v>1</v>
      </c>
      <c r="R125">
        <f t="shared" ca="1" si="27"/>
        <v>1</v>
      </c>
      <c r="S125">
        <f t="shared" ca="1" si="27"/>
        <v>0</v>
      </c>
      <c r="T125">
        <f t="shared" ca="1" si="27"/>
        <v>0</v>
      </c>
      <c r="U125">
        <f t="shared" ca="1" si="27"/>
        <v>0</v>
      </c>
      <c r="V125">
        <f t="shared" ca="1" si="27"/>
        <v>0</v>
      </c>
      <c r="W125">
        <f t="shared" ca="1" si="26"/>
        <v>1</v>
      </c>
      <c r="X125">
        <f t="shared" ca="1" si="26"/>
        <v>1</v>
      </c>
      <c r="Y125">
        <f t="shared" ca="1" si="26"/>
        <v>1</v>
      </c>
      <c r="Z125">
        <f t="shared" ca="1" si="26"/>
        <v>1</v>
      </c>
      <c r="AA125">
        <f t="shared" ca="1" si="26"/>
        <v>0</v>
      </c>
    </row>
    <row r="126" spans="1:27" ht="18">
      <c r="A126" s="258" t="s">
        <v>557</v>
      </c>
      <c r="B126" s="258" t="str">
        <f>VLOOKUP(A126,'Data Pegawai'!B:P,2,FALSE)</f>
        <v>Non-Aktif</v>
      </c>
      <c r="C126" s="258" t="str">
        <f>VLOOKUP(A126,'Data Pegawai'!B:P,4,FALSE)</f>
        <v>NJAD</v>
      </c>
      <c r="D126" s="258" t="str">
        <f>VLOOKUP(A126,'Data Pegawai'!B:P,3,FALSE)</f>
        <v>Dosen</v>
      </c>
      <c r="E126" s="265">
        <f>VLOOKUP(A126,'Data Pegawai'!B:P,13,FALSE)</f>
        <v>44627</v>
      </c>
      <c r="F126" s="265">
        <f ca="1">IF(VLOOKUP(A126,'Data Pegawai'!B:P,14,FALSE)=0,EOMONTH(TODAY(),0),VLOOKUP(A126,'Data Pegawai'!B:P,13,FALSE))</f>
        <v>44627</v>
      </c>
      <c r="G126">
        <f t="shared" ca="1" si="21"/>
        <v>0</v>
      </c>
      <c r="H126">
        <f t="shared" ca="1" si="27"/>
        <v>0</v>
      </c>
      <c r="I126">
        <f t="shared" ca="1" si="27"/>
        <v>0</v>
      </c>
      <c r="J126">
        <f t="shared" ca="1" si="27"/>
        <v>0</v>
      </c>
      <c r="K126">
        <f t="shared" ca="1" si="27"/>
        <v>0</v>
      </c>
      <c r="L126">
        <f t="shared" ca="1" si="27"/>
        <v>0</v>
      </c>
      <c r="M126">
        <f t="shared" ca="1" si="27"/>
        <v>0</v>
      </c>
      <c r="N126">
        <f t="shared" ca="1" si="27"/>
        <v>0</v>
      </c>
      <c r="O126">
        <f t="shared" ca="1" si="27"/>
        <v>0</v>
      </c>
      <c r="P126">
        <f t="shared" ca="1" si="27"/>
        <v>0</v>
      </c>
      <c r="Q126">
        <f t="shared" ca="1" si="27"/>
        <v>0</v>
      </c>
      <c r="R126">
        <f t="shared" ca="1" si="27"/>
        <v>0</v>
      </c>
      <c r="S126">
        <f t="shared" ca="1" si="27"/>
        <v>0</v>
      </c>
      <c r="T126">
        <f t="shared" ca="1" si="27"/>
        <v>0</v>
      </c>
      <c r="U126">
        <f t="shared" ca="1" si="27"/>
        <v>0</v>
      </c>
      <c r="V126">
        <f t="shared" ca="1" si="27"/>
        <v>0</v>
      </c>
      <c r="W126">
        <f t="shared" ca="1" si="26"/>
        <v>0</v>
      </c>
      <c r="X126">
        <f t="shared" ca="1" si="26"/>
        <v>0</v>
      </c>
      <c r="Y126">
        <f t="shared" ca="1" si="26"/>
        <v>0</v>
      </c>
      <c r="Z126">
        <f t="shared" ca="1" si="26"/>
        <v>0</v>
      </c>
      <c r="AA126">
        <f t="shared" ca="1" si="26"/>
        <v>0</v>
      </c>
    </row>
    <row r="127" spans="1:27" ht="18">
      <c r="A127" s="258" t="s">
        <v>560</v>
      </c>
      <c r="B127" s="258" t="str">
        <f>VLOOKUP(A127,'Data Pegawai'!B:P,2,FALSE)</f>
        <v>Aktif</v>
      </c>
      <c r="C127" s="258" t="str">
        <f>VLOOKUP(A127,'Data Pegawai'!B:P,4,FALSE)</f>
        <v>AA</v>
      </c>
      <c r="D127" s="258" t="str">
        <f>VLOOKUP(A127,'Data Pegawai'!B:P,3,FALSE)</f>
        <v>Dosen</v>
      </c>
      <c r="E127" s="265">
        <f>VLOOKUP(A127,'Data Pegawai'!B:P,13,FALSE)</f>
        <v>44832</v>
      </c>
      <c r="F127" s="265">
        <f ca="1">IF(VLOOKUP(A127,'Data Pegawai'!B:P,14,FALSE)=0,EOMONTH(TODAY(),0),VLOOKUP(A127,'Data Pegawai'!B:P,13,FALSE))</f>
        <v>46053</v>
      </c>
      <c r="G127">
        <f t="shared" ca="1" si="21"/>
        <v>1</v>
      </c>
      <c r="H127">
        <f t="shared" ca="1" si="27"/>
        <v>1</v>
      </c>
      <c r="I127">
        <f t="shared" ca="1" si="27"/>
        <v>1</v>
      </c>
      <c r="J127">
        <f t="shared" ca="1" si="27"/>
        <v>1</v>
      </c>
      <c r="K127">
        <f t="shared" ca="1" si="27"/>
        <v>1</v>
      </c>
      <c r="L127">
        <f t="shared" ca="1" si="27"/>
        <v>1</v>
      </c>
      <c r="M127">
        <f t="shared" ca="1" si="27"/>
        <v>1</v>
      </c>
      <c r="N127">
        <f t="shared" ca="1" si="27"/>
        <v>1</v>
      </c>
      <c r="O127">
        <f t="shared" ca="1" si="27"/>
        <v>1</v>
      </c>
      <c r="P127">
        <f t="shared" ca="1" si="27"/>
        <v>1</v>
      </c>
      <c r="Q127">
        <f t="shared" ca="1" si="27"/>
        <v>1</v>
      </c>
      <c r="R127">
        <f t="shared" ca="1" si="27"/>
        <v>1</v>
      </c>
      <c r="S127">
        <f t="shared" ca="1" si="27"/>
        <v>0</v>
      </c>
      <c r="T127">
        <f t="shared" ca="1" si="27"/>
        <v>0</v>
      </c>
      <c r="U127">
        <f t="shared" ca="1" si="27"/>
        <v>0</v>
      </c>
      <c r="V127">
        <f t="shared" ca="1" si="27"/>
        <v>0</v>
      </c>
      <c r="W127">
        <f t="shared" ca="1" si="26"/>
        <v>1</v>
      </c>
      <c r="X127">
        <f t="shared" ca="1" si="26"/>
        <v>1</v>
      </c>
      <c r="Y127">
        <f t="shared" ca="1" si="26"/>
        <v>1</v>
      </c>
      <c r="Z127">
        <f t="shared" ca="1" si="26"/>
        <v>1</v>
      </c>
      <c r="AA127">
        <f t="shared" ca="1" si="26"/>
        <v>0</v>
      </c>
    </row>
    <row r="128" spans="1:27" ht="18">
      <c r="A128" s="258" t="s">
        <v>564</v>
      </c>
      <c r="B128" s="258" t="str">
        <f>VLOOKUP(A128,'Data Pegawai'!B:P,2,FALSE)</f>
        <v>Aktif</v>
      </c>
      <c r="C128" s="258" t="str">
        <f>VLOOKUP(A128,'Data Pegawai'!B:P,4,FALSE)</f>
        <v>AA</v>
      </c>
      <c r="D128" s="258" t="str">
        <f>VLOOKUP(A128,'Data Pegawai'!B:P,3,FALSE)</f>
        <v>Dosen</v>
      </c>
      <c r="E128" s="265">
        <f>VLOOKUP(A128,'Data Pegawai'!B:P,13,FALSE)</f>
        <v>44832</v>
      </c>
      <c r="F128" s="265">
        <f ca="1">IF(VLOOKUP(A128,'Data Pegawai'!B:P,14,FALSE)=0,EOMONTH(TODAY(),0),VLOOKUP(A128,'Data Pegawai'!B:P,13,FALSE))</f>
        <v>46053</v>
      </c>
      <c r="G128">
        <f t="shared" ca="1" si="21"/>
        <v>1</v>
      </c>
      <c r="H128">
        <f t="shared" ca="1" si="27"/>
        <v>1</v>
      </c>
      <c r="I128">
        <f t="shared" ca="1" si="27"/>
        <v>1</v>
      </c>
      <c r="J128">
        <f t="shared" ca="1" si="27"/>
        <v>1</v>
      </c>
      <c r="K128">
        <f t="shared" ca="1" si="27"/>
        <v>1</v>
      </c>
      <c r="L128">
        <f t="shared" ca="1" si="27"/>
        <v>1</v>
      </c>
      <c r="M128">
        <f t="shared" ca="1" si="27"/>
        <v>1</v>
      </c>
      <c r="N128">
        <f t="shared" ca="1" si="27"/>
        <v>1</v>
      </c>
      <c r="O128">
        <f t="shared" ca="1" si="27"/>
        <v>1</v>
      </c>
      <c r="P128">
        <f t="shared" ca="1" si="27"/>
        <v>1</v>
      </c>
      <c r="Q128">
        <f t="shared" ca="1" si="27"/>
        <v>1</v>
      </c>
      <c r="R128">
        <f t="shared" ca="1" si="27"/>
        <v>1</v>
      </c>
      <c r="S128">
        <f t="shared" ca="1" si="27"/>
        <v>0</v>
      </c>
      <c r="T128">
        <f t="shared" ca="1" si="27"/>
        <v>0</v>
      </c>
      <c r="U128">
        <f t="shared" ca="1" si="27"/>
        <v>0</v>
      </c>
      <c r="V128">
        <f t="shared" ca="1" si="27"/>
        <v>0</v>
      </c>
      <c r="W128">
        <f t="shared" ca="1" si="26"/>
        <v>1</v>
      </c>
      <c r="X128">
        <f t="shared" ca="1" si="26"/>
        <v>1</v>
      </c>
      <c r="Y128">
        <f t="shared" ca="1" si="26"/>
        <v>1</v>
      </c>
      <c r="Z128">
        <f t="shared" ca="1" si="26"/>
        <v>1</v>
      </c>
      <c r="AA128">
        <f t="shared" ca="1" si="26"/>
        <v>0</v>
      </c>
    </row>
    <row r="129" spans="1:27" ht="18">
      <c r="A129" s="258" t="s">
        <v>568</v>
      </c>
      <c r="B129" s="258" t="str">
        <f>VLOOKUP(A129,'Data Pegawai'!B:P,2,FALSE)</f>
        <v>Aktif</v>
      </c>
      <c r="C129" s="258" t="str">
        <f>VLOOKUP(A129,'Data Pegawai'!B:P,4,FALSE)</f>
        <v>NJAD</v>
      </c>
      <c r="D129" s="258" t="str">
        <f>VLOOKUP(A129,'Data Pegawai'!B:P,3,FALSE)</f>
        <v>Dosen</v>
      </c>
      <c r="E129" s="265">
        <f>VLOOKUP(A129,'Data Pegawai'!B:P,13,FALSE)</f>
        <v>45170</v>
      </c>
      <c r="F129" s="265">
        <f ca="1">IF(VLOOKUP(A129,'Data Pegawai'!B:P,14,FALSE)=0,EOMONTH(TODAY(),0),VLOOKUP(A129,'Data Pegawai'!B:P,13,FALSE))</f>
        <v>46053</v>
      </c>
      <c r="G129">
        <f t="shared" ca="1" si="21"/>
        <v>1</v>
      </c>
      <c r="H129">
        <f t="shared" ca="1" si="27"/>
        <v>1</v>
      </c>
      <c r="I129">
        <f t="shared" ca="1" si="27"/>
        <v>1</v>
      </c>
      <c r="J129">
        <f t="shared" ca="1" si="27"/>
        <v>1</v>
      </c>
      <c r="K129">
        <f t="shared" ca="1" si="27"/>
        <v>1</v>
      </c>
      <c r="L129">
        <f t="shared" ca="1" si="27"/>
        <v>1</v>
      </c>
      <c r="M129">
        <f t="shared" ca="1" si="27"/>
        <v>1</v>
      </c>
      <c r="N129">
        <f t="shared" ca="1" si="27"/>
        <v>1</v>
      </c>
      <c r="O129">
        <f t="shared" ca="1" si="27"/>
        <v>1</v>
      </c>
      <c r="P129">
        <f t="shared" ca="1" si="27"/>
        <v>1</v>
      </c>
      <c r="Q129">
        <f t="shared" ca="1" si="27"/>
        <v>1</v>
      </c>
      <c r="R129">
        <f t="shared" ca="1" si="27"/>
        <v>1</v>
      </c>
      <c r="S129">
        <f t="shared" ca="1" si="27"/>
        <v>0</v>
      </c>
      <c r="T129">
        <f t="shared" ca="1" si="27"/>
        <v>0</v>
      </c>
      <c r="U129">
        <f t="shared" ca="1" si="27"/>
        <v>0</v>
      </c>
      <c r="V129">
        <f t="shared" ca="1" si="27"/>
        <v>0</v>
      </c>
      <c r="W129">
        <f t="shared" ca="1" si="26"/>
        <v>0</v>
      </c>
      <c r="X129">
        <f t="shared" ca="1" si="26"/>
        <v>1</v>
      </c>
      <c r="Y129">
        <f t="shared" ca="1" si="26"/>
        <v>1</v>
      </c>
      <c r="Z129">
        <f t="shared" ca="1" si="26"/>
        <v>1</v>
      </c>
      <c r="AA129">
        <f t="shared" ca="1" si="26"/>
        <v>0</v>
      </c>
    </row>
    <row r="130" spans="1:27" ht="18">
      <c r="A130" s="259" t="s">
        <v>572</v>
      </c>
      <c r="B130" s="258" t="str">
        <f>VLOOKUP(A130,'Data Pegawai'!B:P,2,FALSE)</f>
        <v>Aktif</v>
      </c>
      <c r="C130" s="258" t="str">
        <f>VLOOKUP(A130,'Data Pegawai'!B:P,4,FALSE)</f>
        <v>MADYA.2</v>
      </c>
      <c r="D130" s="258" t="str">
        <f>VLOOKUP(A130,'Data Pegawai'!B:P,3,FALSE)</f>
        <v>TPA</v>
      </c>
      <c r="E130" s="265">
        <f>VLOOKUP(A130,'Data Pegawai'!B:P,13,FALSE)</f>
        <v>43221</v>
      </c>
      <c r="F130" s="265">
        <f ca="1">IF(VLOOKUP(A130,'Data Pegawai'!B:P,14,FALSE)=0,EOMONTH(TODAY(),0),VLOOKUP(A130,'Data Pegawai'!B:P,13,FALSE))</f>
        <v>46053</v>
      </c>
      <c r="G130">
        <f t="shared" ca="1" si="21"/>
        <v>1</v>
      </c>
      <c r="H130">
        <f t="shared" ca="1" si="27"/>
        <v>1</v>
      </c>
      <c r="I130">
        <f t="shared" ca="1" si="27"/>
        <v>1</v>
      </c>
      <c r="J130">
        <f t="shared" ca="1" si="27"/>
        <v>1</v>
      </c>
      <c r="K130">
        <f t="shared" ca="1" si="27"/>
        <v>1</v>
      </c>
      <c r="L130">
        <f t="shared" ca="1" si="27"/>
        <v>1</v>
      </c>
      <c r="M130">
        <f t="shared" ca="1" si="27"/>
        <v>1</v>
      </c>
      <c r="N130">
        <f t="shared" ca="1" si="27"/>
        <v>1</v>
      </c>
      <c r="O130">
        <f t="shared" ca="1" si="27"/>
        <v>1</v>
      </c>
      <c r="P130">
        <f t="shared" ca="1" si="27"/>
        <v>1</v>
      </c>
      <c r="Q130">
        <f t="shared" ca="1" si="27"/>
        <v>1</v>
      </c>
      <c r="R130">
        <f t="shared" ca="1" si="27"/>
        <v>1</v>
      </c>
      <c r="S130">
        <f t="shared" ca="1" si="27"/>
        <v>1</v>
      </c>
      <c r="T130">
        <f t="shared" ca="1" si="27"/>
        <v>1</v>
      </c>
      <c r="U130">
        <f t="shared" ca="1" si="27"/>
        <v>1</v>
      </c>
      <c r="V130">
        <f t="shared" ca="1" si="27"/>
        <v>1</v>
      </c>
      <c r="W130">
        <f t="shared" ca="1" si="26"/>
        <v>1</v>
      </c>
      <c r="X130">
        <f t="shared" ca="1" si="26"/>
        <v>1</v>
      </c>
      <c r="Y130">
        <f t="shared" ca="1" si="26"/>
        <v>1</v>
      </c>
      <c r="Z130">
        <f t="shared" ca="1" si="26"/>
        <v>1</v>
      </c>
      <c r="AA130">
        <f t="shared" ca="1" si="26"/>
        <v>0</v>
      </c>
    </row>
    <row r="131" spans="1:27" ht="18">
      <c r="A131" s="259" t="s">
        <v>577</v>
      </c>
      <c r="B131" s="258" t="str">
        <f>VLOOKUP(A131,'Data Pegawai'!B:P,2,FALSE)</f>
        <v>Aktif</v>
      </c>
      <c r="C131" s="258" t="str">
        <f>VLOOKUP(A131,'Data Pegawai'!B:P,4,FALSE)</f>
        <v>MADYA.2</v>
      </c>
      <c r="D131" s="258" t="str">
        <f>VLOOKUP(A131,'Data Pegawai'!B:P,3,FALSE)</f>
        <v>TPA</v>
      </c>
      <c r="E131" s="265">
        <f>VLOOKUP(A131,'Data Pegawai'!B:P,13,FALSE)</f>
        <v>43234</v>
      </c>
      <c r="F131" s="265">
        <f ca="1">IF(VLOOKUP(A131,'Data Pegawai'!B:P,14,FALSE)=0,EOMONTH(TODAY(),0),VLOOKUP(A131,'Data Pegawai'!B:P,13,FALSE))</f>
        <v>46053</v>
      </c>
      <c r="G131">
        <f t="shared" ca="1" si="21"/>
        <v>1</v>
      </c>
      <c r="H131">
        <f t="shared" ca="1" si="27"/>
        <v>1</v>
      </c>
      <c r="I131">
        <f t="shared" ca="1" si="27"/>
        <v>1</v>
      </c>
      <c r="J131">
        <f t="shared" ca="1" si="27"/>
        <v>1</v>
      </c>
      <c r="K131">
        <f t="shared" ca="1" si="27"/>
        <v>1</v>
      </c>
      <c r="L131">
        <f t="shared" ca="1" si="27"/>
        <v>1</v>
      </c>
      <c r="M131">
        <f t="shared" ca="1" si="27"/>
        <v>1</v>
      </c>
      <c r="N131">
        <f t="shared" ca="1" si="27"/>
        <v>1</v>
      </c>
      <c r="O131">
        <f t="shared" ca="1" si="27"/>
        <v>1</v>
      </c>
      <c r="P131">
        <f t="shared" ca="1" si="27"/>
        <v>1</v>
      </c>
      <c r="Q131">
        <f t="shared" ca="1" si="27"/>
        <v>1</v>
      </c>
      <c r="R131">
        <f t="shared" ca="1" si="27"/>
        <v>1</v>
      </c>
      <c r="S131">
        <f t="shared" ca="1" si="27"/>
        <v>1</v>
      </c>
      <c r="T131">
        <f t="shared" ca="1" si="27"/>
        <v>1</v>
      </c>
      <c r="U131">
        <f t="shared" ca="1" si="27"/>
        <v>1</v>
      </c>
      <c r="V131">
        <f t="shared" ca="1" si="27"/>
        <v>1</v>
      </c>
      <c r="W131">
        <f t="shared" ca="1" si="26"/>
        <v>1</v>
      </c>
      <c r="X131">
        <f t="shared" ca="1" si="26"/>
        <v>1</v>
      </c>
      <c r="Y131">
        <f t="shared" ca="1" si="26"/>
        <v>1</v>
      </c>
      <c r="Z131">
        <f t="shared" ca="1" si="26"/>
        <v>1</v>
      </c>
      <c r="AA131">
        <f t="shared" ca="1" si="26"/>
        <v>0</v>
      </c>
    </row>
    <row r="132" spans="1:27" ht="18">
      <c r="A132" s="259" t="s">
        <v>581</v>
      </c>
      <c r="B132" s="258" t="str">
        <f>VLOOKUP(A132,'Data Pegawai'!B:P,2,FALSE)</f>
        <v>Aktif</v>
      </c>
      <c r="C132" s="258" t="str">
        <f>VLOOKUP(A132,'Data Pegawai'!B:P,4,FALSE)</f>
        <v>MADYA.2</v>
      </c>
      <c r="D132" s="258" t="str">
        <f>VLOOKUP(A132,'Data Pegawai'!B:P,3,FALSE)</f>
        <v>TPA</v>
      </c>
      <c r="E132" s="265">
        <f>VLOOKUP(A132,'Data Pegawai'!B:P,13,FALSE)</f>
        <v>43435</v>
      </c>
      <c r="F132" s="265">
        <f ca="1">IF(VLOOKUP(A132,'Data Pegawai'!B:P,14,FALSE)=0,EOMONTH(TODAY(),0),VLOOKUP(A132,'Data Pegawai'!B:P,13,FALSE))</f>
        <v>46053</v>
      </c>
      <c r="G132">
        <f t="shared" ca="1" si="21"/>
        <v>1</v>
      </c>
      <c r="H132">
        <f t="shared" ca="1" si="27"/>
        <v>1</v>
      </c>
      <c r="I132">
        <f t="shared" ca="1" si="27"/>
        <v>1</v>
      </c>
      <c r="J132">
        <f t="shared" ca="1" si="27"/>
        <v>1</v>
      </c>
      <c r="K132">
        <f t="shared" ca="1" si="27"/>
        <v>1</v>
      </c>
      <c r="L132">
        <f t="shared" ca="1" si="27"/>
        <v>1</v>
      </c>
      <c r="M132">
        <f t="shared" ca="1" si="27"/>
        <v>1</v>
      </c>
      <c r="N132">
        <f t="shared" ca="1" si="27"/>
        <v>1</v>
      </c>
      <c r="O132">
        <f t="shared" ca="1" si="27"/>
        <v>1</v>
      </c>
      <c r="P132">
        <f t="shared" ca="1" si="27"/>
        <v>1</v>
      </c>
      <c r="Q132">
        <f t="shared" ca="1" si="27"/>
        <v>1</v>
      </c>
      <c r="R132">
        <f t="shared" ca="1" si="27"/>
        <v>1</v>
      </c>
      <c r="S132">
        <f t="shared" ca="1" si="27"/>
        <v>1</v>
      </c>
      <c r="T132">
        <f t="shared" ca="1" si="27"/>
        <v>1</v>
      </c>
      <c r="U132">
        <f t="shared" ca="1" si="27"/>
        <v>1</v>
      </c>
      <c r="V132">
        <f t="shared" ca="1" si="27"/>
        <v>1</v>
      </c>
      <c r="W132">
        <f t="shared" ca="1" si="26"/>
        <v>1</v>
      </c>
      <c r="X132">
        <f t="shared" ca="1" si="26"/>
        <v>1</v>
      </c>
      <c r="Y132">
        <f t="shared" ca="1" si="26"/>
        <v>1</v>
      </c>
      <c r="Z132">
        <f t="shared" ca="1" si="26"/>
        <v>1</v>
      </c>
      <c r="AA132">
        <f t="shared" ca="1" si="26"/>
        <v>0</v>
      </c>
    </row>
    <row r="133" spans="1:27" ht="18">
      <c r="A133" s="259" t="s">
        <v>585</v>
      </c>
      <c r="B133" s="258" t="str">
        <f>VLOOKUP(A133,'Data Pegawai'!B:P,2,FALSE)</f>
        <v>Aktif</v>
      </c>
      <c r="C133" s="258" t="str">
        <f>VLOOKUP(A133,'Data Pegawai'!B:P,4,FALSE)</f>
        <v>MADYA.2</v>
      </c>
      <c r="D133" s="258" t="str">
        <f>VLOOKUP(A133,'Data Pegawai'!B:P,3,FALSE)</f>
        <v>TPA</v>
      </c>
      <c r="E133" s="265">
        <f>VLOOKUP(A133,'Data Pegawai'!B:P,13,FALSE)</f>
        <v>43252</v>
      </c>
      <c r="F133" s="265">
        <f ca="1">IF(VLOOKUP(A133,'Data Pegawai'!B:P,14,FALSE)=0,EOMONTH(TODAY(),0),VLOOKUP(A133,'Data Pegawai'!B:P,13,FALSE))</f>
        <v>46053</v>
      </c>
      <c r="G133">
        <f t="shared" ca="1" si="21"/>
        <v>1</v>
      </c>
      <c r="H133">
        <f t="shared" ca="1" si="27"/>
        <v>1</v>
      </c>
      <c r="I133">
        <f t="shared" ca="1" si="27"/>
        <v>1</v>
      </c>
      <c r="J133">
        <f t="shared" ca="1" si="27"/>
        <v>1</v>
      </c>
      <c r="K133">
        <f t="shared" ca="1" si="27"/>
        <v>1</v>
      </c>
      <c r="L133">
        <f t="shared" ca="1" si="27"/>
        <v>1</v>
      </c>
      <c r="M133">
        <f t="shared" ca="1" si="27"/>
        <v>1</v>
      </c>
      <c r="N133">
        <f t="shared" ca="1" si="27"/>
        <v>1</v>
      </c>
      <c r="O133">
        <f t="shared" ca="1" si="27"/>
        <v>1</v>
      </c>
      <c r="P133">
        <f t="shared" ca="1" si="27"/>
        <v>1</v>
      </c>
      <c r="Q133">
        <f t="shared" ca="1" si="27"/>
        <v>1</v>
      </c>
      <c r="R133">
        <f t="shared" ca="1" si="27"/>
        <v>1</v>
      </c>
      <c r="S133">
        <f t="shared" ca="1" si="27"/>
        <v>1</v>
      </c>
      <c r="T133">
        <f t="shared" ca="1" si="27"/>
        <v>1</v>
      </c>
      <c r="U133">
        <f t="shared" ca="1" si="27"/>
        <v>1</v>
      </c>
      <c r="V133">
        <f t="shared" ref="V133:AA148" ca="1" si="28">IF(AND(V$3&gt;=$E133,V$3&lt;=$F133),1,0)</f>
        <v>1</v>
      </c>
      <c r="W133">
        <f t="shared" ca="1" si="28"/>
        <v>1</v>
      </c>
      <c r="X133">
        <f t="shared" ca="1" si="28"/>
        <v>1</v>
      </c>
      <c r="Y133">
        <f t="shared" ca="1" si="28"/>
        <v>1</v>
      </c>
      <c r="Z133">
        <f t="shared" ca="1" si="28"/>
        <v>1</v>
      </c>
      <c r="AA133">
        <f t="shared" ca="1" si="28"/>
        <v>0</v>
      </c>
    </row>
    <row r="134" spans="1:27" ht="18">
      <c r="A134" s="259" t="s">
        <v>588</v>
      </c>
      <c r="B134" s="258" t="str">
        <f>VLOOKUP(A134,'Data Pegawai'!B:P,2,FALSE)</f>
        <v>Aktif</v>
      </c>
      <c r="C134" s="258" t="str">
        <f>VLOOKUP(A134,'Data Pegawai'!B:P,4,FALSE)</f>
        <v>MADYA.2</v>
      </c>
      <c r="D134" s="258" t="str">
        <f>VLOOKUP(A134,'Data Pegawai'!B:P,3,FALSE)</f>
        <v>TPA</v>
      </c>
      <c r="E134" s="265">
        <f>VLOOKUP(A134,'Data Pegawai'!B:P,13,FALSE)</f>
        <v>43252</v>
      </c>
      <c r="F134" s="265">
        <f ca="1">IF(VLOOKUP(A134,'Data Pegawai'!B:P,14,FALSE)=0,EOMONTH(TODAY(),0),VLOOKUP(A134,'Data Pegawai'!B:P,13,FALSE))</f>
        <v>46053</v>
      </c>
      <c r="G134">
        <f t="shared" ca="1" si="21"/>
        <v>1</v>
      </c>
      <c r="H134">
        <f t="shared" ref="H134:V149" ca="1" si="29">IF(AND(H$3&gt;=$E134,H$3&lt;=$F134),1,0)</f>
        <v>1</v>
      </c>
      <c r="I134">
        <f t="shared" ca="1" si="29"/>
        <v>1</v>
      </c>
      <c r="J134">
        <f t="shared" ca="1" si="29"/>
        <v>1</v>
      </c>
      <c r="K134">
        <f t="shared" ca="1" si="29"/>
        <v>1</v>
      </c>
      <c r="L134">
        <f t="shared" ca="1" si="29"/>
        <v>1</v>
      </c>
      <c r="M134">
        <f t="shared" ca="1" si="29"/>
        <v>1</v>
      </c>
      <c r="N134">
        <f t="shared" ca="1" si="29"/>
        <v>1</v>
      </c>
      <c r="O134">
        <f t="shared" ca="1" si="29"/>
        <v>1</v>
      </c>
      <c r="P134">
        <f t="shared" ca="1" si="29"/>
        <v>1</v>
      </c>
      <c r="Q134">
        <f t="shared" ca="1" si="29"/>
        <v>1</v>
      </c>
      <c r="R134">
        <f t="shared" ca="1" si="29"/>
        <v>1</v>
      </c>
      <c r="S134">
        <f t="shared" ca="1" si="29"/>
        <v>1</v>
      </c>
      <c r="T134">
        <f t="shared" ca="1" si="29"/>
        <v>1</v>
      </c>
      <c r="U134">
        <f t="shared" ca="1" si="29"/>
        <v>1</v>
      </c>
      <c r="V134">
        <f t="shared" ca="1" si="29"/>
        <v>1</v>
      </c>
      <c r="W134">
        <f t="shared" ca="1" si="28"/>
        <v>1</v>
      </c>
      <c r="X134">
        <f t="shared" ca="1" si="28"/>
        <v>1</v>
      </c>
      <c r="Y134">
        <f t="shared" ca="1" si="28"/>
        <v>1</v>
      </c>
      <c r="Z134">
        <f t="shared" ca="1" si="28"/>
        <v>1</v>
      </c>
      <c r="AA134">
        <f t="shared" ca="1" si="28"/>
        <v>0</v>
      </c>
    </row>
    <row r="135" spans="1:27" ht="18">
      <c r="A135" s="260" t="s">
        <v>592</v>
      </c>
      <c r="B135" s="258" t="str">
        <f>VLOOKUP(A135,'Data Pegawai'!B:P,2,FALSE)</f>
        <v>Aktif</v>
      </c>
      <c r="C135" s="258" t="str">
        <f>VLOOKUP(A135,'Data Pegawai'!B:P,4,FALSE)</f>
        <v>MADYA.2</v>
      </c>
      <c r="D135" s="258" t="str">
        <f>VLOOKUP(A135,'Data Pegawai'!B:P,3,FALSE)</f>
        <v>TPA</v>
      </c>
      <c r="E135" s="265">
        <f>VLOOKUP(A135,'Data Pegawai'!B:P,13,FALSE)</f>
        <v>43252</v>
      </c>
      <c r="F135" s="265">
        <f ca="1">IF(VLOOKUP(A135,'Data Pegawai'!B:P,14,FALSE)=0,EOMONTH(TODAY(),0),VLOOKUP(A135,'Data Pegawai'!B:P,13,FALSE))</f>
        <v>46053</v>
      </c>
      <c r="G135">
        <f t="shared" ca="1" si="21"/>
        <v>1</v>
      </c>
      <c r="H135">
        <f t="shared" ca="1" si="29"/>
        <v>1</v>
      </c>
      <c r="I135">
        <f t="shared" ca="1" si="29"/>
        <v>1</v>
      </c>
      <c r="J135">
        <f t="shared" ca="1" si="29"/>
        <v>1</v>
      </c>
      <c r="K135">
        <f t="shared" ca="1" si="29"/>
        <v>1</v>
      </c>
      <c r="L135">
        <f t="shared" ca="1" si="29"/>
        <v>1</v>
      </c>
      <c r="M135">
        <f t="shared" ca="1" si="29"/>
        <v>1</v>
      </c>
      <c r="N135">
        <f t="shared" ca="1" si="29"/>
        <v>1</v>
      </c>
      <c r="O135">
        <f t="shared" ca="1" si="29"/>
        <v>1</v>
      </c>
      <c r="P135">
        <f t="shared" ca="1" si="29"/>
        <v>1</v>
      </c>
      <c r="Q135">
        <f t="shared" ca="1" si="29"/>
        <v>1</v>
      </c>
      <c r="R135">
        <f t="shared" ca="1" si="29"/>
        <v>1</v>
      </c>
      <c r="S135">
        <f t="shared" ca="1" si="29"/>
        <v>1</v>
      </c>
      <c r="T135">
        <f t="shared" ca="1" si="29"/>
        <v>1</v>
      </c>
      <c r="U135">
        <f t="shared" ca="1" si="29"/>
        <v>1</v>
      </c>
      <c r="V135">
        <f t="shared" ca="1" si="29"/>
        <v>1</v>
      </c>
      <c r="W135">
        <f t="shared" ca="1" si="28"/>
        <v>1</v>
      </c>
      <c r="X135">
        <f t="shared" ca="1" si="28"/>
        <v>1</v>
      </c>
      <c r="Y135">
        <f t="shared" ca="1" si="28"/>
        <v>1</v>
      </c>
      <c r="Z135">
        <f t="shared" ca="1" si="28"/>
        <v>1</v>
      </c>
      <c r="AA135">
        <f t="shared" ca="1" si="28"/>
        <v>0</v>
      </c>
    </row>
    <row r="136" spans="1:27" ht="18">
      <c r="A136" s="260" t="s">
        <v>596</v>
      </c>
      <c r="B136" s="258" t="str">
        <f>VLOOKUP(A136,'Data Pegawai'!B:P,2,FALSE)</f>
        <v>Aktif</v>
      </c>
      <c r="C136" s="258" t="str">
        <f>VLOOKUP(A136,'Data Pegawai'!B:P,4,FALSE)</f>
        <v>MADYA.2</v>
      </c>
      <c r="D136" s="258" t="str">
        <f>VLOOKUP(A136,'Data Pegawai'!B:P,3,FALSE)</f>
        <v>TPA</v>
      </c>
      <c r="E136" s="265">
        <f>VLOOKUP(A136,'Data Pegawai'!B:P,13,FALSE)</f>
        <v>43374</v>
      </c>
      <c r="F136" s="265">
        <f ca="1">IF(VLOOKUP(A136,'Data Pegawai'!B:P,14,FALSE)=0,EOMONTH(TODAY(),0),VLOOKUP(A136,'Data Pegawai'!B:P,13,FALSE))</f>
        <v>46053</v>
      </c>
      <c r="G136">
        <f t="shared" ca="1" si="21"/>
        <v>1</v>
      </c>
      <c r="H136">
        <f t="shared" ca="1" si="29"/>
        <v>1</v>
      </c>
      <c r="I136">
        <f t="shared" ca="1" si="29"/>
        <v>1</v>
      </c>
      <c r="J136">
        <f t="shared" ca="1" si="29"/>
        <v>1</v>
      </c>
      <c r="K136">
        <f t="shared" ca="1" si="29"/>
        <v>1</v>
      </c>
      <c r="L136">
        <f t="shared" ca="1" si="29"/>
        <v>1</v>
      </c>
      <c r="M136">
        <f t="shared" ca="1" si="29"/>
        <v>1</v>
      </c>
      <c r="N136">
        <f t="shared" ca="1" si="29"/>
        <v>1</v>
      </c>
      <c r="O136">
        <f t="shared" ca="1" si="29"/>
        <v>1</v>
      </c>
      <c r="P136">
        <f t="shared" ca="1" si="29"/>
        <v>1</v>
      </c>
      <c r="Q136">
        <f t="shared" ca="1" si="29"/>
        <v>1</v>
      </c>
      <c r="R136">
        <f t="shared" ca="1" si="29"/>
        <v>1</v>
      </c>
      <c r="S136">
        <f t="shared" ca="1" si="29"/>
        <v>1</v>
      </c>
      <c r="T136">
        <f t="shared" ca="1" si="29"/>
        <v>1</v>
      </c>
      <c r="U136">
        <f t="shared" ca="1" si="29"/>
        <v>1</v>
      </c>
      <c r="V136">
        <f t="shared" ca="1" si="29"/>
        <v>1</v>
      </c>
      <c r="W136">
        <f t="shared" ca="1" si="28"/>
        <v>1</v>
      </c>
      <c r="X136">
        <f t="shared" ca="1" si="28"/>
        <v>1</v>
      </c>
      <c r="Y136">
        <f t="shared" ca="1" si="28"/>
        <v>1</v>
      </c>
      <c r="Z136">
        <f t="shared" ca="1" si="28"/>
        <v>1</v>
      </c>
      <c r="AA136">
        <f t="shared" ca="1" si="28"/>
        <v>0</v>
      </c>
    </row>
    <row r="137" spans="1:27" ht="18">
      <c r="A137" s="260" t="s">
        <v>599</v>
      </c>
      <c r="B137" s="258" t="str">
        <f>VLOOKUP(A137,'Data Pegawai'!B:P,2,FALSE)</f>
        <v>Aktif</v>
      </c>
      <c r="C137" s="258" t="str">
        <f>VLOOKUP(A137,'Data Pegawai'!B:P,4,FALSE)</f>
        <v>MADYA.2</v>
      </c>
      <c r="D137" s="258" t="str">
        <f>VLOOKUP(A137,'Data Pegawai'!B:P,3,FALSE)</f>
        <v>TPA</v>
      </c>
      <c r="E137" s="265">
        <f>VLOOKUP(A137,'Data Pegawai'!B:P,13,FALSE)</f>
        <v>43405</v>
      </c>
      <c r="F137" s="265">
        <f ca="1">IF(VLOOKUP(A137,'Data Pegawai'!B:P,14,FALSE)=0,EOMONTH(TODAY(),0),VLOOKUP(A137,'Data Pegawai'!B:P,13,FALSE))</f>
        <v>46053</v>
      </c>
      <c r="G137">
        <f t="shared" ca="1" si="21"/>
        <v>1</v>
      </c>
      <c r="H137">
        <f t="shared" ca="1" si="29"/>
        <v>1</v>
      </c>
      <c r="I137">
        <f t="shared" ca="1" si="29"/>
        <v>1</v>
      </c>
      <c r="J137">
        <f t="shared" ca="1" si="29"/>
        <v>1</v>
      </c>
      <c r="K137">
        <f t="shared" ca="1" si="29"/>
        <v>1</v>
      </c>
      <c r="L137">
        <f t="shared" ca="1" si="29"/>
        <v>1</v>
      </c>
      <c r="M137">
        <f t="shared" ca="1" si="29"/>
        <v>1</v>
      </c>
      <c r="N137">
        <f t="shared" ca="1" si="29"/>
        <v>1</v>
      </c>
      <c r="O137">
        <f t="shared" ca="1" si="29"/>
        <v>1</v>
      </c>
      <c r="P137">
        <f t="shared" ca="1" si="29"/>
        <v>1</v>
      </c>
      <c r="Q137">
        <f t="shared" ca="1" si="29"/>
        <v>1</v>
      </c>
      <c r="R137">
        <f t="shared" ca="1" si="29"/>
        <v>1</v>
      </c>
      <c r="S137">
        <f t="shared" ca="1" si="29"/>
        <v>1</v>
      </c>
      <c r="T137">
        <f t="shared" ca="1" si="29"/>
        <v>1</v>
      </c>
      <c r="U137">
        <f t="shared" ca="1" si="29"/>
        <v>1</v>
      </c>
      <c r="V137">
        <f t="shared" ca="1" si="29"/>
        <v>1</v>
      </c>
      <c r="W137">
        <f t="shared" ca="1" si="28"/>
        <v>1</v>
      </c>
      <c r="X137">
        <f t="shared" ca="1" si="28"/>
        <v>1</v>
      </c>
      <c r="Y137">
        <f t="shared" ca="1" si="28"/>
        <v>1</v>
      </c>
      <c r="Z137">
        <f t="shared" ca="1" si="28"/>
        <v>1</v>
      </c>
      <c r="AA137">
        <f t="shared" ca="1" si="28"/>
        <v>0</v>
      </c>
    </row>
    <row r="138" spans="1:27" ht="18">
      <c r="A138" s="260" t="s">
        <v>602</v>
      </c>
      <c r="B138" s="258" t="str">
        <f>VLOOKUP(A138,'Data Pegawai'!B:P,2,FALSE)</f>
        <v>Aktif</v>
      </c>
      <c r="C138" s="258" t="str">
        <f>VLOOKUP(A138,'Data Pegawai'!B:P,4,FALSE)</f>
        <v>MUDA.3</v>
      </c>
      <c r="D138" s="258" t="str">
        <f>VLOOKUP(A138,'Data Pegawai'!B:P,3,FALSE)</f>
        <v>TPA</v>
      </c>
      <c r="E138" s="265">
        <f>VLOOKUP(A138,'Data Pegawai'!B:P,13,FALSE)</f>
        <v>43435</v>
      </c>
      <c r="F138" s="265">
        <f ca="1">IF(VLOOKUP(A138,'Data Pegawai'!B:P,14,FALSE)=0,EOMONTH(TODAY(),0),VLOOKUP(A138,'Data Pegawai'!B:P,13,FALSE))</f>
        <v>46053</v>
      </c>
      <c r="G138">
        <f t="shared" ca="1" si="21"/>
        <v>1</v>
      </c>
      <c r="H138">
        <f t="shared" ca="1" si="29"/>
        <v>1</v>
      </c>
      <c r="I138">
        <f t="shared" ca="1" si="29"/>
        <v>1</v>
      </c>
      <c r="J138">
        <f t="shared" ca="1" si="29"/>
        <v>1</v>
      </c>
      <c r="K138">
        <f t="shared" ca="1" si="29"/>
        <v>1</v>
      </c>
      <c r="L138">
        <f t="shared" ca="1" si="29"/>
        <v>1</v>
      </c>
      <c r="M138">
        <f t="shared" ca="1" si="29"/>
        <v>1</v>
      </c>
      <c r="N138">
        <f t="shared" ca="1" si="29"/>
        <v>1</v>
      </c>
      <c r="O138">
        <f t="shared" ca="1" si="29"/>
        <v>1</v>
      </c>
      <c r="P138">
        <f t="shared" ca="1" si="29"/>
        <v>1</v>
      </c>
      <c r="Q138">
        <f t="shared" ca="1" si="29"/>
        <v>1</v>
      </c>
      <c r="R138">
        <f t="shared" ca="1" si="29"/>
        <v>1</v>
      </c>
      <c r="S138">
        <f t="shared" ca="1" si="29"/>
        <v>1</v>
      </c>
      <c r="T138">
        <f t="shared" ca="1" si="29"/>
        <v>1</v>
      </c>
      <c r="U138">
        <f t="shared" ca="1" si="29"/>
        <v>1</v>
      </c>
      <c r="V138">
        <f t="shared" ca="1" si="29"/>
        <v>1</v>
      </c>
      <c r="W138">
        <f t="shared" ca="1" si="28"/>
        <v>1</v>
      </c>
      <c r="X138">
        <f t="shared" ca="1" si="28"/>
        <v>1</v>
      </c>
      <c r="Y138">
        <f t="shared" ca="1" si="28"/>
        <v>1</v>
      </c>
      <c r="Z138">
        <f t="shared" ca="1" si="28"/>
        <v>1</v>
      </c>
      <c r="AA138">
        <f t="shared" ca="1" si="28"/>
        <v>0</v>
      </c>
    </row>
    <row r="139" spans="1:27" ht="18">
      <c r="A139" s="260" t="s">
        <v>606</v>
      </c>
      <c r="B139" s="258" t="str">
        <f>VLOOKUP(A139,'Data Pegawai'!B:P,2,FALSE)</f>
        <v>Aktif</v>
      </c>
      <c r="C139" s="258" t="str">
        <f>VLOOKUP(A139,'Data Pegawai'!B:P,4,FALSE)</f>
        <v>AHLI.2</v>
      </c>
      <c r="D139" s="258" t="str">
        <f>VLOOKUP(A139,'Data Pegawai'!B:P,3,FALSE)</f>
        <v>TPA</v>
      </c>
      <c r="E139" s="265">
        <f>VLOOKUP(A139,'Data Pegawai'!B:P,13,FALSE)</f>
        <v>44652</v>
      </c>
      <c r="F139" s="265">
        <f ca="1">IF(VLOOKUP(A139,'Data Pegawai'!B:P,14,FALSE)=0,EOMONTH(TODAY(),0),VLOOKUP(A139,'Data Pegawai'!B:P,13,FALSE))</f>
        <v>46053</v>
      </c>
      <c r="G139">
        <f t="shared" ca="1" si="21"/>
        <v>1</v>
      </c>
      <c r="H139">
        <f t="shared" ca="1" si="29"/>
        <v>1</v>
      </c>
      <c r="I139">
        <f t="shared" ca="1" si="29"/>
        <v>1</v>
      </c>
      <c r="J139">
        <f t="shared" ca="1" si="29"/>
        <v>1</v>
      </c>
      <c r="K139">
        <f t="shared" ca="1" si="29"/>
        <v>1</v>
      </c>
      <c r="L139">
        <f t="shared" ca="1" si="29"/>
        <v>1</v>
      </c>
      <c r="M139">
        <f t="shared" ca="1" si="29"/>
        <v>1</v>
      </c>
      <c r="N139">
        <f t="shared" ca="1" si="29"/>
        <v>1</v>
      </c>
      <c r="O139">
        <f t="shared" ca="1" si="29"/>
        <v>1</v>
      </c>
      <c r="P139">
        <f t="shared" ca="1" si="29"/>
        <v>1</v>
      </c>
      <c r="Q139">
        <f t="shared" ca="1" si="29"/>
        <v>1</v>
      </c>
      <c r="R139">
        <f t="shared" ca="1" si="29"/>
        <v>1</v>
      </c>
      <c r="S139">
        <f t="shared" ca="1" si="29"/>
        <v>0</v>
      </c>
      <c r="T139">
        <f t="shared" ca="1" si="29"/>
        <v>0</v>
      </c>
      <c r="U139">
        <f t="shared" ca="1" si="29"/>
        <v>0</v>
      </c>
      <c r="V139">
        <f t="shared" ca="1" si="29"/>
        <v>0</v>
      </c>
      <c r="W139">
        <f t="shared" ca="1" si="28"/>
        <v>1</v>
      </c>
      <c r="X139">
        <f t="shared" ca="1" si="28"/>
        <v>1</v>
      </c>
      <c r="Y139">
        <f t="shared" ca="1" si="28"/>
        <v>1</v>
      </c>
      <c r="Z139">
        <f t="shared" ca="1" si="28"/>
        <v>1</v>
      </c>
      <c r="AA139">
        <f t="shared" ca="1" si="28"/>
        <v>0</v>
      </c>
    </row>
    <row r="140" spans="1:27" ht="18">
      <c r="A140" s="260" t="s">
        <v>609</v>
      </c>
      <c r="B140" s="258" t="str">
        <f>VLOOKUP(A140,'Data Pegawai'!B:P,2,FALSE)</f>
        <v>Aktif</v>
      </c>
      <c r="C140" s="258" t="str">
        <f>VLOOKUP(A140,'Data Pegawai'!B:P,4,FALSE)</f>
        <v>MADYA.2</v>
      </c>
      <c r="D140" s="258" t="str">
        <f>VLOOKUP(A140,'Data Pegawai'!B:P,3,FALSE)</f>
        <v>TPA</v>
      </c>
      <c r="E140" s="265">
        <f>VLOOKUP(A140,'Data Pegawai'!B:P,13,FALSE)</f>
        <v>43739</v>
      </c>
      <c r="F140" s="265">
        <f ca="1">IF(VLOOKUP(A140,'Data Pegawai'!B:P,14,FALSE)=0,EOMONTH(TODAY(),0),VLOOKUP(A140,'Data Pegawai'!B:P,13,FALSE))</f>
        <v>46053</v>
      </c>
      <c r="G140">
        <f t="shared" ca="1" si="21"/>
        <v>1</v>
      </c>
      <c r="H140">
        <f t="shared" ca="1" si="29"/>
        <v>1</v>
      </c>
      <c r="I140">
        <f t="shared" ca="1" si="29"/>
        <v>1</v>
      </c>
      <c r="J140">
        <f t="shared" ca="1" si="29"/>
        <v>1</v>
      </c>
      <c r="K140">
        <f t="shared" ca="1" si="29"/>
        <v>1</v>
      </c>
      <c r="L140">
        <f t="shared" ca="1" si="29"/>
        <v>1</v>
      </c>
      <c r="M140">
        <f t="shared" ca="1" si="29"/>
        <v>1</v>
      </c>
      <c r="N140">
        <f t="shared" ca="1" si="29"/>
        <v>1</v>
      </c>
      <c r="O140">
        <f t="shared" ca="1" si="29"/>
        <v>1</v>
      </c>
      <c r="P140">
        <f t="shared" ca="1" si="29"/>
        <v>1</v>
      </c>
      <c r="Q140">
        <f t="shared" ca="1" si="29"/>
        <v>1</v>
      </c>
      <c r="R140">
        <f t="shared" ca="1" si="29"/>
        <v>1</v>
      </c>
      <c r="S140">
        <f t="shared" ca="1" si="29"/>
        <v>0</v>
      </c>
      <c r="T140">
        <f t="shared" ca="1" si="29"/>
        <v>1</v>
      </c>
      <c r="U140">
        <f t="shared" ca="1" si="29"/>
        <v>1</v>
      </c>
      <c r="V140">
        <f t="shared" ca="1" si="29"/>
        <v>1</v>
      </c>
      <c r="W140">
        <f t="shared" ca="1" si="28"/>
        <v>1</v>
      </c>
      <c r="X140">
        <f t="shared" ca="1" si="28"/>
        <v>1</v>
      </c>
      <c r="Y140">
        <f t="shared" ca="1" si="28"/>
        <v>1</v>
      </c>
      <c r="Z140">
        <f t="shared" ca="1" si="28"/>
        <v>1</v>
      </c>
      <c r="AA140">
        <f t="shared" ca="1" si="28"/>
        <v>0</v>
      </c>
    </row>
    <row r="141" spans="1:27" ht="18">
      <c r="A141" s="260" t="s">
        <v>613</v>
      </c>
      <c r="B141" s="258" t="str">
        <f>VLOOKUP(A141,'Data Pegawai'!B:P,2,FALSE)</f>
        <v>Aktif</v>
      </c>
      <c r="C141" s="258" t="str">
        <f>VLOOKUP(A141,'Data Pegawai'!B:P,4,FALSE)</f>
        <v>MADYA.2</v>
      </c>
      <c r="D141" s="258" t="str">
        <f>VLOOKUP(A141,'Data Pegawai'!B:P,3,FALSE)</f>
        <v>TPA</v>
      </c>
      <c r="E141" s="265">
        <f>VLOOKUP(A141,'Data Pegawai'!B:P,13,FALSE)</f>
        <v>43831</v>
      </c>
      <c r="F141" s="265">
        <f ca="1">IF(VLOOKUP(A141,'Data Pegawai'!B:P,14,FALSE)=0,EOMONTH(TODAY(),0),VLOOKUP(A141,'Data Pegawai'!B:P,13,FALSE))</f>
        <v>46053</v>
      </c>
      <c r="G141">
        <f t="shared" ca="1" si="21"/>
        <v>1</v>
      </c>
      <c r="H141">
        <f t="shared" ca="1" si="29"/>
        <v>1</v>
      </c>
      <c r="I141">
        <f t="shared" ca="1" si="29"/>
        <v>1</v>
      </c>
      <c r="J141">
        <f t="shared" ca="1" si="29"/>
        <v>1</v>
      </c>
      <c r="K141">
        <f t="shared" ca="1" si="29"/>
        <v>1</v>
      </c>
      <c r="L141">
        <f t="shared" ca="1" si="29"/>
        <v>1</v>
      </c>
      <c r="M141">
        <f t="shared" ca="1" si="29"/>
        <v>1</v>
      </c>
      <c r="N141">
        <f t="shared" ca="1" si="29"/>
        <v>1</v>
      </c>
      <c r="O141">
        <f t="shared" ca="1" si="29"/>
        <v>1</v>
      </c>
      <c r="P141">
        <f t="shared" ca="1" si="29"/>
        <v>1</v>
      </c>
      <c r="Q141">
        <f t="shared" ca="1" si="29"/>
        <v>1</v>
      </c>
      <c r="R141">
        <f t="shared" ca="1" si="29"/>
        <v>1</v>
      </c>
      <c r="S141">
        <f t="shared" ca="1" si="29"/>
        <v>0</v>
      </c>
      <c r="T141">
        <f t="shared" ca="1" si="29"/>
        <v>0</v>
      </c>
      <c r="U141">
        <f t="shared" ca="1" si="29"/>
        <v>1</v>
      </c>
      <c r="V141">
        <f t="shared" ca="1" si="29"/>
        <v>1</v>
      </c>
      <c r="W141">
        <f t="shared" ca="1" si="28"/>
        <v>1</v>
      </c>
      <c r="X141">
        <f t="shared" ca="1" si="28"/>
        <v>1</v>
      </c>
      <c r="Y141">
        <f t="shared" ca="1" si="28"/>
        <v>1</v>
      </c>
      <c r="Z141">
        <f t="shared" ca="1" si="28"/>
        <v>1</v>
      </c>
      <c r="AA141">
        <f t="shared" ca="1" si="28"/>
        <v>0</v>
      </c>
    </row>
    <row r="142" spans="1:27" ht="18">
      <c r="A142" s="260" t="s">
        <v>616</v>
      </c>
      <c r="B142" s="258" t="str">
        <f>VLOOKUP(A142,'Data Pegawai'!B:P,2,FALSE)</f>
        <v>Aktif</v>
      </c>
      <c r="C142" s="258" t="str">
        <f>VLOOKUP(A142,'Data Pegawai'!B:P,4,FALSE)</f>
        <v>MADYA.2</v>
      </c>
      <c r="D142" s="258" t="str">
        <f>VLOOKUP(A142,'Data Pegawai'!B:P,3,FALSE)</f>
        <v>TPA</v>
      </c>
      <c r="E142" s="265">
        <f>VLOOKUP(A142,'Data Pegawai'!B:P,13,FALSE)</f>
        <v>43831</v>
      </c>
      <c r="F142" s="265">
        <f ca="1">IF(VLOOKUP(A142,'Data Pegawai'!B:P,14,FALSE)=0,EOMONTH(TODAY(),0),VLOOKUP(A142,'Data Pegawai'!B:P,13,FALSE))</f>
        <v>46053</v>
      </c>
      <c r="G142">
        <f t="shared" ca="1" si="21"/>
        <v>1</v>
      </c>
      <c r="H142">
        <f t="shared" ca="1" si="29"/>
        <v>1</v>
      </c>
      <c r="I142">
        <f t="shared" ca="1" si="29"/>
        <v>1</v>
      </c>
      <c r="J142">
        <f t="shared" ca="1" si="29"/>
        <v>1</v>
      </c>
      <c r="K142">
        <f t="shared" ca="1" si="29"/>
        <v>1</v>
      </c>
      <c r="L142">
        <f t="shared" ca="1" si="29"/>
        <v>1</v>
      </c>
      <c r="M142">
        <f t="shared" ca="1" si="29"/>
        <v>1</v>
      </c>
      <c r="N142">
        <f t="shared" ca="1" si="29"/>
        <v>1</v>
      </c>
      <c r="O142">
        <f t="shared" ca="1" si="29"/>
        <v>1</v>
      </c>
      <c r="P142">
        <f t="shared" ca="1" si="29"/>
        <v>1</v>
      </c>
      <c r="Q142">
        <f t="shared" ca="1" si="29"/>
        <v>1</v>
      </c>
      <c r="R142">
        <f t="shared" ca="1" si="29"/>
        <v>1</v>
      </c>
      <c r="S142">
        <f t="shared" ca="1" si="29"/>
        <v>0</v>
      </c>
      <c r="T142">
        <f t="shared" ca="1" si="29"/>
        <v>0</v>
      </c>
      <c r="U142">
        <f t="shared" ca="1" si="29"/>
        <v>1</v>
      </c>
      <c r="V142">
        <f t="shared" ca="1" si="29"/>
        <v>1</v>
      </c>
      <c r="W142">
        <f t="shared" ca="1" si="28"/>
        <v>1</v>
      </c>
      <c r="X142">
        <f t="shared" ca="1" si="28"/>
        <v>1</v>
      </c>
      <c r="Y142">
        <f t="shared" ca="1" si="28"/>
        <v>1</v>
      </c>
      <c r="Z142">
        <f t="shared" ca="1" si="28"/>
        <v>1</v>
      </c>
      <c r="AA142">
        <f t="shared" ca="1" si="28"/>
        <v>0</v>
      </c>
    </row>
    <row r="143" spans="1:27" ht="18">
      <c r="A143" s="260" t="s">
        <v>619</v>
      </c>
      <c r="B143" s="258" t="str">
        <f>VLOOKUP(A143,'Data Pegawai'!B:P,2,FALSE)</f>
        <v>Aktif</v>
      </c>
      <c r="C143" s="258" t="str">
        <f>VLOOKUP(A143,'Data Pegawai'!B:P,4,FALSE)</f>
        <v>MADYA.2</v>
      </c>
      <c r="D143" s="258" t="str">
        <f>VLOOKUP(A143,'Data Pegawai'!B:P,3,FALSE)</f>
        <v>TPA</v>
      </c>
      <c r="E143" s="265">
        <f>VLOOKUP(A143,'Data Pegawai'!B:P,13,FALSE)</f>
        <v>43892</v>
      </c>
      <c r="F143" s="265">
        <f ca="1">IF(VLOOKUP(A143,'Data Pegawai'!B:P,14,FALSE)=0,EOMONTH(TODAY(),0),VLOOKUP(A143,'Data Pegawai'!B:P,13,FALSE))</f>
        <v>46053</v>
      </c>
      <c r="G143">
        <f t="shared" ca="1" si="21"/>
        <v>1</v>
      </c>
      <c r="H143">
        <f t="shared" ca="1" si="29"/>
        <v>1</v>
      </c>
      <c r="I143">
        <f t="shared" ca="1" si="29"/>
        <v>1</v>
      </c>
      <c r="J143">
        <f t="shared" ca="1" si="29"/>
        <v>1</v>
      </c>
      <c r="K143">
        <f t="shared" ca="1" si="29"/>
        <v>1</v>
      </c>
      <c r="L143">
        <f t="shared" ca="1" si="29"/>
        <v>1</v>
      </c>
      <c r="M143">
        <f t="shared" ca="1" si="29"/>
        <v>1</v>
      </c>
      <c r="N143">
        <f t="shared" ca="1" si="29"/>
        <v>1</v>
      </c>
      <c r="O143">
        <f t="shared" ca="1" si="29"/>
        <v>1</v>
      </c>
      <c r="P143">
        <f t="shared" ca="1" si="29"/>
        <v>1</v>
      </c>
      <c r="Q143">
        <f t="shared" ca="1" si="29"/>
        <v>1</v>
      </c>
      <c r="R143">
        <f t="shared" ca="1" si="29"/>
        <v>1</v>
      </c>
      <c r="S143">
        <f t="shared" ca="1" si="29"/>
        <v>0</v>
      </c>
      <c r="T143">
        <f t="shared" ca="1" si="29"/>
        <v>0</v>
      </c>
      <c r="U143">
        <f t="shared" ca="1" si="29"/>
        <v>1</v>
      </c>
      <c r="V143">
        <f t="shared" ca="1" si="29"/>
        <v>1</v>
      </c>
      <c r="W143">
        <f t="shared" ca="1" si="28"/>
        <v>1</v>
      </c>
      <c r="X143">
        <f t="shared" ca="1" si="28"/>
        <v>1</v>
      </c>
      <c r="Y143">
        <f t="shared" ca="1" si="28"/>
        <v>1</v>
      </c>
      <c r="Z143">
        <f t="shared" ca="1" si="28"/>
        <v>1</v>
      </c>
      <c r="AA143">
        <f t="shared" ca="1" si="28"/>
        <v>0</v>
      </c>
    </row>
    <row r="144" spans="1:27" ht="18">
      <c r="A144" s="260" t="s">
        <v>623</v>
      </c>
      <c r="B144" s="258" t="str">
        <f>VLOOKUP(A144,'Data Pegawai'!B:P,2,FALSE)</f>
        <v>Aktif</v>
      </c>
      <c r="C144" s="258" t="str">
        <f>VLOOKUP(A144,'Data Pegawai'!B:P,4,FALSE)</f>
        <v>MADYA.2</v>
      </c>
      <c r="D144" s="258" t="str">
        <f>VLOOKUP(A144,'Data Pegawai'!B:P,3,FALSE)</f>
        <v>TPA</v>
      </c>
      <c r="E144" s="265">
        <f>VLOOKUP(A144,'Data Pegawai'!B:P,13,FALSE)</f>
        <v>43892</v>
      </c>
      <c r="F144" s="265">
        <f ca="1">IF(VLOOKUP(A144,'Data Pegawai'!B:P,14,FALSE)=0,EOMONTH(TODAY(),0),VLOOKUP(A144,'Data Pegawai'!B:P,13,FALSE))</f>
        <v>46053</v>
      </c>
      <c r="G144">
        <f t="shared" ca="1" si="21"/>
        <v>1</v>
      </c>
      <c r="H144">
        <f t="shared" ca="1" si="29"/>
        <v>1</v>
      </c>
      <c r="I144">
        <f t="shared" ca="1" si="29"/>
        <v>1</v>
      </c>
      <c r="J144">
        <f t="shared" ca="1" si="29"/>
        <v>1</v>
      </c>
      <c r="K144">
        <f t="shared" ca="1" si="29"/>
        <v>1</v>
      </c>
      <c r="L144">
        <f t="shared" ca="1" si="29"/>
        <v>1</v>
      </c>
      <c r="M144">
        <f t="shared" ca="1" si="29"/>
        <v>1</v>
      </c>
      <c r="N144">
        <f t="shared" ca="1" si="29"/>
        <v>1</v>
      </c>
      <c r="O144">
        <f t="shared" ca="1" si="29"/>
        <v>1</v>
      </c>
      <c r="P144">
        <f t="shared" ca="1" si="29"/>
        <v>1</v>
      </c>
      <c r="Q144">
        <f t="shared" ca="1" si="29"/>
        <v>1</v>
      </c>
      <c r="R144">
        <f t="shared" ca="1" si="29"/>
        <v>1</v>
      </c>
      <c r="S144">
        <f t="shared" ca="1" si="29"/>
        <v>0</v>
      </c>
      <c r="T144">
        <f t="shared" ca="1" si="29"/>
        <v>0</v>
      </c>
      <c r="U144">
        <f t="shared" ca="1" si="29"/>
        <v>1</v>
      </c>
      <c r="V144">
        <f t="shared" ca="1" si="29"/>
        <v>1</v>
      </c>
      <c r="W144">
        <f t="shared" ca="1" si="28"/>
        <v>1</v>
      </c>
      <c r="X144">
        <f t="shared" ca="1" si="28"/>
        <v>1</v>
      </c>
      <c r="Y144">
        <f t="shared" ca="1" si="28"/>
        <v>1</v>
      </c>
      <c r="Z144">
        <f t="shared" ca="1" si="28"/>
        <v>1</v>
      </c>
      <c r="AA144">
        <f t="shared" ca="1" si="28"/>
        <v>0</v>
      </c>
    </row>
    <row r="145" spans="1:27" ht="18">
      <c r="A145" s="260" t="s">
        <v>627</v>
      </c>
      <c r="B145" s="258" t="str">
        <f>VLOOKUP(A145,'Data Pegawai'!B:P,2,FALSE)</f>
        <v>Aktif</v>
      </c>
      <c r="C145" s="258" t="str">
        <f>VLOOKUP(A145,'Data Pegawai'!B:P,4,FALSE)</f>
        <v>MADYA.1</v>
      </c>
      <c r="D145" s="258" t="str">
        <f>VLOOKUP(A145,'Data Pegawai'!B:P,3,FALSE)</f>
        <v>TPA</v>
      </c>
      <c r="E145" s="265">
        <f>VLOOKUP(A145,'Data Pegawai'!B:P,13,FALSE)</f>
        <v>43892</v>
      </c>
      <c r="F145" s="265">
        <f ca="1">IF(VLOOKUP(A145,'Data Pegawai'!B:P,14,FALSE)=0,EOMONTH(TODAY(),0),VLOOKUP(A145,'Data Pegawai'!B:P,13,FALSE))</f>
        <v>46053</v>
      </c>
      <c r="G145">
        <f t="shared" ca="1" si="21"/>
        <v>1</v>
      </c>
      <c r="H145">
        <f t="shared" ca="1" si="29"/>
        <v>1</v>
      </c>
      <c r="I145">
        <f t="shared" ca="1" si="29"/>
        <v>1</v>
      </c>
      <c r="J145">
        <f t="shared" ca="1" si="29"/>
        <v>1</v>
      </c>
      <c r="K145">
        <f t="shared" ca="1" si="29"/>
        <v>1</v>
      </c>
      <c r="L145">
        <f t="shared" ca="1" si="29"/>
        <v>1</v>
      </c>
      <c r="M145">
        <f t="shared" ca="1" si="29"/>
        <v>1</v>
      </c>
      <c r="N145">
        <f t="shared" ca="1" si="29"/>
        <v>1</v>
      </c>
      <c r="O145">
        <f t="shared" ca="1" si="29"/>
        <v>1</v>
      </c>
      <c r="P145">
        <f t="shared" ca="1" si="29"/>
        <v>1</v>
      </c>
      <c r="Q145">
        <f t="shared" ca="1" si="29"/>
        <v>1</v>
      </c>
      <c r="R145">
        <f t="shared" ca="1" si="29"/>
        <v>1</v>
      </c>
      <c r="S145">
        <f t="shared" ca="1" si="29"/>
        <v>0</v>
      </c>
      <c r="T145">
        <f t="shared" ca="1" si="29"/>
        <v>0</v>
      </c>
      <c r="U145">
        <f t="shared" ca="1" si="29"/>
        <v>1</v>
      </c>
      <c r="V145">
        <f t="shared" ca="1" si="29"/>
        <v>1</v>
      </c>
      <c r="W145">
        <f t="shared" ca="1" si="28"/>
        <v>1</v>
      </c>
      <c r="X145">
        <f t="shared" ca="1" si="28"/>
        <v>1</v>
      </c>
      <c r="Y145">
        <f t="shared" ca="1" si="28"/>
        <v>1</v>
      </c>
      <c r="Z145">
        <f t="shared" ca="1" si="28"/>
        <v>1</v>
      </c>
      <c r="AA145">
        <f t="shared" ca="1" si="28"/>
        <v>0</v>
      </c>
    </row>
    <row r="146" spans="1:27" ht="18">
      <c r="A146" s="260" t="s">
        <v>630</v>
      </c>
      <c r="B146" s="258" t="str">
        <f>VLOOKUP(A146,'Data Pegawai'!B:P,2,FALSE)</f>
        <v>Aktif</v>
      </c>
      <c r="C146" s="258" t="str">
        <f>VLOOKUP(A146,'Data Pegawai'!B:P,4,FALSE)</f>
        <v>MADYA.2</v>
      </c>
      <c r="D146" s="258" t="str">
        <f>VLOOKUP(A146,'Data Pegawai'!B:P,3,FALSE)</f>
        <v>TPA</v>
      </c>
      <c r="E146" s="265">
        <f>VLOOKUP(A146,'Data Pegawai'!B:P,13,FALSE)</f>
        <v>44105</v>
      </c>
      <c r="F146" s="265">
        <f ca="1">IF(VLOOKUP(A146,'Data Pegawai'!B:P,14,FALSE)=0,EOMONTH(TODAY(),0),VLOOKUP(A146,'Data Pegawai'!B:P,13,FALSE))</f>
        <v>46053</v>
      </c>
      <c r="G146">
        <f t="shared" ca="1" si="21"/>
        <v>1</v>
      </c>
      <c r="H146">
        <f t="shared" ca="1" si="29"/>
        <v>1</v>
      </c>
      <c r="I146">
        <f t="shared" ca="1" si="29"/>
        <v>1</v>
      </c>
      <c r="J146">
        <f t="shared" ca="1" si="29"/>
        <v>1</v>
      </c>
      <c r="K146">
        <f t="shared" ca="1" si="29"/>
        <v>1</v>
      </c>
      <c r="L146">
        <f t="shared" ca="1" si="29"/>
        <v>1</v>
      </c>
      <c r="M146">
        <f t="shared" ca="1" si="29"/>
        <v>1</v>
      </c>
      <c r="N146">
        <f t="shared" ca="1" si="29"/>
        <v>1</v>
      </c>
      <c r="O146">
        <f t="shared" ca="1" si="29"/>
        <v>1</v>
      </c>
      <c r="P146">
        <f t="shared" ca="1" si="29"/>
        <v>1</v>
      </c>
      <c r="Q146">
        <f t="shared" ca="1" si="29"/>
        <v>1</v>
      </c>
      <c r="R146">
        <f t="shared" ca="1" si="29"/>
        <v>1</v>
      </c>
      <c r="S146">
        <f t="shared" ca="1" si="29"/>
        <v>0</v>
      </c>
      <c r="T146">
        <f t="shared" ca="1" si="29"/>
        <v>0</v>
      </c>
      <c r="U146">
        <f t="shared" ca="1" si="29"/>
        <v>1</v>
      </c>
      <c r="V146">
        <f t="shared" ca="1" si="29"/>
        <v>1</v>
      </c>
      <c r="W146">
        <f t="shared" ca="1" si="28"/>
        <v>1</v>
      </c>
      <c r="X146">
        <f t="shared" ca="1" si="28"/>
        <v>1</v>
      </c>
      <c r="Y146">
        <f t="shared" ca="1" si="28"/>
        <v>1</v>
      </c>
      <c r="Z146">
        <f t="shared" ca="1" si="28"/>
        <v>1</v>
      </c>
      <c r="AA146">
        <f t="shared" ca="1" si="28"/>
        <v>0</v>
      </c>
    </row>
    <row r="147" spans="1:27" ht="18">
      <c r="A147" s="260" t="s">
        <v>633</v>
      </c>
      <c r="B147" s="258" t="str">
        <f>VLOOKUP(A147,'Data Pegawai'!B:P,2,FALSE)</f>
        <v>Aktif</v>
      </c>
      <c r="C147" s="258" t="str">
        <f>VLOOKUP(A147,'Data Pegawai'!B:P,4,FALSE)</f>
        <v>MADYA.1</v>
      </c>
      <c r="D147" s="258" t="str">
        <f>VLOOKUP(A147,'Data Pegawai'!B:P,3,FALSE)</f>
        <v>TPA</v>
      </c>
      <c r="E147" s="265">
        <f>VLOOKUP(A147,'Data Pegawai'!B:P,13,FALSE)</f>
        <v>43892</v>
      </c>
      <c r="F147" s="265">
        <f ca="1">IF(VLOOKUP(A147,'Data Pegawai'!B:P,14,FALSE)=0,EOMONTH(TODAY(),0),VLOOKUP(A147,'Data Pegawai'!B:P,13,FALSE))</f>
        <v>46053</v>
      </c>
      <c r="G147">
        <f t="shared" ca="1" si="21"/>
        <v>1</v>
      </c>
      <c r="H147">
        <f t="shared" ca="1" si="29"/>
        <v>1</v>
      </c>
      <c r="I147">
        <f t="shared" ca="1" si="29"/>
        <v>1</v>
      </c>
      <c r="J147">
        <f t="shared" ca="1" si="29"/>
        <v>1</v>
      </c>
      <c r="K147">
        <f t="shared" ca="1" si="29"/>
        <v>1</v>
      </c>
      <c r="L147">
        <f t="shared" ca="1" si="29"/>
        <v>1</v>
      </c>
      <c r="M147">
        <f t="shared" ca="1" si="29"/>
        <v>1</v>
      </c>
      <c r="N147">
        <f t="shared" ca="1" si="29"/>
        <v>1</v>
      </c>
      <c r="O147">
        <f t="shared" ca="1" si="29"/>
        <v>1</v>
      </c>
      <c r="P147">
        <f t="shared" ca="1" si="29"/>
        <v>1</v>
      </c>
      <c r="Q147">
        <f t="shared" ca="1" si="29"/>
        <v>1</v>
      </c>
      <c r="R147">
        <f t="shared" ca="1" si="29"/>
        <v>1</v>
      </c>
      <c r="S147">
        <f t="shared" ca="1" si="29"/>
        <v>0</v>
      </c>
      <c r="T147">
        <f t="shared" ca="1" si="29"/>
        <v>0</v>
      </c>
      <c r="U147">
        <f t="shared" ca="1" si="29"/>
        <v>1</v>
      </c>
      <c r="V147">
        <f t="shared" ca="1" si="29"/>
        <v>1</v>
      </c>
      <c r="W147">
        <f t="shared" ca="1" si="28"/>
        <v>1</v>
      </c>
      <c r="X147">
        <f t="shared" ca="1" si="28"/>
        <v>1</v>
      </c>
      <c r="Y147">
        <f t="shared" ca="1" si="28"/>
        <v>1</v>
      </c>
      <c r="Z147">
        <f t="shared" ca="1" si="28"/>
        <v>1</v>
      </c>
      <c r="AA147">
        <f t="shared" ca="1" si="28"/>
        <v>0</v>
      </c>
    </row>
    <row r="148" spans="1:27" ht="18">
      <c r="A148" s="260" t="s">
        <v>637</v>
      </c>
      <c r="B148" s="258" t="str">
        <f>VLOOKUP(A148,'Data Pegawai'!B:P,2,FALSE)</f>
        <v>Aktif</v>
      </c>
      <c r="C148" s="258" t="str">
        <f>VLOOKUP(A148,'Data Pegawai'!B:P,4,FALSE)</f>
        <v>MADYA.2</v>
      </c>
      <c r="D148" s="258" t="str">
        <f>VLOOKUP(A148,'Data Pegawai'!B:P,3,FALSE)</f>
        <v>TPA</v>
      </c>
      <c r="E148" s="265">
        <f>VLOOKUP(A148,'Data Pegawai'!B:P,13,FALSE)</f>
        <v>43709</v>
      </c>
      <c r="F148" s="265">
        <f ca="1">IF(VLOOKUP(A148,'Data Pegawai'!B:P,14,FALSE)=0,EOMONTH(TODAY(),0),VLOOKUP(A148,'Data Pegawai'!B:P,13,FALSE))</f>
        <v>46053</v>
      </c>
      <c r="G148">
        <f t="shared" ca="1" si="21"/>
        <v>1</v>
      </c>
      <c r="H148">
        <f t="shared" ca="1" si="29"/>
        <v>1</v>
      </c>
      <c r="I148">
        <f t="shared" ca="1" si="29"/>
        <v>1</v>
      </c>
      <c r="J148">
        <f t="shared" ca="1" si="29"/>
        <v>1</v>
      </c>
      <c r="K148">
        <f t="shared" ca="1" si="29"/>
        <v>1</v>
      </c>
      <c r="L148">
        <f t="shared" ca="1" si="29"/>
        <v>1</v>
      </c>
      <c r="M148">
        <f t="shared" ca="1" si="29"/>
        <v>1</v>
      </c>
      <c r="N148">
        <f t="shared" ca="1" si="29"/>
        <v>1</v>
      </c>
      <c r="O148">
        <f t="shared" ca="1" si="29"/>
        <v>1</v>
      </c>
      <c r="P148">
        <f t="shared" ca="1" si="29"/>
        <v>1</v>
      </c>
      <c r="Q148">
        <f t="shared" ca="1" si="29"/>
        <v>1</v>
      </c>
      <c r="R148">
        <f t="shared" ca="1" si="29"/>
        <v>1</v>
      </c>
      <c r="S148">
        <f t="shared" ca="1" si="29"/>
        <v>0</v>
      </c>
      <c r="T148">
        <f t="shared" ca="1" si="29"/>
        <v>1</v>
      </c>
      <c r="U148">
        <f t="shared" ca="1" si="29"/>
        <v>1</v>
      </c>
      <c r="V148">
        <f t="shared" ca="1" si="29"/>
        <v>1</v>
      </c>
      <c r="W148">
        <f t="shared" ca="1" si="28"/>
        <v>1</v>
      </c>
      <c r="X148">
        <f t="shared" ca="1" si="28"/>
        <v>1</v>
      </c>
      <c r="Y148">
        <f t="shared" ca="1" si="28"/>
        <v>1</v>
      </c>
      <c r="Z148">
        <f t="shared" ca="1" si="28"/>
        <v>1</v>
      </c>
      <c r="AA148">
        <f t="shared" ca="1" si="28"/>
        <v>0</v>
      </c>
    </row>
    <row r="149" spans="1:27" ht="18">
      <c r="A149" s="260" t="s">
        <v>641</v>
      </c>
      <c r="B149" s="258" t="str">
        <f>VLOOKUP(A149,'Data Pegawai'!B:P,2,FALSE)</f>
        <v>Aktif</v>
      </c>
      <c r="C149" s="258" t="str">
        <f>VLOOKUP(A149,'Data Pegawai'!B:P,4,FALSE)</f>
        <v>MADYA.1</v>
      </c>
      <c r="D149" s="258" t="str">
        <f>VLOOKUP(A149,'Data Pegawai'!B:P,3,FALSE)</f>
        <v>TPA</v>
      </c>
      <c r="E149" s="265">
        <f>VLOOKUP(A149,'Data Pegawai'!B:P,13,FALSE)</f>
        <v>43831</v>
      </c>
      <c r="F149" s="265">
        <f ca="1">IF(VLOOKUP(A149,'Data Pegawai'!B:P,14,FALSE)=0,EOMONTH(TODAY(),0),VLOOKUP(A149,'Data Pegawai'!B:P,13,FALSE))</f>
        <v>46053</v>
      </c>
      <c r="G149">
        <f t="shared" ref="G149:V195" ca="1" si="30">IF(AND(G$3&gt;=$E149,G$3&lt;=$F149),1,0)</f>
        <v>1</v>
      </c>
      <c r="H149">
        <f t="shared" ca="1" si="29"/>
        <v>1</v>
      </c>
      <c r="I149">
        <f t="shared" ca="1" si="29"/>
        <v>1</v>
      </c>
      <c r="J149">
        <f t="shared" ca="1" si="29"/>
        <v>1</v>
      </c>
      <c r="K149">
        <f t="shared" ca="1" si="29"/>
        <v>1</v>
      </c>
      <c r="L149">
        <f t="shared" ca="1" si="29"/>
        <v>1</v>
      </c>
      <c r="M149">
        <f t="shared" ca="1" si="29"/>
        <v>1</v>
      </c>
      <c r="N149">
        <f t="shared" ca="1" si="29"/>
        <v>1</v>
      </c>
      <c r="O149">
        <f t="shared" ca="1" si="29"/>
        <v>1</v>
      </c>
      <c r="P149">
        <f t="shared" ca="1" si="29"/>
        <v>1</v>
      </c>
      <c r="Q149">
        <f t="shared" ca="1" si="29"/>
        <v>1</v>
      </c>
      <c r="R149">
        <f t="shared" ca="1" si="29"/>
        <v>1</v>
      </c>
      <c r="S149">
        <f t="shared" ca="1" si="29"/>
        <v>0</v>
      </c>
      <c r="T149">
        <f t="shared" ca="1" si="29"/>
        <v>0</v>
      </c>
      <c r="U149">
        <f t="shared" ca="1" si="29"/>
        <v>1</v>
      </c>
      <c r="V149">
        <f t="shared" ref="V149:AA164" ca="1" si="31">IF(AND(V$3&gt;=$E149,V$3&lt;=$F149),1,0)</f>
        <v>1</v>
      </c>
      <c r="W149">
        <f t="shared" ca="1" si="31"/>
        <v>1</v>
      </c>
      <c r="X149">
        <f t="shared" ca="1" si="31"/>
        <v>1</v>
      </c>
      <c r="Y149">
        <f t="shared" ca="1" si="31"/>
        <v>1</v>
      </c>
      <c r="Z149">
        <f t="shared" ca="1" si="31"/>
        <v>1</v>
      </c>
      <c r="AA149">
        <f t="shared" ca="1" si="31"/>
        <v>0</v>
      </c>
    </row>
    <row r="150" spans="1:27" ht="18">
      <c r="A150" s="260" t="s">
        <v>643</v>
      </c>
      <c r="B150" s="258" t="str">
        <f>VLOOKUP(A150,'Data Pegawai'!B:P,2,FALSE)</f>
        <v>Aktif</v>
      </c>
      <c r="C150" s="258" t="str">
        <f>VLOOKUP(A150,'Data Pegawai'!B:P,4,FALSE)</f>
        <v>MADYA.1</v>
      </c>
      <c r="D150" s="258" t="str">
        <f>VLOOKUP(A150,'Data Pegawai'!B:P,3,FALSE)</f>
        <v>TPA</v>
      </c>
      <c r="E150" s="265">
        <f>VLOOKUP(A150,'Data Pegawai'!B:P,13,FALSE)</f>
        <v>43892</v>
      </c>
      <c r="F150" s="265">
        <f ca="1">IF(VLOOKUP(A150,'Data Pegawai'!B:P,14,FALSE)=0,EOMONTH(TODAY(),0),VLOOKUP(A150,'Data Pegawai'!B:P,13,FALSE))</f>
        <v>46053</v>
      </c>
      <c r="G150">
        <f t="shared" ca="1" si="30"/>
        <v>1</v>
      </c>
      <c r="H150">
        <f t="shared" ref="H150:V165" ca="1" si="32">IF(AND(H$3&gt;=$E150,H$3&lt;=$F150),1,0)</f>
        <v>1</v>
      </c>
      <c r="I150">
        <f t="shared" ca="1" si="32"/>
        <v>1</v>
      </c>
      <c r="J150">
        <f t="shared" ca="1" si="32"/>
        <v>1</v>
      </c>
      <c r="K150">
        <f t="shared" ca="1" si="32"/>
        <v>1</v>
      </c>
      <c r="L150">
        <f t="shared" ca="1" si="32"/>
        <v>1</v>
      </c>
      <c r="M150">
        <f t="shared" ca="1" si="32"/>
        <v>1</v>
      </c>
      <c r="N150">
        <f t="shared" ca="1" si="32"/>
        <v>1</v>
      </c>
      <c r="O150">
        <f t="shared" ca="1" si="32"/>
        <v>1</v>
      </c>
      <c r="P150">
        <f t="shared" ca="1" si="32"/>
        <v>1</v>
      </c>
      <c r="Q150">
        <f t="shared" ca="1" si="32"/>
        <v>1</v>
      </c>
      <c r="R150">
        <f t="shared" ca="1" si="32"/>
        <v>1</v>
      </c>
      <c r="S150">
        <f t="shared" ca="1" si="32"/>
        <v>0</v>
      </c>
      <c r="T150">
        <f t="shared" ca="1" si="32"/>
        <v>0</v>
      </c>
      <c r="U150">
        <f t="shared" ca="1" si="32"/>
        <v>1</v>
      </c>
      <c r="V150">
        <f t="shared" ca="1" si="32"/>
        <v>1</v>
      </c>
      <c r="W150">
        <f t="shared" ca="1" si="31"/>
        <v>1</v>
      </c>
      <c r="X150">
        <f t="shared" ca="1" si="31"/>
        <v>1</v>
      </c>
      <c r="Y150">
        <f t="shared" ca="1" si="31"/>
        <v>1</v>
      </c>
      <c r="Z150">
        <f t="shared" ca="1" si="31"/>
        <v>1</v>
      </c>
      <c r="AA150">
        <f t="shared" ca="1" si="31"/>
        <v>0</v>
      </c>
    </row>
    <row r="151" spans="1:27" ht="18">
      <c r="A151" s="260" t="s">
        <v>645</v>
      </c>
      <c r="B151" s="258" t="str">
        <f>VLOOKUP(A151,'Data Pegawai'!B:P,2,FALSE)</f>
        <v>Aktif</v>
      </c>
      <c r="C151" s="258" t="str">
        <f>VLOOKUP(A151,'Data Pegawai'!B:P,4,FALSE)</f>
        <v>MADYA.1</v>
      </c>
      <c r="D151" s="258" t="str">
        <f>VLOOKUP(A151,'Data Pegawai'!B:P,3,FALSE)</f>
        <v>TPA</v>
      </c>
      <c r="E151" s="265">
        <f>VLOOKUP(A151,'Data Pegawai'!B:P,13,FALSE)</f>
        <v>44197</v>
      </c>
      <c r="F151" s="265">
        <f ca="1">IF(VLOOKUP(A151,'Data Pegawai'!B:P,14,FALSE)=0,EOMONTH(TODAY(),0),VLOOKUP(A151,'Data Pegawai'!B:P,13,FALSE))</f>
        <v>46053</v>
      </c>
      <c r="G151">
        <f t="shared" ca="1" si="30"/>
        <v>1</v>
      </c>
      <c r="H151">
        <f t="shared" ca="1" si="32"/>
        <v>1</v>
      </c>
      <c r="I151">
        <f t="shared" ca="1" si="32"/>
        <v>1</v>
      </c>
      <c r="J151">
        <f t="shared" ca="1" si="32"/>
        <v>1</v>
      </c>
      <c r="K151">
        <f t="shared" ca="1" si="32"/>
        <v>1</v>
      </c>
      <c r="L151">
        <f t="shared" ca="1" si="32"/>
        <v>1</v>
      </c>
      <c r="M151">
        <f t="shared" ca="1" si="32"/>
        <v>1</v>
      </c>
      <c r="N151">
        <f t="shared" ca="1" si="32"/>
        <v>1</v>
      </c>
      <c r="O151">
        <f t="shared" ca="1" si="32"/>
        <v>1</v>
      </c>
      <c r="P151">
        <f t="shared" ca="1" si="32"/>
        <v>1</v>
      </c>
      <c r="Q151">
        <f t="shared" ca="1" si="32"/>
        <v>1</v>
      </c>
      <c r="R151">
        <f t="shared" ca="1" si="32"/>
        <v>1</v>
      </c>
      <c r="S151">
        <f t="shared" ca="1" si="32"/>
        <v>0</v>
      </c>
      <c r="T151">
        <f t="shared" ca="1" si="32"/>
        <v>0</v>
      </c>
      <c r="U151">
        <f t="shared" ca="1" si="32"/>
        <v>0</v>
      </c>
      <c r="V151">
        <f t="shared" ca="1" si="32"/>
        <v>1</v>
      </c>
      <c r="W151">
        <f t="shared" ca="1" si="31"/>
        <v>1</v>
      </c>
      <c r="X151">
        <f t="shared" ca="1" si="31"/>
        <v>1</v>
      </c>
      <c r="Y151">
        <f t="shared" ca="1" si="31"/>
        <v>1</v>
      </c>
      <c r="Z151">
        <f t="shared" ca="1" si="31"/>
        <v>1</v>
      </c>
      <c r="AA151">
        <f t="shared" ca="1" si="31"/>
        <v>0</v>
      </c>
    </row>
    <row r="152" spans="1:27" ht="18">
      <c r="A152" s="260" t="s">
        <v>648</v>
      </c>
      <c r="B152" s="258" t="str">
        <f>VLOOKUP(A152,'Data Pegawai'!B:P,2,FALSE)</f>
        <v>Aktif</v>
      </c>
      <c r="C152" s="258" t="str">
        <f>VLOOKUP(A152,'Data Pegawai'!B:P,4,FALSE)</f>
        <v>MUDA.1</v>
      </c>
      <c r="D152" s="258" t="str">
        <f>VLOOKUP(A152,'Data Pegawai'!B:P,3,FALSE)</f>
        <v>TPA</v>
      </c>
      <c r="E152" s="265">
        <f>VLOOKUP(A152,'Data Pegawai'!B:P,13,FALSE)</f>
        <v>44197</v>
      </c>
      <c r="F152" s="265">
        <f ca="1">IF(VLOOKUP(A152,'Data Pegawai'!B:P,14,FALSE)=0,EOMONTH(TODAY(),0),VLOOKUP(A152,'Data Pegawai'!B:P,13,FALSE))</f>
        <v>46053</v>
      </c>
      <c r="G152">
        <f t="shared" ca="1" si="30"/>
        <v>1</v>
      </c>
      <c r="H152">
        <f t="shared" ca="1" si="32"/>
        <v>1</v>
      </c>
      <c r="I152">
        <f t="shared" ca="1" si="32"/>
        <v>1</v>
      </c>
      <c r="J152">
        <f t="shared" ca="1" si="32"/>
        <v>1</v>
      </c>
      <c r="K152">
        <f t="shared" ca="1" si="32"/>
        <v>1</v>
      </c>
      <c r="L152">
        <f t="shared" ca="1" si="32"/>
        <v>1</v>
      </c>
      <c r="M152">
        <f t="shared" ca="1" si="32"/>
        <v>1</v>
      </c>
      <c r="N152">
        <f t="shared" ca="1" si="32"/>
        <v>1</v>
      </c>
      <c r="O152">
        <f t="shared" ca="1" si="32"/>
        <v>1</v>
      </c>
      <c r="P152">
        <f t="shared" ca="1" si="32"/>
        <v>1</v>
      </c>
      <c r="Q152">
        <f t="shared" ca="1" si="32"/>
        <v>1</v>
      </c>
      <c r="R152">
        <f t="shared" ca="1" si="32"/>
        <v>1</v>
      </c>
      <c r="S152">
        <f t="shared" ca="1" si="32"/>
        <v>0</v>
      </c>
      <c r="T152">
        <f t="shared" ca="1" si="32"/>
        <v>0</v>
      </c>
      <c r="U152">
        <f t="shared" ca="1" si="32"/>
        <v>0</v>
      </c>
      <c r="V152">
        <f t="shared" ca="1" si="32"/>
        <v>1</v>
      </c>
      <c r="W152">
        <f t="shared" ca="1" si="31"/>
        <v>1</v>
      </c>
      <c r="X152">
        <f t="shared" ca="1" si="31"/>
        <v>1</v>
      </c>
      <c r="Y152">
        <f t="shared" ca="1" si="31"/>
        <v>1</v>
      </c>
      <c r="Z152">
        <f t="shared" ca="1" si="31"/>
        <v>1</v>
      </c>
      <c r="AA152">
        <f t="shared" ca="1" si="31"/>
        <v>0</v>
      </c>
    </row>
    <row r="153" spans="1:27" ht="18">
      <c r="A153" s="260" t="s">
        <v>652</v>
      </c>
      <c r="B153" s="258" t="str">
        <f>VLOOKUP(A153,'Data Pegawai'!B:P,2,FALSE)</f>
        <v>Aktif</v>
      </c>
      <c r="C153" s="258" t="str">
        <f>VLOOKUP(A153,'Data Pegawai'!B:P,4,FALSE)</f>
        <v>MADYA.1</v>
      </c>
      <c r="D153" s="258" t="str">
        <f>VLOOKUP(A153,'Data Pegawai'!B:P,3,FALSE)</f>
        <v>TPA</v>
      </c>
      <c r="E153" s="265">
        <f>VLOOKUP(A153,'Data Pegawai'!B:P,13,FALSE)</f>
        <v>44531</v>
      </c>
      <c r="F153" s="265">
        <f ca="1">IF(VLOOKUP(A153,'Data Pegawai'!B:P,14,FALSE)=0,EOMONTH(TODAY(),0),VLOOKUP(A153,'Data Pegawai'!B:P,13,FALSE))</f>
        <v>46053</v>
      </c>
      <c r="G153">
        <f t="shared" ca="1" si="30"/>
        <v>1</v>
      </c>
      <c r="H153">
        <f t="shared" ca="1" si="32"/>
        <v>1</v>
      </c>
      <c r="I153">
        <f t="shared" ca="1" si="32"/>
        <v>1</v>
      </c>
      <c r="J153">
        <f t="shared" ca="1" si="32"/>
        <v>1</v>
      </c>
      <c r="K153">
        <f t="shared" ca="1" si="32"/>
        <v>1</v>
      </c>
      <c r="L153">
        <f t="shared" ca="1" si="32"/>
        <v>1</v>
      </c>
      <c r="M153">
        <f t="shared" ca="1" si="32"/>
        <v>1</v>
      </c>
      <c r="N153">
        <f t="shared" ca="1" si="32"/>
        <v>1</v>
      </c>
      <c r="O153">
        <f t="shared" ca="1" si="32"/>
        <v>1</v>
      </c>
      <c r="P153">
        <f t="shared" ca="1" si="32"/>
        <v>1</v>
      </c>
      <c r="Q153">
        <f t="shared" ca="1" si="32"/>
        <v>1</v>
      </c>
      <c r="R153">
        <f t="shared" ca="1" si="32"/>
        <v>1</v>
      </c>
      <c r="S153">
        <f t="shared" ca="1" si="32"/>
        <v>0</v>
      </c>
      <c r="T153">
        <f t="shared" ca="1" si="32"/>
        <v>0</v>
      </c>
      <c r="U153">
        <f t="shared" ca="1" si="32"/>
        <v>0</v>
      </c>
      <c r="V153">
        <f t="shared" ca="1" si="32"/>
        <v>1</v>
      </c>
      <c r="W153">
        <f t="shared" ca="1" si="31"/>
        <v>1</v>
      </c>
      <c r="X153">
        <f t="shared" ca="1" si="31"/>
        <v>1</v>
      </c>
      <c r="Y153">
        <f t="shared" ca="1" si="31"/>
        <v>1</v>
      </c>
      <c r="Z153">
        <f t="shared" ca="1" si="31"/>
        <v>1</v>
      </c>
      <c r="AA153">
        <f t="shared" ca="1" si="31"/>
        <v>0</v>
      </c>
    </row>
    <row r="154" spans="1:27" ht="18">
      <c r="A154" s="260" t="s">
        <v>655</v>
      </c>
      <c r="B154" s="258" t="str">
        <f>VLOOKUP(A154,'Data Pegawai'!B:P,2,FALSE)</f>
        <v>Aktif</v>
      </c>
      <c r="C154" s="258" t="str">
        <f>VLOOKUP(A154,'Data Pegawai'!B:P,4,FALSE)</f>
        <v>MADYA.1</v>
      </c>
      <c r="D154" s="258" t="str">
        <f>VLOOKUP(A154,'Data Pegawai'!B:P,3,FALSE)</f>
        <v>TPA</v>
      </c>
      <c r="E154" s="265">
        <f>VLOOKUP(A154,'Data Pegawai'!B:P,13,FALSE)</f>
        <v>44621</v>
      </c>
      <c r="F154" s="265">
        <f ca="1">IF(VLOOKUP(A154,'Data Pegawai'!B:P,14,FALSE)=0,EOMONTH(TODAY(),0),VLOOKUP(A154,'Data Pegawai'!B:P,13,FALSE))</f>
        <v>46053</v>
      </c>
      <c r="G154">
        <f t="shared" ca="1" si="30"/>
        <v>1</v>
      </c>
      <c r="H154">
        <f t="shared" ca="1" si="32"/>
        <v>1</v>
      </c>
      <c r="I154">
        <f t="shared" ca="1" si="32"/>
        <v>1</v>
      </c>
      <c r="J154">
        <f t="shared" ca="1" si="32"/>
        <v>1</v>
      </c>
      <c r="K154">
        <f t="shared" ca="1" si="32"/>
        <v>1</v>
      </c>
      <c r="L154">
        <f t="shared" ca="1" si="32"/>
        <v>1</v>
      </c>
      <c r="M154">
        <f t="shared" ca="1" si="32"/>
        <v>1</v>
      </c>
      <c r="N154">
        <f t="shared" ca="1" si="32"/>
        <v>1</v>
      </c>
      <c r="O154">
        <f t="shared" ca="1" si="32"/>
        <v>1</v>
      </c>
      <c r="P154">
        <f t="shared" ca="1" si="32"/>
        <v>1</v>
      </c>
      <c r="Q154">
        <f t="shared" ca="1" si="32"/>
        <v>1</v>
      </c>
      <c r="R154">
        <f t="shared" ca="1" si="32"/>
        <v>1</v>
      </c>
      <c r="S154">
        <f t="shared" ca="1" si="32"/>
        <v>0</v>
      </c>
      <c r="T154">
        <f t="shared" ca="1" si="32"/>
        <v>0</v>
      </c>
      <c r="U154">
        <f t="shared" ca="1" si="32"/>
        <v>0</v>
      </c>
      <c r="V154">
        <f t="shared" ca="1" si="32"/>
        <v>0</v>
      </c>
      <c r="W154">
        <f t="shared" ca="1" si="31"/>
        <v>1</v>
      </c>
      <c r="X154">
        <f t="shared" ca="1" si="31"/>
        <v>1</v>
      </c>
      <c r="Y154">
        <f t="shared" ca="1" si="31"/>
        <v>1</v>
      </c>
      <c r="Z154">
        <f t="shared" ca="1" si="31"/>
        <v>1</v>
      </c>
      <c r="AA154">
        <f t="shared" ca="1" si="31"/>
        <v>0</v>
      </c>
    </row>
    <row r="155" spans="1:27" ht="18">
      <c r="A155" s="260" t="s">
        <v>658</v>
      </c>
      <c r="B155" s="258" t="str">
        <f>VLOOKUP(A155,'Data Pegawai'!B:P,2,FALSE)</f>
        <v>Non-Aktif</v>
      </c>
      <c r="C155" s="258" t="str">
        <f>VLOOKUP(A155,'Data Pegawai'!B:P,4,FALSE)</f>
        <v>MADYA.1</v>
      </c>
      <c r="D155" s="258" t="str">
        <f>VLOOKUP(A155,'Data Pegawai'!B:P,3,FALSE)</f>
        <v>TPA</v>
      </c>
      <c r="E155" s="265">
        <f>VLOOKUP(A155,'Data Pegawai'!B:P,13,FALSE)</f>
        <v>43709</v>
      </c>
      <c r="F155" s="265">
        <f ca="1">IF(VLOOKUP(A155,'Data Pegawai'!B:P,14,FALSE)=0,EOMONTH(TODAY(),0),VLOOKUP(A155,'Data Pegawai'!B:P,13,FALSE))</f>
        <v>43709</v>
      </c>
      <c r="G155">
        <f t="shared" ca="1" si="30"/>
        <v>0</v>
      </c>
      <c r="H155">
        <f t="shared" ca="1" si="32"/>
        <v>0</v>
      </c>
      <c r="I155">
        <f t="shared" ca="1" si="32"/>
        <v>0</v>
      </c>
      <c r="J155">
        <f t="shared" ca="1" si="32"/>
        <v>0</v>
      </c>
      <c r="K155">
        <f t="shared" ca="1" si="32"/>
        <v>0</v>
      </c>
      <c r="L155">
        <f t="shared" ca="1" si="32"/>
        <v>0</v>
      </c>
      <c r="M155">
        <f t="shared" ca="1" si="32"/>
        <v>0</v>
      </c>
      <c r="N155">
        <f t="shared" ca="1" si="32"/>
        <v>0</v>
      </c>
      <c r="O155">
        <f t="shared" ca="1" si="32"/>
        <v>0</v>
      </c>
      <c r="P155">
        <f t="shared" ca="1" si="32"/>
        <v>0</v>
      </c>
      <c r="Q155">
        <f t="shared" ca="1" si="32"/>
        <v>0</v>
      </c>
      <c r="R155">
        <f t="shared" ca="1" si="32"/>
        <v>0</v>
      </c>
      <c r="S155">
        <f t="shared" ca="1" si="32"/>
        <v>0</v>
      </c>
      <c r="T155">
        <f t="shared" ca="1" si="32"/>
        <v>0</v>
      </c>
      <c r="U155">
        <f t="shared" ca="1" si="32"/>
        <v>0</v>
      </c>
      <c r="V155">
        <f t="shared" ca="1" si="32"/>
        <v>0</v>
      </c>
      <c r="W155">
        <f t="shared" ca="1" si="31"/>
        <v>0</v>
      </c>
      <c r="X155">
        <f t="shared" ca="1" si="31"/>
        <v>0</v>
      </c>
      <c r="Y155">
        <f t="shared" ca="1" si="31"/>
        <v>0</v>
      </c>
      <c r="Z155">
        <f t="shared" ca="1" si="31"/>
        <v>0</v>
      </c>
      <c r="AA155">
        <f t="shared" ca="1" si="31"/>
        <v>0</v>
      </c>
    </row>
    <row r="156" spans="1:27" ht="18">
      <c r="A156" s="260" t="s">
        <v>660</v>
      </c>
      <c r="B156" s="258" t="str">
        <f>VLOOKUP(A156,'Data Pegawai'!B:P,2,FALSE)</f>
        <v>Aktif</v>
      </c>
      <c r="C156" s="258" t="str">
        <f>VLOOKUP(A156,'Data Pegawai'!B:P,4,FALSE)</f>
        <v>MADYA.1</v>
      </c>
      <c r="D156" s="258" t="str">
        <f>VLOOKUP(A156,'Data Pegawai'!B:P,3,FALSE)</f>
        <v>TPA</v>
      </c>
      <c r="E156" s="265">
        <f>VLOOKUP(A156,'Data Pegawai'!B:P,13,FALSE)</f>
        <v>43892</v>
      </c>
      <c r="F156" s="265">
        <f ca="1">IF(VLOOKUP(A156,'Data Pegawai'!B:P,14,FALSE)=0,EOMONTH(TODAY(),0),VLOOKUP(A156,'Data Pegawai'!B:P,13,FALSE))</f>
        <v>46053</v>
      </c>
      <c r="G156">
        <f t="shared" ca="1" si="30"/>
        <v>1</v>
      </c>
      <c r="H156">
        <f t="shared" ca="1" si="32"/>
        <v>1</v>
      </c>
      <c r="I156">
        <f t="shared" ca="1" si="32"/>
        <v>1</v>
      </c>
      <c r="J156">
        <f t="shared" ca="1" si="32"/>
        <v>1</v>
      </c>
      <c r="K156">
        <f t="shared" ca="1" si="32"/>
        <v>1</v>
      </c>
      <c r="L156">
        <f t="shared" ca="1" si="32"/>
        <v>1</v>
      </c>
      <c r="M156">
        <f t="shared" ca="1" si="32"/>
        <v>1</v>
      </c>
      <c r="N156">
        <f t="shared" ca="1" si="32"/>
        <v>1</v>
      </c>
      <c r="O156">
        <f t="shared" ca="1" si="32"/>
        <v>1</v>
      </c>
      <c r="P156">
        <f t="shared" ca="1" si="32"/>
        <v>1</v>
      </c>
      <c r="Q156">
        <f t="shared" ca="1" si="32"/>
        <v>1</v>
      </c>
      <c r="R156">
        <f t="shared" ca="1" si="32"/>
        <v>1</v>
      </c>
      <c r="S156">
        <f t="shared" ca="1" si="32"/>
        <v>0</v>
      </c>
      <c r="T156">
        <f t="shared" ca="1" si="32"/>
        <v>0</v>
      </c>
      <c r="U156">
        <f t="shared" ca="1" si="32"/>
        <v>1</v>
      </c>
      <c r="V156">
        <f t="shared" ca="1" si="32"/>
        <v>1</v>
      </c>
      <c r="W156">
        <f t="shared" ca="1" si="31"/>
        <v>1</v>
      </c>
      <c r="X156">
        <f t="shared" ca="1" si="31"/>
        <v>1</v>
      </c>
      <c r="Y156">
        <f t="shared" ca="1" si="31"/>
        <v>1</v>
      </c>
      <c r="Z156">
        <f t="shared" ca="1" si="31"/>
        <v>1</v>
      </c>
      <c r="AA156">
        <f t="shared" ca="1" si="31"/>
        <v>0</v>
      </c>
    </row>
    <row r="157" spans="1:27" ht="18">
      <c r="A157" s="260" t="s">
        <v>664</v>
      </c>
      <c r="B157" s="258" t="str">
        <f>VLOOKUP(A157,'Data Pegawai'!B:P,2,FALSE)</f>
        <v>Aktif</v>
      </c>
      <c r="C157" s="258" t="str">
        <f>VLOOKUP(A157,'Data Pegawai'!B:P,4,FALSE)</f>
        <v>MADYA.1</v>
      </c>
      <c r="D157" s="258" t="str">
        <f>VLOOKUP(A157,'Data Pegawai'!B:P,3,FALSE)</f>
        <v>TPA</v>
      </c>
      <c r="E157" s="265">
        <f>VLOOKUP(A157,'Data Pegawai'!B:P,13,FALSE)</f>
        <v>44562</v>
      </c>
      <c r="F157" s="265">
        <f ca="1">IF(VLOOKUP(A157,'Data Pegawai'!B:P,14,FALSE)=0,EOMONTH(TODAY(),0),VLOOKUP(A157,'Data Pegawai'!B:P,13,FALSE))</f>
        <v>46053</v>
      </c>
      <c r="G157">
        <f t="shared" ca="1" si="30"/>
        <v>1</v>
      </c>
      <c r="H157">
        <f t="shared" ca="1" si="32"/>
        <v>1</v>
      </c>
      <c r="I157">
        <f t="shared" ca="1" si="32"/>
        <v>1</v>
      </c>
      <c r="J157">
        <f t="shared" ca="1" si="32"/>
        <v>1</v>
      </c>
      <c r="K157">
        <f t="shared" ca="1" si="32"/>
        <v>1</v>
      </c>
      <c r="L157">
        <f t="shared" ca="1" si="32"/>
        <v>1</v>
      </c>
      <c r="M157">
        <f t="shared" ca="1" si="32"/>
        <v>1</v>
      </c>
      <c r="N157">
        <f t="shared" ca="1" si="32"/>
        <v>1</v>
      </c>
      <c r="O157">
        <f t="shared" ca="1" si="32"/>
        <v>1</v>
      </c>
      <c r="P157">
        <f t="shared" ca="1" si="32"/>
        <v>1</v>
      </c>
      <c r="Q157">
        <f t="shared" ca="1" si="32"/>
        <v>1</v>
      </c>
      <c r="R157">
        <f t="shared" ca="1" si="32"/>
        <v>1</v>
      </c>
      <c r="S157">
        <f t="shared" ca="1" si="32"/>
        <v>0</v>
      </c>
      <c r="T157">
        <f t="shared" ca="1" si="32"/>
        <v>0</v>
      </c>
      <c r="U157">
        <f t="shared" ca="1" si="32"/>
        <v>0</v>
      </c>
      <c r="V157">
        <f t="shared" ca="1" si="32"/>
        <v>0</v>
      </c>
      <c r="W157">
        <f t="shared" ca="1" si="31"/>
        <v>1</v>
      </c>
      <c r="X157">
        <f t="shared" ca="1" si="31"/>
        <v>1</v>
      </c>
      <c r="Y157">
        <f t="shared" ca="1" si="31"/>
        <v>1</v>
      </c>
      <c r="Z157">
        <f t="shared" ca="1" si="31"/>
        <v>1</v>
      </c>
      <c r="AA157">
        <f t="shared" ca="1" si="31"/>
        <v>0</v>
      </c>
    </row>
    <row r="158" spans="1:27" ht="18">
      <c r="A158" s="260" t="s">
        <v>666</v>
      </c>
      <c r="B158" s="258" t="str">
        <f>VLOOKUP(A158,'Data Pegawai'!B:P,2,FALSE)</f>
        <v>Aktif</v>
      </c>
      <c r="C158" s="258" t="str">
        <f>VLOOKUP(A158,'Data Pegawai'!B:P,4,FALSE)</f>
        <v>MADYA.1</v>
      </c>
      <c r="D158" s="258" t="str">
        <f>VLOOKUP(A158,'Data Pegawai'!B:P,3,FALSE)</f>
        <v>TPA</v>
      </c>
      <c r="E158" s="265">
        <f>VLOOKUP(A158,'Data Pegawai'!B:P,13,FALSE)</f>
        <v>43831</v>
      </c>
      <c r="F158" s="265">
        <f ca="1">IF(VLOOKUP(A158,'Data Pegawai'!B:P,14,FALSE)=0,EOMONTH(TODAY(),0),VLOOKUP(A158,'Data Pegawai'!B:P,13,FALSE))</f>
        <v>46053</v>
      </c>
      <c r="G158">
        <f t="shared" ca="1" si="30"/>
        <v>1</v>
      </c>
      <c r="H158">
        <f t="shared" ca="1" si="32"/>
        <v>1</v>
      </c>
      <c r="I158">
        <f t="shared" ca="1" si="32"/>
        <v>1</v>
      </c>
      <c r="J158">
        <f t="shared" ca="1" si="32"/>
        <v>1</v>
      </c>
      <c r="K158">
        <f t="shared" ca="1" si="32"/>
        <v>1</v>
      </c>
      <c r="L158">
        <f t="shared" ca="1" si="32"/>
        <v>1</v>
      </c>
      <c r="M158">
        <f t="shared" ca="1" si="32"/>
        <v>1</v>
      </c>
      <c r="N158">
        <f t="shared" ca="1" si="32"/>
        <v>1</v>
      </c>
      <c r="O158">
        <f t="shared" ca="1" si="32"/>
        <v>1</v>
      </c>
      <c r="P158">
        <f t="shared" ca="1" si="32"/>
        <v>1</v>
      </c>
      <c r="Q158">
        <f t="shared" ca="1" si="32"/>
        <v>1</v>
      </c>
      <c r="R158">
        <f t="shared" ca="1" si="32"/>
        <v>1</v>
      </c>
      <c r="S158">
        <f t="shared" ca="1" si="32"/>
        <v>0</v>
      </c>
      <c r="T158">
        <f t="shared" ca="1" si="32"/>
        <v>0</v>
      </c>
      <c r="U158">
        <f t="shared" ca="1" si="32"/>
        <v>1</v>
      </c>
      <c r="V158">
        <f t="shared" ca="1" si="32"/>
        <v>1</v>
      </c>
      <c r="W158">
        <f t="shared" ca="1" si="31"/>
        <v>1</v>
      </c>
      <c r="X158">
        <f t="shared" ca="1" si="31"/>
        <v>1</v>
      </c>
      <c r="Y158">
        <f t="shared" ca="1" si="31"/>
        <v>1</v>
      </c>
      <c r="Z158">
        <f t="shared" ca="1" si="31"/>
        <v>1</v>
      </c>
      <c r="AA158">
        <f t="shared" ca="1" si="31"/>
        <v>0</v>
      </c>
    </row>
    <row r="159" spans="1:27" ht="18">
      <c r="A159" s="260" t="s">
        <v>668</v>
      </c>
      <c r="B159" s="258" t="str">
        <f>VLOOKUP(A159,'Data Pegawai'!B:P,2,FALSE)</f>
        <v>Aktif</v>
      </c>
      <c r="C159" s="258" t="str">
        <f>VLOOKUP(A159,'Data Pegawai'!B:P,4,FALSE)</f>
        <v>MADYA.1</v>
      </c>
      <c r="D159" s="258" t="str">
        <f>VLOOKUP(A159,'Data Pegawai'!B:P,3,FALSE)</f>
        <v>TPA</v>
      </c>
      <c r="E159" s="265">
        <f>VLOOKUP(A159,'Data Pegawai'!B:P,13,FALSE)</f>
        <v>43976</v>
      </c>
      <c r="F159" s="265">
        <f ca="1">IF(VLOOKUP(A159,'Data Pegawai'!B:P,14,FALSE)=0,EOMONTH(TODAY(),0),VLOOKUP(A159,'Data Pegawai'!B:P,13,FALSE))</f>
        <v>46053</v>
      </c>
      <c r="G159">
        <f t="shared" ca="1" si="30"/>
        <v>1</v>
      </c>
      <c r="H159">
        <f t="shared" ca="1" si="32"/>
        <v>1</v>
      </c>
      <c r="I159">
        <f t="shared" ca="1" si="32"/>
        <v>1</v>
      </c>
      <c r="J159">
        <f t="shared" ca="1" si="32"/>
        <v>1</v>
      </c>
      <c r="K159">
        <f t="shared" ca="1" si="32"/>
        <v>1</v>
      </c>
      <c r="L159">
        <f t="shared" ca="1" si="32"/>
        <v>1</v>
      </c>
      <c r="M159">
        <f t="shared" ca="1" si="32"/>
        <v>1</v>
      </c>
      <c r="N159">
        <f t="shared" ca="1" si="32"/>
        <v>1</v>
      </c>
      <c r="O159">
        <f t="shared" ca="1" si="32"/>
        <v>1</v>
      </c>
      <c r="P159">
        <f t="shared" ca="1" si="32"/>
        <v>1</v>
      </c>
      <c r="Q159">
        <f t="shared" ca="1" si="32"/>
        <v>1</v>
      </c>
      <c r="R159">
        <f t="shared" ca="1" si="32"/>
        <v>1</v>
      </c>
      <c r="S159">
        <f t="shared" ca="1" si="32"/>
        <v>0</v>
      </c>
      <c r="T159">
        <f t="shared" ca="1" si="32"/>
        <v>0</v>
      </c>
      <c r="U159">
        <f t="shared" ca="1" si="32"/>
        <v>1</v>
      </c>
      <c r="V159">
        <f t="shared" ca="1" si="32"/>
        <v>1</v>
      </c>
      <c r="W159">
        <f t="shared" ca="1" si="31"/>
        <v>1</v>
      </c>
      <c r="X159">
        <f t="shared" ca="1" si="31"/>
        <v>1</v>
      </c>
      <c r="Y159">
        <f t="shared" ca="1" si="31"/>
        <v>1</v>
      </c>
      <c r="Z159">
        <f t="shared" ca="1" si="31"/>
        <v>1</v>
      </c>
      <c r="AA159">
        <f t="shared" ca="1" si="31"/>
        <v>0</v>
      </c>
    </row>
    <row r="160" spans="1:27" ht="18">
      <c r="A160" s="260" t="s">
        <v>671</v>
      </c>
      <c r="B160" s="258" t="str">
        <f>VLOOKUP(A160,'Data Pegawai'!B:P,2,FALSE)</f>
        <v>Aktif</v>
      </c>
      <c r="C160" s="258" t="str">
        <f>VLOOKUP(A160,'Data Pegawai'!B:P,4,FALSE)</f>
        <v>MADYA.1</v>
      </c>
      <c r="D160" s="258" t="str">
        <f>VLOOKUP(A160,'Data Pegawai'!B:P,3,FALSE)</f>
        <v>TPA</v>
      </c>
      <c r="E160" s="265">
        <f>VLOOKUP(A160,'Data Pegawai'!B:P,13,FALSE)</f>
        <v>44197</v>
      </c>
      <c r="F160" s="265">
        <f ca="1">IF(VLOOKUP(A160,'Data Pegawai'!B:P,14,FALSE)=0,EOMONTH(TODAY(),0),VLOOKUP(A160,'Data Pegawai'!B:P,13,FALSE))</f>
        <v>46053</v>
      </c>
      <c r="G160">
        <f t="shared" ca="1" si="30"/>
        <v>1</v>
      </c>
      <c r="H160">
        <f t="shared" ca="1" si="32"/>
        <v>1</v>
      </c>
      <c r="I160">
        <f t="shared" ca="1" si="32"/>
        <v>1</v>
      </c>
      <c r="J160">
        <f t="shared" ca="1" si="32"/>
        <v>1</v>
      </c>
      <c r="K160">
        <f t="shared" ca="1" si="32"/>
        <v>1</v>
      </c>
      <c r="L160">
        <f t="shared" ca="1" si="32"/>
        <v>1</v>
      </c>
      <c r="M160">
        <f t="shared" ca="1" si="32"/>
        <v>1</v>
      </c>
      <c r="N160">
        <f t="shared" ca="1" si="32"/>
        <v>1</v>
      </c>
      <c r="O160">
        <f t="shared" ca="1" si="32"/>
        <v>1</v>
      </c>
      <c r="P160">
        <f t="shared" ca="1" si="32"/>
        <v>1</v>
      </c>
      <c r="Q160">
        <f t="shared" ca="1" si="32"/>
        <v>1</v>
      </c>
      <c r="R160">
        <f t="shared" ca="1" si="32"/>
        <v>1</v>
      </c>
      <c r="S160">
        <f t="shared" ca="1" si="32"/>
        <v>0</v>
      </c>
      <c r="T160">
        <f t="shared" ca="1" si="32"/>
        <v>0</v>
      </c>
      <c r="U160">
        <f t="shared" ca="1" si="32"/>
        <v>0</v>
      </c>
      <c r="V160">
        <f t="shared" ca="1" si="32"/>
        <v>1</v>
      </c>
      <c r="W160">
        <f t="shared" ca="1" si="31"/>
        <v>1</v>
      </c>
      <c r="X160">
        <f t="shared" ca="1" si="31"/>
        <v>1</v>
      </c>
      <c r="Y160">
        <f t="shared" ca="1" si="31"/>
        <v>1</v>
      </c>
      <c r="Z160">
        <f t="shared" ca="1" si="31"/>
        <v>1</v>
      </c>
      <c r="AA160">
        <f t="shared" ca="1" si="31"/>
        <v>0</v>
      </c>
    </row>
    <row r="161" spans="1:27" ht="18">
      <c r="A161" s="260" t="s">
        <v>673</v>
      </c>
      <c r="B161" s="258" t="str">
        <f>VLOOKUP(A161,'Data Pegawai'!B:P,2,FALSE)</f>
        <v>Aktif</v>
      </c>
      <c r="C161" s="258" t="str">
        <f>VLOOKUP(A161,'Data Pegawai'!B:P,4,FALSE)</f>
        <v>MUDA.1</v>
      </c>
      <c r="D161" s="258" t="str">
        <f>VLOOKUP(A161,'Data Pegawai'!B:P,3,FALSE)</f>
        <v>TPA</v>
      </c>
      <c r="E161" s="265">
        <f>VLOOKUP(A161,'Data Pegawai'!B:P,13,FALSE)</f>
        <v>44621</v>
      </c>
      <c r="F161" s="265">
        <f ca="1">IF(VLOOKUP(A161,'Data Pegawai'!B:P,14,FALSE)=0,EOMONTH(TODAY(),0),VLOOKUP(A161,'Data Pegawai'!B:P,13,FALSE))</f>
        <v>46053</v>
      </c>
      <c r="G161">
        <f t="shared" ca="1" si="30"/>
        <v>1</v>
      </c>
      <c r="H161">
        <f t="shared" ca="1" si="32"/>
        <v>1</v>
      </c>
      <c r="I161">
        <f t="shared" ca="1" si="32"/>
        <v>1</v>
      </c>
      <c r="J161">
        <f t="shared" ca="1" si="32"/>
        <v>1</v>
      </c>
      <c r="K161">
        <f t="shared" ca="1" si="32"/>
        <v>1</v>
      </c>
      <c r="L161">
        <f t="shared" ca="1" si="32"/>
        <v>1</v>
      </c>
      <c r="M161">
        <f t="shared" ca="1" si="32"/>
        <v>1</v>
      </c>
      <c r="N161">
        <f t="shared" ca="1" si="32"/>
        <v>1</v>
      </c>
      <c r="O161">
        <f t="shared" ca="1" si="32"/>
        <v>1</v>
      </c>
      <c r="P161">
        <f t="shared" ca="1" si="32"/>
        <v>1</v>
      </c>
      <c r="Q161">
        <f t="shared" ca="1" si="32"/>
        <v>1</v>
      </c>
      <c r="R161">
        <f t="shared" ca="1" si="32"/>
        <v>1</v>
      </c>
      <c r="S161">
        <f t="shared" ca="1" si="32"/>
        <v>0</v>
      </c>
      <c r="T161">
        <f t="shared" ca="1" si="32"/>
        <v>0</v>
      </c>
      <c r="U161">
        <f t="shared" ca="1" si="32"/>
        <v>0</v>
      </c>
      <c r="V161">
        <f t="shared" ca="1" si="32"/>
        <v>0</v>
      </c>
      <c r="W161">
        <f t="shared" ca="1" si="31"/>
        <v>1</v>
      </c>
      <c r="X161">
        <f t="shared" ca="1" si="31"/>
        <v>1</v>
      </c>
      <c r="Y161">
        <f t="shared" ca="1" si="31"/>
        <v>1</v>
      </c>
      <c r="Z161">
        <f t="shared" ca="1" si="31"/>
        <v>1</v>
      </c>
      <c r="AA161">
        <f t="shared" ca="1" si="31"/>
        <v>0</v>
      </c>
    </row>
    <row r="162" spans="1:27" ht="18">
      <c r="A162" s="260" t="s">
        <v>676</v>
      </c>
      <c r="B162" s="258" t="str">
        <f>VLOOKUP(A162,'Data Pegawai'!B:P,2,FALSE)</f>
        <v>Aktif</v>
      </c>
      <c r="C162" s="258" t="str">
        <f>VLOOKUP(A162,'Data Pegawai'!B:P,4,FALSE)</f>
        <v>MUDA.1</v>
      </c>
      <c r="D162" s="258" t="str">
        <f>VLOOKUP(A162,'Data Pegawai'!B:P,3,FALSE)</f>
        <v>TPA</v>
      </c>
      <c r="E162" s="265">
        <f>VLOOKUP(A162,'Data Pegawai'!B:P,13,FALSE)</f>
        <v>44774</v>
      </c>
      <c r="F162" s="265">
        <f ca="1">IF(VLOOKUP(A162,'Data Pegawai'!B:P,14,FALSE)=0,EOMONTH(TODAY(),0),VLOOKUP(A162,'Data Pegawai'!B:P,13,FALSE))</f>
        <v>46053</v>
      </c>
      <c r="G162">
        <f t="shared" ca="1" si="30"/>
        <v>1</v>
      </c>
      <c r="H162">
        <f t="shared" ca="1" si="32"/>
        <v>1</v>
      </c>
      <c r="I162">
        <f t="shared" ca="1" si="32"/>
        <v>1</v>
      </c>
      <c r="J162">
        <f t="shared" ca="1" si="32"/>
        <v>1</v>
      </c>
      <c r="K162">
        <f t="shared" ca="1" si="32"/>
        <v>1</v>
      </c>
      <c r="L162">
        <f t="shared" ca="1" si="32"/>
        <v>1</v>
      </c>
      <c r="M162">
        <f t="shared" ca="1" si="32"/>
        <v>1</v>
      </c>
      <c r="N162">
        <f t="shared" ca="1" si="32"/>
        <v>1</v>
      </c>
      <c r="O162">
        <f t="shared" ca="1" si="32"/>
        <v>1</v>
      </c>
      <c r="P162">
        <f t="shared" ca="1" si="32"/>
        <v>1</v>
      </c>
      <c r="Q162">
        <f t="shared" ca="1" si="32"/>
        <v>1</v>
      </c>
      <c r="R162">
        <f t="shared" ca="1" si="32"/>
        <v>1</v>
      </c>
      <c r="S162">
        <f t="shared" ca="1" si="32"/>
        <v>0</v>
      </c>
      <c r="T162">
        <f t="shared" ca="1" si="32"/>
        <v>0</v>
      </c>
      <c r="U162">
        <f t="shared" ca="1" si="32"/>
        <v>0</v>
      </c>
      <c r="V162">
        <f t="shared" ca="1" si="32"/>
        <v>0</v>
      </c>
      <c r="W162">
        <f t="shared" ca="1" si="31"/>
        <v>1</v>
      </c>
      <c r="X162">
        <f t="shared" ca="1" si="31"/>
        <v>1</v>
      </c>
      <c r="Y162">
        <f t="shared" ca="1" si="31"/>
        <v>1</v>
      </c>
      <c r="Z162">
        <f t="shared" ca="1" si="31"/>
        <v>1</v>
      </c>
      <c r="AA162">
        <f t="shared" ca="1" si="31"/>
        <v>0</v>
      </c>
    </row>
    <row r="163" spans="1:27" ht="18">
      <c r="A163" s="260" t="s">
        <v>679</v>
      </c>
      <c r="B163" s="258" t="str">
        <f>VLOOKUP(A163,'Data Pegawai'!B:P,2,FALSE)</f>
        <v>Aktif</v>
      </c>
      <c r="C163" s="258" t="str">
        <f>VLOOKUP(A163,'Data Pegawai'!B:P,4,FALSE)</f>
        <v>MUDA.1</v>
      </c>
      <c r="D163" s="258" t="str">
        <f>VLOOKUP(A163,'Data Pegawai'!B:P,3,FALSE)</f>
        <v>TPA</v>
      </c>
      <c r="E163" s="265">
        <f>VLOOKUP(A163,'Data Pegawai'!B:P,13,FALSE)</f>
        <v>44958</v>
      </c>
      <c r="F163" s="265">
        <f ca="1">IF(VLOOKUP(A163,'Data Pegawai'!B:P,14,FALSE)=0,EOMONTH(TODAY(),0),VLOOKUP(A163,'Data Pegawai'!B:P,13,FALSE))</f>
        <v>46053</v>
      </c>
      <c r="G163">
        <f t="shared" ca="1" si="30"/>
        <v>1</v>
      </c>
      <c r="H163">
        <f t="shared" ca="1" si="32"/>
        <v>1</v>
      </c>
      <c r="I163">
        <f t="shared" ca="1" si="32"/>
        <v>1</v>
      </c>
      <c r="J163">
        <f t="shared" ca="1" si="32"/>
        <v>1</v>
      </c>
      <c r="K163">
        <f t="shared" ca="1" si="32"/>
        <v>1</v>
      </c>
      <c r="L163">
        <f t="shared" ca="1" si="32"/>
        <v>1</v>
      </c>
      <c r="M163">
        <f t="shared" ca="1" si="32"/>
        <v>1</v>
      </c>
      <c r="N163">
        <f t="shared" ca="1" si="32"/>
        <v>1</v>
      </c>
      <c r="O163">
        <f t="shared" ca="1" si="32"/>
        <v>1</v>
      </c>
      <c r="P163">
        <f t="shared" ca="1" si="32"/>
        <v>1</v>
      </c>
      <c r="Q163">
        <f t="shared" ca="1" si="32"/>
        <v>1</v>
      </c>
      <c r="R163">
        <f t="shared" ca="1" si="32"/>
        <v>1</v>
      </c>
      <c r="S163">
        <f t="shared" ca="1" si="32"/>
        <v>0</v>
      </c>
      <c r="T163">
        <f t="shared" ca="1" si="32"/>
        <v>0</v>
      </c>
      <c r="U163">
        <f t="shared" ca="1" si="32"/>
        <v>0</v>
      </c>
      <c r="V163">
        <f t="shared" ca="1" si="32"/>
        <v>0</v>
      </c>
      <c r="W163">
        <f t="shared" ca="1" si="31"/>
        <v>0</v>
      </c>
      <c r="X163">
        <f t="shared" ca="1" si="31"/>
        <v>1</v>
      </c>
      <c r="Y163">
        <f t="shared" ca="1" si="31"/>
        <v>1</v>
      </c>
      <c r="Z163">
        <f t="shared" ca="1" si="31"/>
        <v>1</v>
      </c>
      <c r="AA163">
        <f t="shared" ca="1" si="31"/>
        <v>0</v>
      </c>
    </row>
    <row r="164" spans="1:27" ht="18">
      <c r="A164" s="260" t="s">
        <v>682</v>
      </c>
      <c r="B164" s="258" t="str">
        <f>VLOOKUP(A164,'Data Pegawai'!B:P,2,FALSE)</f>
        <v>Aktif</v>
      </c>
      <c r="C164" s="258" t="str">
        <f>VLOOKUP(A164,'Data Pegawai'!B:P,4,FALSE)</f>
        <v>MUDA.1</v>
      </c>
      <c r="D164" s="258" t="str">
        <f>VLOOKUP(A164,'Data Pegawai'!B:P,3,FALSE)</f>
        <v>TPA</v>
      </c>
      <c r="E164" s="265">
        <f>VLOOKUP(A164,'Data Pegawai'!B:P,13,FALSE)</f>
        <v>45170</v>
      </c>
      <c r="F164" s="265">
        <f ca="1">IF(VLOOKUP(A164,'Data Pegawai'!B:P,14,FALSE)=0,EOMONTH(TODAY(),0),VLOOKUP(A164,'Data Pegawai'!B:P,13,FALSE))</f>
        <v>46053</v>
      </c>
      <c r="G164">
        <f t="shared" ca="1" si="30"/>
        <v>1</v>
      </c>
      <c r="H164">
        <f t="shared" ca="1" si="32"/>
        <v>1</v>
      </c>
      <c r="I164">
        <f t="shared" ca="1" si="32"/>
        <v>1</v>
      </c>
      <c r="J164">
        <f t="shared" ca="1" si="32"/>
        <v>1</v>
      </c>
      <c r="K164">
        <f t="shared" ca="1" si="32"/>
        <v>1</v>
      </c>
      <c r="L164">
        <f t="shared" ca="1" si="32"/>
        <v>1</v>
      </c>
      <c r="M164">
        <f t="shared" ca="1" si="32"/>
        <v>1</v>
      </c>
      <c r="N164">
        <f t="shared" ca="1" si="32"/>
        <v>1</v>
      </c>
      <c r="O164">
        <f t="shared" ca="1" si="32"/>
        <v>1</v>
      </c>
      <c r="P164">
        <f t="shared" ca="1" si="32"/>
        <v>1</v>
      </c>
      <c r="Q164">
        <f t="shared" ca="1" si="32"/>
        <v>1</v>
      </c>
      <c r="R164">
        <f t="shared" ca="1" si="32"/>
        <v>1</v>
      </c>
      <c r="S164">
        <f t="shared" ca="1" si="32"/>
        <v>0</v>
      </c>
      <c r="T164">
        <f t="shared" ca="1" si="32"/>
        <v>0</v>
      </c>
      <c r="U164">
        <f t="shared" ca="1" si="32"/>
        <v>0</v>
      </c>
      <c r="V164">
        <f t="shared" ca="1" si="32"/>
        <v>0</v>
      </c>
      <c r="W164">
        <f t="shared" ca="1" si="31"/>
        <v>0</v>
      </c>
      <c r="X164">
        <f t="shared" ca="1" si="31"/>
        <v>1</v>
      </c>
      <c r="Y164">
        <f t="shared" ca="1" si="31"/>
        <v>1</v>
      </c>
      <c r="Z164">
        <f t="shared" ca="1" si="31"/>
        <v>1</v>
      </c>
      <c r="AA164">
        <f t="shared" ca="1" si="31"/>
        <v>0</v>
      </c>
    </row>
    <row r="165" spans="1:27" ht="18">
      <c r="A165" s="260" t="s">
        <v>684</v>
      </c>
      <c r="B165" s="258" t="str">
        <f>VLOOKUP(A165,'Data Pegawai'!B:P,2,FALSE)</f>
        <v>Aktif</v>
      </c>
      <c r="C165" s="258" t="str">
        <f>VLOOKUP(A165,'Data Pegawai'!B:P,4,FALSE)</f>
        <v>MUDA.1</v>
      </c>
      <c r="D165" s="258" t="str">
        <f>VLOOKUP(A165,'Data Pegawai'!B:P,3,FALSE)</f>
        <v>TPA</v>
      </c>
      <c r="E165" s="265">
        <f>VLOOKUP(A165,'Data Pegawai'!B:P,13,FALSE)</f>
        <v>45170</v>
      </c>
      <c r="F165" s="265">
        <f ca="1">IF(VLOOKUP(A165,'Data Pegawai'!B:P,14,FALSE)=0,EOMONTH(TODAY(),0),VLOOKUP(A165,'Data Pegawai'!B:P,13,FALSE))</f>
        <v>46053</v>
      </c>
      <c r="G165">
        <f t="shared" ca="1" si="30"/>
        <v>1</v>
      </c>
      <c r="H165">
        <f t="shared" ca="1" si="32"/>
        <v>1</v>
      </c>
      <c r="I165">
        <f t="shared" ca="1" si="32"/>
        <v>1</v>
      </c>
      <c r="J165">
        <f t="shared" ca="1" si="32"/>
        <v>1</v>
      </c>
      <c r="K165">
        <f t="shared" ca="1" si="32"/>
        <v>1</v>
      </c>
      <c r="L165">
        <f t="shared" ca="1" si="32"/>
        <v>1</v>
      </c>
      <c r="M165">
        <f t="shared" ca="1" si="32"/>
        <v>1</v>
      </c>
      <c r="N165">
        <f t="shared" ca="1" si="32"/>
        <v>1</v>
      </c>
      <c r="O165">
        <f t="shared" ca="1" si="32"/>
        <v>1</v>
      </c>
      <c r="P165">
        <f t="shared" ca="1" si="32"/>
        <v>1</v>
      </c>
      <c r="Q165">
        <f t="shared" ca="1" si="32"/>
        <v>1</v>
      </c>
      <c r="R165">
        <f t="shared" ca="1" si="32"/>
        <v>1</v>
      </c>
      <c r="S165">
        <f t="shared" ca="1" si="32"/>
        <v>0</v>
      </c>
      <c r="T165">
        <f t="shared" ca="1" si="32"/>
        <v>0</v>
      </c>
      <c r="U165">
        <f t="shared" ca="1" si="32"/>
        <v>0</v>
      </c>
      <c r="V165">
        <f t="shared" ref="V165:AA177" ca="1" si="33">IF(AND(V$3&gt;=$E165,V$3&lt;=$F165),1,0)</f>
        <v>0</v>
      </c>
      <c r="W165">
        <f t="shared" ca="1" si="33"/>
        <v>0</v>
      </c>
      <c r="X165">
        <f t="shared" ca="1" si="33"/>
        <v>1</v>
      </c>
      <c r="Y165">
        <f t="shared" ca="1" si="33"/>
        <v>1</v>
      </c>
      <c r="Z165">
        <f t="shared" ca="1" si="33"/>
        <v>1</v>
      </c>
      <c r="AA165">
        <f t="shared" ca="1" si="33"/>
        <v>0</v>
      </c>
    </row>
    <row r="166" spans="1:27" ht="18">
      <c r="A166" s="260" t="s">
        <v>687</v>
      </c>
      <c r="B166" s="258" t="str">
        <f>VLOOKUP(A166,'Data Pegawai'!B:P,2,FALSE)</f>
        <v>Aktif</v>
      </c>
      <c r="C166" s="258" t="str">
        <f>VLOOKUP(A166,'Data Pegawai'!B:P,4,FALSE)</f>
        <v>MUDA.1</v>
      </c>
      <c r="D166" s="258" t="str">
        <f>VLOOKUP(A166,'Data Pegawai'!B:P,3,FALSE)</f>
        <v>TPA</v>
      </c>
      <c r="E166" s="265">
        <f>VLOOKUP(A166,'Data Pegawai'!B:P,13,FALSE)</f>
        <v>45231</v>
      </c>
      <c r="F166" s="265">
        <f ca="1">IF(VLOOKUP(A166,'Data Pegawai'!B:P,14,FALSE)=0,EOMONTH(TODAY(),0),VLOOKUP(A166,'Data Pegawai'!B:P,13,FALSE))</f>
        <v>46053</v>
      </c>
      <c r="G166">
        <f t="shared" ca="1" si="30"/>
        <v>1</v>
      </c>
      <c r="H166">
        <f t="shared" ref="H166:V178" ca="1" si="34">IF(AND(H$3&gt;=$E166,H$3&lt;=$F166),1,0)</f>
        <v>1</v>
      </c>
      <c r="I166">
        <f t="shared" ca="1" si="34"/>
        <v>1</v>
      </c>
      <c r="J166">
        <f t="shared" ca="1" si="34"/>
        <v>1</v>
      </c>
      <c r="K166">
        <f t="shared" ca="1" si="34"/>
        <v>1</v>
      </c>
      <c r="L166">
        <f t="shared" ca="1" si="34"/>
        <v>1</v>
      </c>
      <c r="M166">
        <f t="shared" ca="1" si="34"/>
        <v>1</v>
      </c>
      <c r="N166">
        <f t="shared" ca="1" si="34"/>
        <v>1</v>
      </c>
      <c r="O166">
        <f t="shared" ca="1" si="34"/>
        <v>1</v>
      </c>
      <c r="P166">
        <f t="shared" ca="1" si="34"/>
        <v>1</v>
      </c>
      <c r="Q166">
        <f t="shared" ca="1" si="34"/>
        <v>1</v>
      </c>
      <c r="R166">
        <f t="shared" ca="1" si="34"/>
        <v>1</v>
      </c>
      <c r="S166">
        <f t="shared" ca="1" si="34"/>
        <v>0</v>
      </c>
      <c r="T166">
        <f t="shared" ca="1" si="34"/>
        <v>0</v>
      </c>
      <c r="U166">
        <f t="shared" ca="1" si="34"/>
        <v>0</v>
      </c>
      <c r="V166">
        <f t="shared" ca="1" si="34"/>
        <v>0</v>
      </c>
      <c r="W166">
        <f t="shared" ca="1" si="33"/>
        <v>0</v>
      </c>
      <c r="X166">
        <f t="shared" ca="1" si="33"/>
        <v>1</v>
      </c>
      <c r="Y166">
        <f t="shared" ca="1" si="33"/>
        <v>1</v>
      </c>
      <c r="Z166">
        <f t="shared" ca="1" si="33"/>
        <v>1</v>
      </c>
      <c r="AA166">
        <f t="shared" ca="1" si="33"/>
        <v>0</v>
      </c>
    </row>
    <row r="167" spans="1:27" ht="18">
      <c r="A167" s="260" t="s">
        <v>689</v>
      </c>
      <c r="B167" s="258" t="str">
        <f>VLOOKUP(A167,'Data Pegawai'!B:P,2,FALSE)</f>
        <v>Aktif</v>
      </c>
      <c r="C167" s="258" t="str">
        <f>VLOOKUP(A167,'Data Pegawai'!B:P,4,FALSE)</f>
        <v>PRA MUDA</v>
      </c>
      <c r="D167" s="258" t="str">
        <f>VLOOKUP(A167,'Data Pegawai'!B:P,3,FALSE)</f>
        <v>TPA</v>
      </c>
      <c r="E167" s="265">
        <f>VLOOKUP(A167,'Data Pegawai'!B:P,13,FALSE)</f>
        <v>44562</v>
      </c>
      <c r="F167" s="265">
        <f ca="1">IF(VLOOKUP(A167,'Data Pegawai'!B:P,14,FALSE)=0,EOMONTH(TODAY(),0),VLOOKUP(A167,'Data Pegawai'!B:P,13,FALSE))</f>
        <v>46053</v>
      </c>
      <c r="G167">
        <f t="shared" ca="1" si="30"/>
        <v>1</v>
      </c>
      <c r="H167">
        <f t="shared" ca="1" si="34"/>
        <v>1</v>
      </c>
      <c r="I167">
        <f t="shared" ca="1" si="34"/>
        <v>1</v>
      </c>
      <c r="J167">
        <f t="shared" ca="1" si="34"/>
        <v>1</v>
      </c>
      <c r="K167">
        <f t="shared" ca="1" si="34"/>
        <v>1</v>
      </c>
      <c r="L167">
        <f t="shared" ca="1" si="34"/>
        <v>1</v>
      </c>
      <c r="M167">
        <f t="shared" ca="1" si="34"/>
        <v>1</v>
      </c>
      <c r="N167">
        <f t="shared" ca="1" si="34"/>
        <v>1</v>
      </c>
      <c r="O167">
        <f t="shared" ca="1" si="34"/>
        <v>1</v>
      </c>
      <c r="P167">
        <f t="shared" ca="1" si="34"/>
        <v>1</v>
      </c>
      <c r="Q167">
        <f t="shared" ca="1" si="34"/>
        <v>1</v>
      </c>
      <c r="R167">
        <f t="shared" ca="1" si="34"/>
        <v>1</v>
      </c>
      <c r="S167">
        <f t="shared" ca="1" si="34"/>
        <v>0</v>
      </c>
      <c r="T167">
        <f t="shared" ca="1" si="34"/>
        <v>0</v>
      </c>
      <c r="U167">
        <f t="shared" ca="1" si="34"/>
        <v>0</v>
      </c>
      <c r="V167">
        <f t="shared" ca="1" si="34"/>
        <v>0</v>
      </c>
      <c r="W167">
        <f t="shared" ca="1" si="33"/>
        <v>1</v>
      </c>
      <c r="X167">
        <f t="shared" ca="1" si="33"/>
        <v>1</v>
      </c>
      <c r="Y167">
        <f t="shared" ca="1" si="33"/>
        <v>1</v>
      </c>
      <c r="Z167">
        <f t="shared" ca="1" si="33"/>
        <v>1</v>
      </c>
      <c r="AA167">
        <f t="shared" ca="1" si="33"/>
        <v>0</v>
      </c>
    </row>
    <row r="168" spans="1:27" ht="18">
      <c r="A168" s="260" t="s">
        <v>699</v>
      </c>
      <c r="B168" s="258" t="str">
        <f>VLOOKUP(A168,'Data Pegawai'!B:P,2,FALSE)</f>
        <v>Aktif</v>
      </c>
      <c r="C168" s="258" t="str">
        <f>VLOOKUP(A168,'Data Pegawai'!B:P,4,FALSE)</f>
        <v>PRA MUDA</v>
      </c>
      <c r="D168" s="258" t="str">
        <f>VLOOKUP(A168,'Data Pegawai'!B:P,3,FALSE)</f>
        <v>TPA</v>
      </c>
      <c r="E168" s="265">
        <f>VLOOKUP(A168,'Data Pegawai'!B:P,13,FALSE)</f>
        <v>44562</v>
      </c>
      <c r="F168" s="265">
        <f ca="1">IF(VLOOKUP(A168,'Data Pegawai'!B:P,14,FALSE)=0,EOMONTH(TODAY(),0),VLOOKUP(A168,'Data Pegawai'!B:P,13,FALSE))</f>
        <v>46053</v>
      </c>
      <c r="G168">
        <f t="shared" ca="1" si="30"/>
        <v>1</v>
      </c>
      <c r="H168">
        <f t="shared" ca="1" si="34"/>
        <v>1</v>
      </c>
      <c r="I168">
        <f t="shared" ca="1" si="34"/>
        <v>1</v>
      </c>
      <c r="J168">
        <f t="shared" ca="1" si="34"/>
        <v>1</v>
      </c>
      <c r="K168">
        <f t="shared" ca="1" si="34"/>
        <v>1</v>
      </c>
      <c r="L168">
        <f t="shared" ca="1" si="34"/>
        <v>1</v>
      </c>
      <c r="M168">
        <f t="shared" ca="1" si="34"/>
        <v>1</v>
      </c>
      <c r="N168">
        <f t="shared" ca="1" si="34"/>
        <v>1</v>
      </c>
      <c r="O168">
        <f t="shared" ca="1" si="34"/>
        <v>1</v>
      </c>
      <c r="P168">
        <f t="shared" ca="1" si="34"/>
        <v>1</v>
      </c>
      <c r="Q168">
        <f t="shared" ca="1" si="34"/>
        <v>1</v>
      </c>
      <c r="R168">
        <f t="shared" ca="1" si="34"/>
        <v>1</v>
      </c>
      <c r="S168">
        <f t="shared" ca="1" si="34"/>
        <v>0</v>
      </c>
      <c r="T168">
        <f t="shared" ca="1" si="34"/>
        <v>0</v>
      </c>
      <c r="U168">
        <f t="shared" ca="1" si="34"/>
        <v>0</v>
      </c>
      <c r="V168">
        <f t="shared" ca="1" si="34"/>
        <v>0</v>
      </c>
      <c r="W168">
        <f t="shared" ca="1" si="33"/>
        <v>1</v>
      </c>
      <c r="X168">
        <f t="shared" ca="1" si="33"/>
        <v>1</v>
      </c>
      <c r="Y168">
        <f t="shared" ca="1" si="33"/>
        <v>1</v>
      </c>
      <c r="Z168">
        <f t="shared" ca="1" si="33"/>
        <v>1</v>
      </c>
      <c r="AA168">
        <f t="shared" ca="1" si="33"/>
        <v>0</v>
      </c>
    </row>
    <row r="169" spans="1:27" ht="18">
      <c r="A169" s="260" t="s">
        <v>705</v>
      </c>
      <c r="B169" s="258" t="str">
        <f>VLOOKUP(A169,'Data Pegawai'!B:P,2,FALSE)</f>
        <v>Aktif</v>
      </c>
      <c r="C169" s="258" t="str">
        <f>VLOOKUP(A169,'Data Pegawai'!B:P,4,FALSE)</f>
        <v>PRA MUDA</v>
      </c>
      <c r="D169" s="258" t="str">
        <f>VLOOKUP(A169,'Data Pegawai'!B:P,3,FALSE)</f>
        <v>TPA</v>
      </c>
      <c r="E169" s="265">
        <f>VLOOKUP(A169,'Data Pegawai'!B:P,13,FALSE)</f>
        <v>45444</v>
      </c>
      <c r="F169" s="265">
        <f ca="1">IF(VLOOKUP(A169,'Data Pegawai'!B:P,14,FALSE)=0,EOMONTH(TODAY(),0),VLOOKUP(A169,'Data Pegawai'!B:P,13,FALSE))</f>
        <v>46053</v>
      </c>
      <c r="G169">
        <f t="shared" ca="1" si="30"/>
        <v>1</v>
      </c>
      <c r="H169">
        <f t="shared" ca="1" si="34"/>
        <v>1</v>
      </c>
      <c r="I169">
        <f t="shared" ca="1" si="34"/>
        <v>1</v>
      </c>
      <c r="J169">
        <f t="shared" ca="1" si="34"/>
        <v>1</v>
      </c>
      <c r="K169">
        <f t="shared" ca="1" si="34"/>
        <v>1</v>
      </c>
      <c r="L169">
        <f t="shared" ca="1" si="34"/>
        <v>1</v>
      </c>
      <c r="M169">
        <f t="shared" ca="1" si="34"/>
        <v>1</v>
      </c>
      <c r="N169">
        <f t="shared" ca="1" si="34"/>
        <v>1</v>
      </c>
      <c r="O169">
        <f t="shared" ca="1" si="34"/>
        <v>1</v>
      </c>
      <c r="P169">
        <f t="shared" ca="1" si="34"/>
        <v>1</v>
      </c>
      <c r="Q169">
        <f t="shared" ca="1" si="34"/>
        <v>1</v>
      </c>
      <c r="R169">
        <f t="shared" ca="1" si="34"/>
        <v>1</v>
      </c>
      <c r="S169">
        <f t="shared" ca="1" si="34"/>
        <v>0</v>
      </c>
      <c r="T169">
        <f t="shared" ca="1" si="34"/>
        <v>0</v>
      </c>
      <c r="U169">
        <f t="shared" ca="1" si="34"/>
        <v>0</v>
      </c>
      <c r="V169">
        <f t="shared" ca="1" si="34"/>
        <v>0</v>
      </c>
      <c r="W169">
        <f t="shared" ca="1" si="33"/>
        <v>0</v>
      </c>
      <c r="X169">
        <f t="shared" ca="1" si="33"/>
        <v>0</v>
      </c>
      <c r="Y169">
        <f t="shared" ca="1" si="33"/>
        <v>1</v>
      </c>
      <c r="Z169">
        <f t="shared" ca="1" si="33"/>
        <v>1</v>
      </c>
      <c r="AA169">
        <f t="shared" ca="1" si="33"/>
        <v>0</v>
      </c>
    </row>
    <row r="170" spans="1:27" ht="18">
      <c r="A170" s="260" t="s">
        <v>708</v>
      </c>
      <c r="B170" s="258" t="str">
        <f>VLOOKUP(A170,'Data Pegawai'!B:P,2,FALSE)</f>
        <v>Aktif</v>
      </c>
      <c r="C170" s="258" t="str">
        <f>VLOOKUP(A170,'Data Pegawai'!B:P,4,FALSE)</f>
        <v>MUDA.1</v>
      </c>
      <c r="D170" s="258" t="str">
        <f>VLOOKUP(A170,'Data Pegawai'!B:P,3,FALSE)</f>
        <v>TPA</v>
      </c>
      <c r="E170" s="265">
        <f>VLOOKUP(A170,'Data Pegawai'!B:P,13,FALSE)</f>
        <v>45566</v>
      </c>
      <c r="F170" s="265">
        <f ca="1">IF(VLOOKUP(A170,'Data Pegawai'!B:P,14,FALSE)=0,EOMONTH(TODAY(),0),VLOOKUP(A170,'Data Pegawai'!B:P,13,FALSE))</f>
        <v>46053</v>
      </c>
      <c r="G170">
        <f t="shared" ca="1" si="30"/>
        <v>1</v>
      </c>
      <c r="H170">
        <f t="shared" ca="1" si="34"/>
        <v>1</v>
      </c>
      <c r="I170">
        <f t="shared" ca="1" si="34"/>
        <v>1</v>
      </c>
      <c r="J170">
        <f t="shared" ca="1" si="34"/>
        <v>1</v>
      </c>
      <c r="K170">
        <f t="shared" ca="1" si="34"/>
        <v>1</v>
      </c>
      <c r="L170">
        <f t="shared" ca="1" si="34"/>
        <v>1</v>
      </c>
      <c r="M170">
        <f t="shared" ca="1" si="34"/>
        <v>1</v>
      </c>
      <c r="N170">
        <f t="shared" ca="1" si="34"/>
        <v>1</v>
      </c>
      <c r="O170">
        <f t="shared" ca="1" si="34"/>
        <v>1</v>
      </c>
      <c r="P170">
        <f t="shared" ca="1" si="34"/>
        <v>1</v>
      </c>
      <c r="Q170">
        <f t="shared" ca="1" si="34"/>
        <v>1</v>
      </c>
      <c r="R170">
        <f t="shared" ca="1" si="34"/>
        <v>1</v>
      </c>
      <c r="S170">
        <f t="shared" ca="1" si="34"/>
        <v>0</v>
      </c>
      <c r="T170">
        <f t="shared" ca="1" si="34"/>
        <v>0</v>
      </c>
      <c r="U170">
        <f t="shared" ca="1" si="34"/>
        <v>0</v>
      </c>
      <c r="V170">
        <f t="shared" ca="1" si="34"/>
        <v>0</v>
      </c>
      <c r="W170">
        <f t="shared" ca="1" si="33"/>
        <v>0</v>
      </c>
      <c r="X170">
        <f t="shared" ca="1" si="33"/>
        <v>0</v>
      </c>
      <c r="Y170">
        <f t="shared" ca="1" si="33"/>
        <v>1</v>
      </c>
      <c r="Z170">
        <f t="shared" ca="1" si="33"/>
        <v>1</v>
      </c>
      <c r="AA170">
        <f t="shared" ca="1" si="33"/>
        <v>0</v>
      </c>
    </row>
    <row r="171" spans="1:27" ht="18">
      <c r="A171" s="260" t="s">
        <v>711</v>
      </c>
      <c r="B171" s="258" t="str">
        <f>VLOOKUP(A171,'Data Pegawai'!B:P,2,FALSE)</f>
        <v>Aktif</v>
      </c>
      <c r="C171" s="258" t="str">
        <f>VLOOKUP(A171,'Data Pegawai'!B:P,4,FALSE)</f>
        <v>MUDA.1</v>
      </c>
      <c r="D171" s="258" t="str">
        <f>VLOOKUP(A171,'Data Pegawai'!B:P,3,FALSE)</f>
        <v>TPA</v>
      </c>
      <c r="E171" s="265">
        <f>VLOOKUP(A171,'Data Pegawai'!B:P,13,FALSE)</f>
        <v>45566</v>
      </c>
      <c r="F171" s="265">
        <f ca="1">IF(VLOOKUP(A171,'Data Pegawai'!B:P,14,FALSE)=0,EOMONTH(TODAY(),0),VLOOKUP(A171,'Data Pegawai'!B:P,13,FALSE))</f>
        <v>46053</v>
      </c>
      <c r="G171">
        <f t="shared" ca="1" si="30"/>
        <v>1</v>
      </c>
      <c r="H171">
        <f t="shared" ca="1" si="34"/>
        <v>1</v>
      </c>
      <c r="I171">
        <f t="shared" ca="1" si="34"/>
        <v>1</v>
      </c>
      <c r="J171">
        <f t="shared" ca="1" si="34"/>
        <v>1</v>
      </c>
      <c r="K171">
        <f t="shared" ca="1" si="34"/>
        <v>1</v>
      </c>
      <c r="L171">
        <f t="shared" ca="1" si="34"/>
        <v>1</v>
      </c>
      <c r="M171">
        <f t="shared" ca="1" si="34"/>
        <v>1</v>
      </c>
      <c r="N171">
        <f t="shared" ca="1" si="34"/>
        <v>1</v>
      </c>
      <c r="O171">
        <f t="shared" ca="1" si="34"/>
        <v>1</v>
      </c>
      <c r="P171">
        <f t="shared" ca="1" si="34"/>
        <v>1</v>
      </c>
      <c r="Q171">
        <f t="shared" ca="1" si="34"/>
        <v>1</v>
      </c>
      <c r="R171">
        <f t="shared" ca="1" si="34"/>
        <v>1</v>
      </c>
      <c r="S171">
        <f t="shared" ca="1" si="34"/>
        <v>0</v>
      </c>
      <c r="T171">
        <f t="shared" ca="1" si="34"/>
        <v>0</v>
      </c>
      <c r="U171">
        <f t="shared" ca="1" si="34"/>
        <v>0</v>
      </c>
      <c r="V171">
        <f t="shared" ca="1" si="34"/>
        <v>0</v>
      </c>
      <c r="W171">
        <f t="shared" ca="1" si="33"/>
        <v>0</v>
      </c>
      <c r="X171">
        <f t="shared" ca="1" si="33"/>
        <v>0</v>
      </c>
      <c r="Y171">
        <f t="shared" ca="1" si="33"/>
        <v>1</v>
      </c>
      <c r="Z171">
        <f t="shared" ca="1" si="33"/>
        <v>1</v>
      </c>
      <c r="AA171">
        <f t="shared" ca="1" si="33"/>
        <v>0</v>
      </c>
    </row>
    <row r="172" spans="1:27" ht="18">
      <c r="A172" s="260" t="s">
        <v>715</v>
      </c>
      <c r="B172" s="258" t="str">
        <f>VLOOKUP(A172,'Data Pegawai'!B:P,2,FALSE)</f>
        <v>Aktif</v>
      </c>
      <c r="C172" s="258" t="str">
        <f>VLOOKUP(A172,'Data Pegawai'!B:P,4,FALSE)</f>
        <v>MUDA.1</v>
      </c>
      <c r="D172" s="258" t="str">
        <f>VLOOKUP(A172,'Data Pegawai'!B:P,3,FALSE)</f>
        <v>TPA</v>
      </c>
      <c r="E172" s="265">
        <f>VLOOKUP(A172,'Data Pegawai'!B:P,13,FALSE)</f>
        <v>45566</v>
      </c>
      <c r="F172" s="265">
        <f ca="1">IF(VLOOKUP(A172,'Data Pegawai'!B:P,14,FALSE)=0,EOMONTH(TODAY(),0),VLOOKUP(A172,'Data Pegawai'!B:P,13,FALSE))</f>
        <v>46053</v>
      </c>
      <c r="G172">
        <f t="shared" ca="1" si="30"/>
        <v>1</v>
      </c>
      <c r="H172">
        <f t="shared" ca="1" si="34"/>
        <v>1</v>
      </c>
      <c r="I172">
        <f t="shared" ca="1" si="34"/>
        <v>1</v>
      </c>
      <c r="J172">
        <f t="shared" ca="1" si="34"/>
        <v>1</v>
      </c>
      <c r="K172">
        <f t="shared" ca="1" si="34"/>
        <v>1</v>
      </c>
      <c r="L172">
        <f t="shared" ca="1" si="34"/>
        <v>1</v>
      </c>
      <c r="M172">
        <f t="shared" ca="1" si="34"/>
        <v>1</v>
      </c>
      <c r="N172">
        <f t="shared" ca="1" si="34"/>
        <v>1</v>
      </c>
      <c r="O172">
        <f t="shared" ca="1" si="34"/>
        <v>1</v>
      </c>
      <c r="P172">
        <f t="shared" ca="1" si="34"/>
        <v>1</v>
      </c>
      <c r="Q172">
        <f t="shared" ca="1" si="34"/>
        <v>1</v>
      </c>
      <c r="R172">
        <f t="shared" ca="1" si="34"/>
        <v>1</v>
      </c>
      <c r="S172">
        <f t="shared" ca="1" si="34"/>
        <v>0</v>
      </c>
      <c r="T172">
        <f t="shared" ca="1" si="34"/>
        <v>0</v>
      </c>
      <c r="U172">
        <f t="shared" ca="1" si="34"/>
        <v>0</v>
      </c>
      <c r="V172">
        <f t="shared" ca="1" si="34"/>
        <v>0</v>
      </c>
      <c r="W172">
        <f t="shared" ca="1" si="33"/>
        <v>0</v>
      </c>
      <c r="X172">
        <f t="shared" ca="1" si="33"/>
        <v>0</v>
      </c>
      <c r="Y172">
        <f t="shared" ca="1" si="33"/>
        <v>1</v>
      </c>
      <c r="Z172">
        <f t="shared" ca="1" si="33"/>
        <v>1</v>
      </c>
      <c r="AA172">
        <f t="shared" ca="1" si="33"/>
        <v>0</v>
      </c>
    </row>
    <row r="173" spans="1:27" ht="18">
      <c r="A173" s="260" t="s">
        <v>717</v>
      </c>
      <c r="B173" s="258" t="str">
        <f>VLOOKUP(A173,'Data Pegawai'!B:P,2,FALSE)</f>
        <v>Aktif</v>
      </c>
      <c r="C173" s="258" t="str">
        <f>VLOOKUP(A173,'Data Pegawai'!B:P,4,FALSE)</f>
        <v>PRA MUDA</v>
      </c>
      <c r="D173" s="258" t="str">
        <f>VLOOKUP(A173,'Data Pegawai'!B:P,3,FALSE)</f>
        <v>TPA</v>
      </c>
      <c r="E173" s="265">
        <f>VLOOKUP(A173,'Data Pegawai'!B:P,13,FALSE)</f>
        <v>45444</v>
      </c>
      <c r="F173" s="265">
        <f ca="1">IF(VLOOKUP(A173,'Data Pegawai'!B:P,14,FALSE)=0,EOMONTH(TODAY(),0),VLOOKUP(A173,'Data Pegawai'!B:P,13,FALSE))</f>
        <v>46053</v>
      </c>
      <c r="G173">
        <f t="shared" ca="1" si="30"/>
        <v>1</v>
      </c>
      <c r="H173">
        <f t="shared" ca="1" si="34"/>
        <v>1</v>
      </c>
      <c r="I173">
        <f t="shared" ca="1" si="34"/>
        <v>1</v>
      </c>
      <c r="J173">
        <f t="shared" ca="1" si="34"/>
        <v>1</v>
      </c>
      <c r="K173">
        <f t="shared" ca="1" si="34"/>
        <v>1</v>
      </c>
      <c r="L173">
        <f t="shared" ca="1" si="34"/>
        <v>1</v>
      </c>
      <c r="M173">
        <f t="shared" ca="1" si="34"/>
        <v>1</v>
      </c>
      <c r="N173">
        <f t="shared" ca="1" si="34"/>
        <v>1</v>
      </c>
      <c r="O173">
        <f t="shared" ca="1" si="34"/>
        <v>1</v>
      </c>
      <c r="P173">
        <f t="shared" ca="1" si="34"/>
        <v>1</v>
      </c>
      <c r="Q173">
        <f t="shared" ca="1" si="34"/>
        <v>1</v>
      </c>
      <c r="R173">
        <f t="shared" ca="1" si="34"/>
        <v>1</v>
      </c>
      <c r="S173">
        <f t="shared" ca="1" si="34"/>
        <v>0</v>
      </c>
      <c r="T173">
        <f t="shared" ca="1" si="34"/>
        <v>0</v>
      </c>
      <c r="U173">
        <f t="shared" ca="1" si="34"/>
        <v>0</v>
      </c>
      <c r="V173">
        <f t="shared" ca="1" si="34"/>
        <v>0</v>
      </c>
      <c r="W173">
        <f t="shared" ca="1" si="33"/>
        <v>0</v>
      </c>
      <c r="X173">
        <f t="shared" ca="1" si="33"/>
        <v>0</v>
      </c>
      <c r="Y173">
        <f t="shared" ca="1" si="33"/>
        <v>1</v>
      </c>
      <c r="Z173">
        <f t="shared" ca="1" si="33"/>
        <v>1</v>
      </c>
      <c r="AA173">
        <f t="shared" ca="1" si="33"/>
        <v>0</v>
      </c>
    </row>
    <row r="174" spans="1:27" ht="18">
      <c r="A174" s="261" t="s">
        <v>721</v>
      </c>
      <c r="B174" s="258" t="str">
        <f>VLOOKUP(A174,'Data Pegawai'!B:P,2,FALSE)</f>
        <v>Non-Aktif</v>
      </c>
      <c r="C174" s="258" t="str">
        <f>VLOOKUP(A174,'Data Pegawai'!B:P,4,FALSE)</f>
        <v>PRA MUDA</v>
      </c>
      <c r="D174" s="258" t="str">
        <f>VLOOKUP(A174,'Data Pegawai'!B:P,3,FALSE)</f>
        <v>TPA</v>
      </c>
      <c r="E174" s="265">
        <f>VLOOKUP(A174,'Data Pegawai'!B:P,13,FALSE)</f>
        <v>44562</v>
      </c>
      <c r="F174" s="265">
        <f ca="1">IF(VLOOKUP(A174,'Data Pegawai'!B:P,14,FALSE)=0,EOMONTH(TODAY(),0),VLOOKUP(A174,'Data Pegawai'!B:P,13,FALSE))</f>
        <v>46053</v>
      </c>
      <c r="G174">
        <f t="shared" ca="1" si="30"/>
        <v>1</v>
      </c>
      <c r="H174">
        <f t="shared" ca="1" si="34"/>
        <v>1</v>
      </c>
      <c r="I174">
        <f t="shared" ca="1" si="34"/>
        <v>1</v>
      </c>
      <c r="J174">
        <f t="shared" ca="1" si="34"/>
        <v>1</v>
      </c>
      <c r="K174">
        <f t="shared" ca="1" si="34"/>
        <v>1</v>
      </c>
      <c r="L174">
        <f t="shared" ca="1" si="34"/>
        <v>1</v>
      </c>
      <c r="M174">
        <f t="shared" ca="1" si="34"/>
        <v>1</v>
      </c>
      <c r="N174">
        <f t="shared" ca="1" si="34"/>
        <v>1</v>
      </c>
      <c r="O174">
        <f t="shared" ca="1" si="34"/>
        <v>1</v>
      </c>
      <c r="P174">
        <f t="shared" ca="1" si="34"/>
        <v>1</v>
      </c>
      <c r="Q174">
        <f t="shared" ca="1" si="34"/>
        <v>1</v>
      </c>
      <c r="R174">
        <f t="shared" ca="1" si="34"/>
        <v>1</v>
      </c>
      <c r="S174">
        <f t="shared" ca="1" si="34"/>
        <v>0</v>
      </c>
      <c r="T174">
        <f t="shared" ca="1" si="34"/>
        <v>0</v>
      </c>
      <c r="U174">
        <f t="shared" ca="1" si="34"/>
        <v>0</v>
      </c>
      <c r="V174">
        <f t="shared" ca="1" si="34"/>
        <v>0</v>
      </c>
      <c r="W174">
        <f t="shared" ca="1" si="33"/>
        <v>1</v>
      </c>
      <c r="X174">
        <f t="shared" ca="1" si="33"/>
        <v>1</v>
      </c>
      <c r="Y174">
        <f t="shared" ca="1" si="33"/>
        <v>1</v>
      </c>
      <c r="Z174">
        <f t="shared" ca="1" si="33"/>
        <v>1</v>
      </c>
      <c r="AA174">
        <f t="shared" ca="1" si="33"/>
        <v>0</v>
      </c>
    </row>
    <row r="175" spans="1:27" ht="18">
      <c r="A175" s="260" t="s">
        <v>723</v>
      </c>
      <c r="B175" s="258" t="str">
        <f>VLOOKUP(A175,'Data Pegawai'!B:P,2,FALSE)</f>
        <v>Aktif</v>
      </c>
      <c r="C175" s="258" t="str">
        <f>VLOOKUP(A175,'Data Pegawai'!B:P,4,FALSE)</f>
        <v>PRA MUDA</v>
      </c>
      <c r="D175" s="258" t="str">
        <f>VLOOKUP(A175,'Data Pegawai'!B:P,3,FALSE)</f>
        <v>TPA</v>
      </c>
      <c r="E175" s="265">
        <f>VLOOKUP(A175,'Data Pegawai'!B:P,13,FALSE)</f>
        <v>45444</v>
      </c>
      <c r="F175" s="265">
        <f ca="1">IF(VLOOKUP(A175,'Data Pegawai'!B:P,14,FALSE)=0,EOMONTH(TODAY(),0),VLOOKUP(A175,'Data Pegawai'!B:P,13,FALSE))</f>
        <v>46053</v>
      </c>
      <c r="G175">
        <f t="shared" ca="1" si="30"/>
        <v>1</v>
      </c>
      <c r="H175">
        <f t="shared" ca="1" si="34"/>
        <v>1</v>
      </c>
      <c r="I175">
        <f t="shared" ca="1" si="34"/>
        <v>1</v>
      </c>
      <c r="J175">
        <f t="shared" ca="1" si="34"/>
        <v>1</v>
      </c>
      <c r="K175">
        <f t="shared" ca="1" si="34"/>
        <v>1</v>
      </c>
      <c r="L175">
        <f t="shared" ca="1" si="34"/>
        <v>1</v>
      </c>
      <c r="M175">
        <f t="shared" ca="1" si="34"/>
        <v>1</v>
      </c>
      <c r="N175">
        <f t="shared" ca="1" si="34"/>
        <v>1</v>
      </c>
      <c r="O175">
        <f t="shared" ca="1" si="34"/>
        <v>1</v>
      </c>
      <c r="P175">
        <f t="shared" ca="1" si="34"/>
        <v>1</v>
      </c>
      <c r="Q175">
        <f t="shared" ca="1" si="34"/>
        <v>1</v>
      </c>
      <c r="R175">
        <f t="shared" ca="1" si="34"/>
        <v>1</v>
      </c>
      <c r="S175">
        <f t="shared" ca="1" si="34"/>
        <v>0</v>
      </c>
      <c r="T175">
        <f t="shared" ca="1" si="34"/>
        <v>0</v>
      </c>
      <c r="U175">
        <f t="shared" ca="1" si="34"/>
        <v>0</v>
      </c>
      <c r="V175">
        <f t="shared" ca="1" si="34"/>
        <v>0</v>
      </c>
      <c r="W175">
        <f t="shared" ca="1" si="33"/>
        <v>0</v>
      </c>
      <c r="X175">
        <f t="shared" ca="1" si="33"/>
        <v>0</v>
      </c>
      <c r="Y175">
        <f t="shared" ca="1" si="33"/>
        <v>1</v>
      </c>
      <c r="Z175">
        <f t="shared" ca="1" si="33"/>
        <v>1</v>
      </c>
      <c r="AA175">
        <f t="shared" ca="1" si="33"/>
        <v>0</v>
      </c>
    </row>
    <row r="176" spans="1:27" ht="18">
      <c r="A176" s="260" t="s">
        <v>726</v>
      </c>
      <c r="B176" s="258" t="str">
        <f>VLOOKUP(A176,'Data Pegawai'!B:P,2,FALSE)</f>
        <v>Aktif</v>
      </c>
      <c r="C176" s="258" t="str">
        <f>VLOOKUP(A176,'Data Pegawai'!B:P,4,FALSE)</f>
        <v>PRA MUDA</v>
      </c>
      <c r="D176" s="258" t="str">
        <f>VLOOKUP(A176,'Data Pegawai'!B:P,3,FALSE)</f>
        <v>TPA</v>
      </c>
      <c r="E176" s="265">
        <f>VLOOKUP(A176,'Data Pegawai'!B:P,13,FALSE)</f>
        <v>45444</v>
      </c>
      <c r="F176" s="265">
        <f ca="1">IF(VLOOKUP(A176,'Data Pegawai'!B:P,14,FALSE)=0,EOMONTH(TODAY(),0),VLOOKUP(A176,'Data Pegawai'!B:P,13,FALSE))</f>
        <v>46053</v>
      </c>
      <c r="G176">
        <f t="shared" ca="1" si="30"/>
        <v>1</v>
      </c>
      <c r="H176">
        <f t="shared" ca="1" si="34"/>
        <v>1</v>
      </c>
      <c r="I176">
        <f t="shared" ca="1" si="34"/>
        <v>1</v>
      </c>
      <c r="J176">
        <f t="shared" ca="1" si="34"/>
        <v>1</v>
      </c>
      <c r="K176">
        <f t="shared" ca="1" si="34"/>
        <v>1</v>
      </c>
      <c r="L176">
        <f t="shared" ca="1" si="34"/>
        <v>1</v>
      </c>
      <c r="M176">
        <f t="shared" ca="1" si="34"/>
        <v>1</v>
      </c>
      <c r="N176">
        <f t="shared" ca="1" si="34"/>
        <v>1</v>
      </c>
      <c r="O176">
        <f t="shared" ca="1" si="34"/>
        <v>1</v>
      </c>
      <c r="P176">
        <f t="shared" ca="1" si="34"/>
        <v>1</v>
      </c>
      <c r="Q176">
        <f t="shared" ca="1" si="34"/>
        <v>1</v>
      </c>
      <c r="R176">
        <f t="shared" ca="1" si="34"/>
        <v>1</v>
      </c>
      <c r="S176">
        <f t="shared" ca="1" si="34"/>
        <v>0</v>
      </c>
      <c r="T176">
        <f t="shared" ca="1" si="34"/>
        <v>0</v>
      </c>
      <c r="U176">
        <f t="shared" ca="1" si="34"/>
        <v>0</v>
      </c>
      <c r="V176">
        <f t="shared" ca="1" si="34"/>
        <v>0</v>
      </c>
      <c r="W176">
        <f t="shared" ca="1" si="33"/>
        <v>0</v>
      </c>
      <c r="X176">
        <f t="shared" ca="1" si="33"/>
        <v>0</v>
      </c>
      <c r="Y176">
        <f t="shared" ca="1" si="33"/>
        <v>1</v>
      </c>
      <c r="Z176">
        <f t="shared" ca="1" si="33"/>
        <v>1</v>
      </c>
      <c r="AA176">
        <f t="shared" ca="1" si="33"/>
        <v>0</v>
      </c>
    </row>
    <row r="177" spans="1:27" ht="18">
      <c r="A177" s="260" t="s">
        <v>728</v>
      </c>
      <c r="B177" s="258" t="str">
        <f>VLOOKUP(A177,'Data Pegawai'!B:P,2,FALSE)</f>
        <v>Non-Aktif</v>
      </c>
      <c r="C177" s="258" t="str">
        <f>VLOOKUP(A177,'Data Pegawai'!B:P,4,FALSE)</f>
        <v>PRA MUDA</v>
      </c>
      <c r="D177" s="258" t="str">
        <f>VLOOKUP(A177,'Data Pegawai'!B:P,3,FALSE)</f>
        <v>TPA</v>
      </c>
      <c r="E177" s="265">
        <f>VLOOKUP(A177,'Data Pegawai'!B:P,13,FALSE)</f>
        <v>45444</v>
      </c>
      <c r="F177" s="265">
        <f ca="1">IF(VLOOKUP(A177,'Data Pegawai'!B:P,14,FALSE)=0,EOMONTH(TODAY(),0),VLOOKUP(A177,'Data Pegawai'!B:P,13,FALSE))</f>
        <v>45444</v>
      </c>
      <c r="G177">
        <f t="shared" ca="1" si="30"/>
        <v>0</v>
      </c>
      <c r="H177">
        <f t="shared" ca="1" si="34"/>
        <v>0</v>
      </c>
      <c r="I177">
        <f t="shared" ca="1" si="34"/>
        <v>0</v>
      </c>
      <c r="J177">
        <f t="shared" ca="1" si="34"/>
        <v>0</v>
      </c>
      <c r="K177">
        <f t="shared" ca="1" si="34"/>
        <v>0</v>
      </c>
      <c r="L177">
        <f t="shared" ca="1" si="34"/>
        <v>0</v>
      </c>
      <c r="M177">
        <f t="shared" ca="1" si="34"/>
        <v>0</v>
      </c>
      <c r="N177">
        <f t="shared" ca="1" si="34"/>
        <v>0</v>
      </c>
      <c r="O177">
        <f t="shared" ca="1" si="34"/>
        <v>0</v>
      </c>
      <c r="P177">
        <f t="shared" ca="1" si="34"/>
        <v>0</v>
      </c>
      <c r="Q177">
        <f t="shared" ca="1" si="34"/>
        <v>0</v>
      </c>
      <c r="R177">
        <f t="shared" ca="1" si="34"/>
        <v>0</v>
      </c>
      <c r="S177">
        <f t="shared" ca="1" si="34"/>
        <v>0</v>
      </c>
      <c r="T177">
        <f t="shared" ca="1" si="34"/>
        <v>0</v>
      </c>
      <c r="U177">
        <f t="shared" ca="1" si="34"/>
        <v>0</v>
      </c>
      <c r="V177">
        <f t="shared" ca="1" si="34"/>
        <v>0</v>
      </c>
      <c r="W177">
        <f t="shared" ca="1" si="33"/>
        <v>0</v>
      </c>
      <c r="X177">
        <f t="shared" ca="1" si="33"/>
        <v>0</v>
      </c>
      <c r="Y177">
        <f t="shared" ca="1" si="33"/>
        <v>0</v>
      </c>
      <c r="Z177">
        <f t="shared" ca="1" si="33"/>
        <v>0</v>
      </c>
      <c r="AA177">
        <f t="shared" ca="1" si="33"/>
        <v>0</v>
      </c>
    </row>
    <row r="178" spans="1:27" ht="18">
      <c r="A178" s="260" t="s">
        <v>732</v>
      </c>
      <c r="B178" s="258" t="str">
        <f>VLOOKUP(A178,'Data Pegawai'!B:P,2,FALSE)</f>
        <v>Aktif</v>
      </c>
      <c r="C178" s="258" t="str">
        <f>VLOOKUP(A178,'Data Pegawai'!B:P,4,FALSE)</f>
        <v>PRA MUDA</v>
      </c>
      <c r="D178" s="258" t="str">
        <f>VLOOKUP(A178,'Data Pegawai'!B:P,3,FALSE)</f>
        <v>TPA</v>
      </c>
      <c r="E178" s="265">
        <f>VLOOKUP(A178,'Data Pegawai'!B:P,13,FALSE)</f>
        <v>45444</v>
      </c>
      <c r="F178" s="265">
        <f ca="1">IF(VLOOKUP(A178,'Data Pegawai'!B:P,14,FALSE)=0,EOMONTH(TODAY(),0),VLOOKUP(A178,'Data Pegawai'!B:P,13,FALSE))</f>
        <v>46053</v>
      </c>
      <c r="G178">
        <f t="shared" ca="1" si="30"/>
        <v>1</v>
      </c>
      <c r="H178">
        <f t="shared" ca="1" si="34"/>
        <v>1</v>
      </c>
      <c r="I178">
        <f t="shared" ca="1" si="34"/>
        <v>1</v>
      </c>
      <c r="J178">
        <f t="shared" ca="1" si="34"/>
        <v>1</v>
      </c>
      <c r="K178">
        <f t="shared" ca="1" si="34"/>
        <v>1</v>
      </c>
      <c r="L178">
        <f t="shared" ca="1" si="34"/>
        <v>1</v>
      </c>
      <c r="M178">
        <f t="shared" ca="1" si="34"/>
        <v>1</v>
      </c>
      <c r="N178">
        <f t="shared" ca="1" si="34"/>
        <v>1</v>
      </c>
      <c r="O178">
        <f t="shared" ca="1" si="34"/>
        <v>1</v>
      </c>
      <c r="P178">
        <f t="shared" ca="1" si="34"/>
        <v>1</v>
      </c>
      <c r="Q178">
        <f t="shared" ca="1" si="34"/>
        <v>1</v>
      </c>
      <c r="R178">
        <f t="shared" ca="1" si="34"/>
        <v>1</v>
      </c>
      <c r="S178">
        <f t="shared" ca="1" si="34"/>
        <v>0</v>
      </c>
      <c r="T178">
        <f t="shared" ca="1" si="34"/>
        <v>0</v>
      </c>
      <c r="U178">
        <f t="shared" ca="1" si="34"/>
        <v>0</v>
      </c>
      <c r="V178">
        <f t="shared" ref="V178:AA193" ca="1" si="35">IF(AND(V$3&gt;=$E178,V$3&lt;=$F178),1,0)</f>
        <v>0</v>
      </c>
      <c r="W178">
        <f t="shared" ca="1" si="35"/>
        <v>0</v>
      </c>
      <c r="X178">
        <f t="shared" ca="1" si="35"/>
        <v>0</v>
      </c>
      <c r="Y178">
        <f t="shared" ca="1" si="35"/>
        <v>1</v>
      </c>
      <c r="Z178">
        <f t="shared" ca="1" si="35"/>
        <v>1</v>
      </c>
      <c r="AA178">
        <f t="shared" ca="1" si="35"/>
        <v>0</v>
      </c>
    </row>
    <row r="179" spans="1:27" ht="18">
      <c r="A179" s="394" t="s">
        <v>736</v>
      </c>
      <c r="B179" s="258" t="str">
        <f>VLOOKUP(A179,'Data Pegawai'!B:P,2,FALSE)</f>
        <v>Aktif</v>
      </c>
      <c r="C179" s="258" t="str">
        <f>VLOOKUP(A179,'Data Pegawai'!B:P,4,FALSE)</f>
        <v>PRA MUDA</v>
      </c>
      <c r="D179" s="258" t="str">
        <f>VLOOKUP(A179,'Data Pegawai'!B:P,3,FALSE)</f>
        <v>TPA</v>
      </c>
      <c r="E179" s="265">
        <f>VLOOKUP(A179,'Data Pegawai'!B:P,13,FALSE)</f>
        <v>45444</v>
      </c>
      <c r="F179" s="265">
        <f ca="1">IF(VLOOKUP(A179,'Data Pegawai'!B:P,14,FALSE)=0,EOMONTH(TODAY(),0),VLOOKUP(A179,'Data Pegawai'!B:P,13,FALSE))</f>
        <v>46053</v>
      </c>
      <c r="G179">
        <f t="shared" ca="1" si="30"/>
        <v>1</v>
      </c>
      <c r="H179">
        <f t="shared" ref="H179:W194" ca="1" si="36">IF(AND(H$3&gt;=$E179,H$3&lt;=$F179),1,0)</f>
        <v>1</v>
      </c>
      <c r="I179">
        <f t="shared" ca="1" si="36"/>
        <v>1</v>
      </c>
      <c r="J179">
        <f t="shared" ca="1" si="36"/>
        <v>1</v>
      </c>
      <c r="K179">
        <f t="shared" ca="1" si="36"/>
        <v>1</v>
      </c>
      <c r="L179">
        <f t="shared" ca="1" si="36"/>
        <v>1</v>
      </c>
      <c r="M179">
        <f t="shared" ca="1" si="36"/>
        <v>1</v>
      </c>
      <c r="N179">
        <f t="shared" ca="1" si="36"/>
        <v>1</v>
      </c>
      <c r="O179">
        <f t="shared" ca="1" si="36"/>
        <v>1</v>
      </c>
      <c r="P179">
        <f t="shared" ca="1" si="36"/>
        <v>1</v>
      </c>
      <c r="Q179">
        <f t="shared" ca="1" si="36"/>
        <v>1</v>
      </c>
      <c r="R179">
        <f t="shared" ca="1" si="36"/>
        <v>1</v>
      </c>
      <c r="S179">
        <f t="shared" ca="1" si="36"/>
        <v>0</v>
      </c>
      <c r="T179">
        <f t="shared" ca="1" si="36"/>
        <v>0</v>
      </c>
      <c r="U179">
        <f t="shared" ca="1" si="36"/>
        <v>0</v>
      </c>
      <c r="V179">
        <f t="shared" ca="1" si="36"/>
        <v>0</v>
      </c>
      <c r="W179">
        <f t="shared" ca="1" si="35"/>
        <v>0</v>
      </c>
      <c r="X179">
        <f t="shared" ca="1" si="35"/>
        <v>0</v>
      </c>
      <c r="Y179">
        <f t="shared" ca="1" si="35"/>
        <v>1</v>
      </c>
      <c r="Z179">
        <f t="shared" ca="1" si="35"/>
        <v>1</v>
      </c>
      <c r="AA179">
        <f t="shared" ca="1" si="35"/>
        <v>0</v>
      </c>
    </row>
    <row r="180" spans="1:27" ht="18">
      <c r="A180" s="394" t="s">
        <v>739</v>
      </c>
      <c r="B180" s="258" t="str">
        <f>VLOOKUP(A180,'Data Pegawai'!B:P,2,FALSE)</f>
        <v>Non-Aktif</v>
      </c>
      <c r="C180" s="258">
        <f>VLOOKUP(A180,'Data Pegawai'!B:P,4,FALSE)</f>
        <v>0</v>
      </c>
      <c r="D180" s="258" t="str">
        <f>VLOOKUP(A180,'Data Pegawai'!B:P,3,FALSE)</f>
        <v>TPA</v>
      </c>
      <c r="E180" s="265">
        <f>VLOOKUP(A180,'Data Pegawai'!B:P,13,FALSE)</f>
        <v>44562</v>
      </c>
      <c r="F180" s="265">
        <f ca="1">IF(VLOOKUP(A180,'Data Pegawai'!B:P,14,FALSE)=0,EOMONTH(TODAY(),0),VLOOKUP(A180,'Data Pegawai'!B:P,13,FALSE))</f>
        <v>46053</v>
      </c>
      <c r="G180">
        <f t="shared" ca="1" si="30"/>
        <v>1</v>
      </c>
      <c r="H180">
        <f t="shared" ca="1" si="36"/>
        <v>1</v>
      </c>
      <c r="I180">
        <f t="shared" ca="1" si="36"/>
        <v>1</v>
      </c>
      <c r="J180">
        <f t="shared" ca="1" si="36"/>
        <v>1</v>
      </c>
      <c r="K180">
        <f t="shared" ca="1" si="36"/>
        <v>1</v>
      </c>
      <c r="L180">
        <f t="shared" ca="1" si="36"/>
        <v>1</v>
      </c>
      <c r="M180">
        <f t="shared" ca="1" si="36"/>
        <v>1</v>
      </c>
      <c r="N180">
        <f t="shared" ca="1" si="36"/>
        <v>1</v>
      </c>
      <c r="O180">
        <f t="shared" ca="1" si="36"/>
        <v>1</v>
      </c>
      <c r="P180">
        <f t="shared" ca="1" si="36"/>
        <v>1</v>
      </c>
      <c r="Q180">
        <f t="shared" ca="1" si="36"/>
        <v>1</v>
      </c>
      <c r="R180">
        <f t="shared" ca="1" si="36"/>
        <v>1</v>
      </c>
      <c r="S180">
        <f t="shared" ca="1" si="36"/>
        <v>0</v>
      </c>
      <c r="T180">
        <f t="shared" ca="1" si="36"/>
        <v>0</v>
      </c>
      <c r="U180">
        <f t="shared" ca="1" si="36"/>
        <v>0</v>
      </c>
      <c r="V180">
        <f t="shared" ca="1" si="36"/>
        <v>0</v>
      </c>
      <c r="W180">
        <f t="shared" ca="1" si="35"/>
        <v>1</v>
      </c>
      <c r="X180">
        <f t="shared" ca="1" si="35"/>
        <v>1</v>
      </c>
      <c r="Y180">
        <f t="shared" ca="1" si="35"/>
        <v>1</v>
      </c>
      <c r="Z180">
        <f t="shared" ca="1" si="35"/>
        <v>1</v>
      </c>
      <c r="AA180">
        <f t="shared" ca="1" si="35"/>
        <v>0</v>
      </c>
    </row>
    <row r="181" spans="1:27" ht="18">
      <c r="A181" s="394" t="s">
        <v>740</v>
      </c>
      <c r="B181" s="258" t="str">
        <f>VLOOKUP(A181,'Data Pegawai'!B:P,2,FALSE)</f>
        <v>Non-Aktif</v>
      </c>
      <c r="C181" s="258">
        <f>VLOOKUP(A181,'Data Pegawai'!B:P,4,FALSE)</f>
        <v>0</v>
      </c>
      <c r="D181" s="258" t="str">
        <f>VLOOKUP(A181,'Data Pegawai'!B:P,3,FALSE)</f>
        <v>TPA</v>
      </c>
      <c r="E181" s="265">
        <f>VLOOKUP(A181,'Data Pegawai'!B:P,13,FALSE)</f>
        <v>44562</v>
      </c>
      <c r="F181" s="265">
        <f ca="1">IF(VLOOKUP(A181,'Data Pegawai'!B:P,14,FALSE)=0,EOMONTH(TODAY(),0),VLOOKUP(A181,'Data Pegawai'!B:P,13,FALSE))</f>
        <v>44562</v>
      </c>
      <c r="G181">
        <f t="shared" ca="1" si="30"/>
        <v>0</v>
      </c>
      <c r="H181">
        <f t="shared" ca="1" si="36"/>
        <v>0</v>
      </c>
      <c r="I181">
        <f t="shared" ca="1" si="36"/>
        <v>0</v>
      </c>
      <c r="J181">
        <f t="shared" ca="1" si="36"/>
        <v>0</v>
      </c>
      <c r="K181">
        <f t="shared" ca="1" si="36"/>
        <v>0</v>
      </c>
      <c r="L181">
        <f t="shared" ca="1" si="36"/>
        <v>0</v>
      </c>
      <c r="M181">
        <f t="shared" ca="1" si="36"/>
        <v>0</v>
      </c>
      <c r="N181">
        <f t="shared" ca="1" si="36"/>
        <v>0</v>
      </c>
      <c r="O181">
        <f t="shared" ca="1" si="36"/>
        <v>0</v>
      </c>
      <c r="P181">
        <f t="shared" ca="1" si="36"/>
        <v>0</v>
      </c>
      <c r="Q181">
        <f t="shared" ca="1" si="36"/>
        <v>0</v>
      </c>
      <c r="R181">
        <f t="shared" ca="1" si="36"/>
        <v>0</v>
      </c>
      <c r="S181">
        <f t="shared" ca="1" si="36"/>
        <v>0</v>
      </c>
      <c r="T181">
        <f t="shared" ca="1" si="36"/>
        <v>0</v>
      </c>
      <c r="U181">
        <f t="shared" ca="1" si="36"/>
        <v>0</v>
      </c>
      <c r="V181">
        <f t="shared" ca="1" si="36"/>
        <v>0</v>
      </c>
      <c r="W181">
        <f t="shared" ca="1" si="35"/>
        <v>0</v>
      </c>
      <c r="X181">
        <f t="shared" ca="1" si="35"/>
        <v>0</v>
      </c>
      <c r="Y181">
        <f t="shared" ca="1" si="35"/>
        <v>0</v>
      </c>
      <c r="Z181">
        <f t="shared" ca="1" si="35"/>
        <v>0</v>
      </c>
      <c r="AA181">
        <f t="shared" ca="1" si="35"/>
        <v>0</v>
      </c>
    </row>
    <row r="182" spans="1:27" ht="18">
      <c r="A182" s="394" t="s">
        <v>741</v>
      </c>
      <c r="B182" s="258" t="str">
        <f>VLOOKUP(A182,'Data Pegawai'!B:P,2,FALSE)</f>
        <v>Non-Aktif</v>
      </c>
      <c r="C182" s="258">
        <f>VLOOKUP(A182,'Data Pegawai'!B:P,4,FALSE)</f>
        <v>0</v>
      </c>
      <c r="D182" s="258" t="str">
        <f>VLOOKUP(A182,'Data Pegawai'!B:P,3,FALSE)</f>
        <v>TPA</v>
      </c>
      <c r="E182" s="265">
        <f>VLOOKUP(A182,'Data Pegawai'!B:P,13,FALSE)</f>
        <v>44562</v>
      </c>
      <c r="F182" s="265">
        <f ca="1">IF(VLOOKUP(A182,'Data Pegawai'!B:P,14,FALSE)=0,EOMONTH(TODAY(),0),VLOOKUP(A182,'Data Pegawai'!B:P,13,FALSE))</f>
        <v>44562</v>
      </c>
      <c r="G182">
        <f t="shared" ca="1" si="30"/>
        <v>0</v>
      </c>
      <c r="H182">
        <f t="shared" ca="1" si="36"/>
        <v>0</v>
      </c>
      <c r="I182">
        <f t="shared" ca="1" si="36"/>
        <v>0</v>
      </c>
      <c r="J182">
        <f t="shared" ca="1" si="36"/>
        <v>0</v>
      </c>
      <c r="K182">
        <f t="shared" ca="1" si="36"/>
        <v>0</v>
      </c>
      <c r="L182">
        <f t="shared" ca="1" si="36"/>
        <v>0</v>
      </c>
      <c r="M182">
        <f t="shared" ca="1" si="36"/>
        <v>0</v>
      </c>
      <c r="N182">
        <f t="shared" ca="1" si="36"/>
        <v>0</v>
      </c>
      <c r="O182">
        <f t="shared" ca="1" si="36"/>
        <v>0</v>
      </c>
      <c r="P182">
        <f t="shared" ca="1" si="36"/>
        <v>0</v>
      </c>
      <c r="Q182">
        <f t="shared" ca="1" si="36"/>
        <v>0</v>
      </c>
      <c r="R182">
        <f t="shared" ca="1" si="36"/>
        <v>0</v>
      </c>
      <c r="S182">
        <f t="shared" ca="1" si="36"/>
        <v>0</v>
      </c>
      <c r="T182">
        <f t="shared" ca="1" si="36"/>
        <v>0</v>
      </c>
      <c r="U182">
        <f t="shared" ca="1" si="36"/>
        <v>0</v>
      </c>
      <c r="V182">
        <f t="shared" ca="1" si="36"/>
        <v>0</v>
      </c>
      <c r="W182">
        <f t="shared" ca="1" si="35"/>
        <v>0</v>
      </c>
      <c r="X182">
        <f t="shared" ca="1" si="35"/>
        <v>0</v>
      </c>
      <c r="Y182">
        <f t="shared" ca="1" si="35"/>
        <v>0</v>
      </c>
      <c r="Z182">
        <f t="shared" ca="1" si="35"/>
        <v>0</v>
      </c>
      <c r="AA182">
        <f t="shared" ca="1" si="35"/>
        <v>0</v>
      </c>
    </row>
    <row r="183" spans="1:27" ht="18">
      <c r="A183" s="394" t="s">
        <v>742</v>
      </c>
      <c r="B183" s="258" t="str">
        <f>VLOOKUP(A183,'Data Pegawai'!B:P,2,FALSE)</f>
        <v>Non-Aktif</v>
      </c>
      <c r="C183" s="258">
        <f>VLOOKUP(A183,'Data Pegawai'!B:P,4,FALSE)</f>
        <v>0</v>
      </c>
      <c r="D183" s="258" t="str">
        <f>VLOOKUP(A183,'Data Pegawai'!B:P,3,FALSE)</f>
        <v>TPA</v>
      </c>
      <c r="E183" s="265">
        <f>VLOOKUP(A183,'Data Pegawai'!B:P,13,FALSE)</f>
        <v>44562</v>
      </c>
      <c r="F183" s="265">
        <f ca="1">IF(VLOOKUP(A183,'Data Pegawai'!B:P,14,FALSE)=0,EOMONTH(TODAY(),0),VLOOKUP(A183,'Data Pegawai'!B:P,13,FALSE))</f>
        <v>44562</v>
      </c>
      <c r="G183">
        <f t="shared" ca="1" si="30"/>
        <v>0</v>
      </c>
      <c r="H183">
        <f t="shared" ca="1" si="36"/>
        <v>0</v>
      </c>
      <c r="I183">
        <f t="shared" ca="1" si="36"/>
        <v>0</v>
      </c>
      <c r="J183">
        <f t="shared" ca="1" si="36"/>
        <v>0</v>
      </c>
      <c r="K183">
        <f t="shared" ca="1" si="36"/>
        <v>0</v>
      </c>
      <c r="L183">
        <f t="shared" ca="1" si="36"/>
        <v>0</v>
      </c>
      <c r="M183">
        <f t="shared" ca="1" si="36"/>
        <v>0</v>
      </c>
      <c r="N183">
        <f t="shared" ca="1" si="36"/>
        <v>0</v>
      </c>
      <c r="O183">
        <f t="shared" ca="1" si="36"/>
        <v>0</v>
      </c>
      <c r="P183">
        <f t="shared" ca="1" si="36"/>
        <v>0</v>
      </c>
      <c r="Q183">
        <f t="shared" ca="1" si="36"/>
        <v>0</v>
      </c>
      <c r="R183">
        <f t="shared" ca="1" si="36"/>
        <v>0</v>
      </c>
      <c r="S183">
        <f t="shared" ca="1" si="36"/>
        <v>0</v>
      </c>
      <c r="T183">
        <f t="shared" ca="1" si="36"/>
        <v>0</v>
      </c>
      <c r="U183">
        <f t="shared" ca="1" si="36"/>
        <v>0</v>
      </c>
      <c r="V183">
        <f t="shared" ca="1" si="36"/>
        <v>0</v>
      </c>
      <c r="W183">
        <f t="shared" ca="1" si="35"/>
        <v>0</v>
      </c>
      <c r="X183">
        <f t="shared" ca="1" si="35"/>
        <v>0</v>
      </c>
      <c r="Y183">
        <f t="shared" ca="1" si="35"/>
        <v>0</v>
      </c>
      <c r="Z183">
        <f t="shared" ca="1" si="35"/>
        <v>0</v>
      </c>
      <c r="AA183">
        <f t="shared" ca="1" si="35"/>
        <v>0</v>
      </c>
    </row>
    <row r="184" spans="1:27" ht="18">
      <c r="A184" s="394" t="s">
        <v>743</v>
      </c>
      <c r="B184" s="258" t="str">
        <f>VLOOKUP(A184,'Data Pegawai'!B:P,2,FALSE)</f>
        <v>Non-Aktif</v>
      </c>
      <c r="C184" s="258">
        <f>VLOOKUP(A184,'Data Pegawai'!B:P,4,FALSE)</f>
        <v>0</v>
      </c>
      <c r="D184" s="258" t="str">
        <f>VLOOKUP(A184,'Data Pegawai'!B:P,3,FALSE)</f>
        <v>TPA</v>
      </c>
      <c r="E184" s="265">
        <f>VLOOKUP(A184,'Data Pegawai'!B:P,13,FALSE)</f>
        <v>44562</v>
      </c>
      <c r="F184" s="265">
        <f ca="1">IF(VLOOKUP(A184,'Data Pegawai'!B:P,14,FALSE)=0,EOMONTH(TODAY(),0),VLOOKUP(A184,'Data Pegawai'!B:P,13,FALSE))</f>
        <v>44562</v>
      </c>
      <c r="G184">
        <f t="shared" ca="1" si="30"/>
        <v>0</v>
      </c>
      <c r="H184">
        <f t="shared" ca="1" si="36"/>
        <v>0</v>
      </c>
      <c r="I184">
        <f t="shared" ca="1" si="36"/>
        <v>0</v>
      </c>
      <c r="J184">
        <f t="shared" ca="1" si="36"/>
        <v>0</v>
      </c>
      <c r="K184">
        <f t="shared" ca="1" si="36"/>
        <v>0</v>
      </c>
      <c r="L184">
        <f t="shared" ca="1" si="36"/>
        <v>0</v>
      </c>
      <c r="M184">
        <f t="shared" ca="1" si="36"/>
        <v>0</v>
      </c>
      <c r="N184">
        <f t="shared" ca="1" si="36"/>
        <v>0</v>
      </c>
      <c r="O184">
        <f t="shared" ca="1" si="36"/>
        <v>0</v>
      </c>
      <c r="P184">
        <f t="shared" ca="1" si="36"/>
        <v>0</v>
      </c>
      <c r="Q184">
        <f t="shared" ca="1" si="36"/>
        <v>0</v>
      </c>
      <c r="R184">
        <f t="shared" ca="1" si="36"/>
        <v>0</v>
      </c>
      <c r="S184">
        <f t="shared" ca="1" si="36"/>
        <v>0</v>
      </c>
      <c r="T184">
        <f t="shared" ca="1" si="36"/>
        <v>0</v>
      </c>
      <c r="U184">
        <f t="shared" ca="1" si="36"/>
        <v>0</v>
      </c>
      <c r="V184">
        <f t="shared" ca="1" si="36"/>
        <v>0</v>
      </c>
      <c r="W184">
        <f t="shared" ca="1" si="35"/>
        <v>0</v>
      </c>
      <c r="X184">
        <f t="shared" ca="1" si="35"/>
        <v>0</v>
      </c>
      <c r="Y184">
        <f t="shared" ca="1" si="35"/>
        <v>0</v>
      </c>
      <c r="Z184">
        <f t="shared" ca="1" si="35"/>
        <v>0</v>
      </c>
      <c r="AA184">
        <f t="shared" ca="1" si="35"/>
        <v>0</v>
      </c>
    </row>
    <row r="185" spans="1:27" ht="18">
      <c r="A185" s="394" t="s">
        <v>744</v>
      </c>
      <c r="B185" s="258" t="str">
        <f>VLOOKUP(A185,'Data Pegawai'!B:P,2,FALSE)</f>
        <v>Non-Aktif</v>
      </c>
      <c r="C185" s="258">
        <f>VLOOKUP(A185,'Data Pegawai'!B:P,4,FALSE)</f>
        <v>0</v>
      </c>
      <c r="D185" s="258" t="str">
        <f>VLOOKUP(A185,'Data Pegawai'!B:P,3,FALSE)</f>
        <v>TPA</v>
      </c>
      <c r="E185" s="265">
        <f>VLOOKUP(A185,'Data Pegawai'!B:P,13,FALSE)</f>
        <v>44562</v>
      </c>
      <c r="F185" s="265">
        <f ca="1">IF(VLOOKUP(A185,'Data Pegawai'!B:P,14,FALSE)=0,EOMONTH(TODAY(),0),VLOOKUP(A185,'Data Pegawai'!B:P,13,FALSE))</f>
        <v>44562</v>
      </c>
      <c r="G185">
        <f t="shared" ca="1" si="30"/>
        <v>0</v>
      </c>
      <c r="H185">
        <f t="shared" ca="1" si="36"/>
        <v>0</v>
      </c>
      <c r="I185">
        <f t="shared" ca="1" si="36"/>
        <v>0</v>
      </c>
      <c r="J185">
        <f t="shared" ca="1" si="36"/>
        <v>0</v>
      </c>
      <c r="K185">
        <f t="shared" ca="1" si="36"/>
        <v>0</v>
      </c>
      <c r="L185">
        <f t="shared" ca="1" si="36"/>
        <v>0</v>
      </c>
      <c r="M185">
        <f t="shared" ca="1" si="36"/>
        <v>0</v>
      </c>
      <c r="N185">
        <f t="shared" ca="1" si="36"/>
        <v>0</v>
      </c>
      <c r="O185">
        <f t="shared" ca="1" si="36"/>
        <v>0</v>
      </c>
      <c r="P185">
        <f t="shared" ca="1" si="36"/>
        <v>0</v>
      </c>
      <c r="Q185">
        <f t="shared" ca="1" si="36"/>
        <v>0</v>
      </c>
      <c r="R185">
        <f t="shared" ca="1" si="36"/>
        <v>0</v>
      </c>
      <c r="S185">
        <f t="shared" ca="1" si="36"/>
        <v>0</v>
      </c>
      <c r="T185">
        <f t="shared" ca="1" si="36"/>
        <v>0</v>
      </c>
      <c r="U185">
        <f t="shared" ca="1" si="36"/>
        <v>0</v>
      </c>
      <c r="V185">
        <f t="shared" ca="1" si="36"/>
        <v>0</v>
      </c>
      <c r="W185">
        <f t="shared" ca="1" si="35"/>
        <v>0</v>
      </c>
      <c r="X185">
        <f t="shared" ca="1" si="35"/>
        <v>0</v>
      </c>
      <c r="Y185">
        <f t="shared" ca="1" si="35"/>
        <v>0</v>
      </c>
      <c r="Z185">
        <f t="shared" ca="1" si="35"/>
        <v>0</v>
      </c>
      <c r="AA185">
        <f t="shared" ca="1" si="35"/>
        <v>0</v>
      </c>
    </row>
    <row r="186" spans="1:27" ht="18">
      <c r="A186" s="394" t="s">
        <v>745</v>
      </c>
      <c r="B186" s="258" t="str">
        <f>VLOOKUP(A186,'Data Pegawai'!B:P,2,FALSE)</f>
        <v>Non-Aktif</v>
      </c>
      <c r="C186" s="258">
        <f>VLOOKUP(A186,'Data Pegawai'!B:P,4,FALSE)</f>
        <v>0</v>
      </c>
      <c r="D186" s="258" t="str">
        <f>VLOOKUP(A186,'Data Pegawai'!B:P,3,FALSE)</f>
        <v>TPA</v>
      </c>
      <c r="E186" s="265">
        <f>VLOOKUP(A186,'Data Pegawai'!B:P,13,FALSE)</f>
        <v>44562</v>
      </c>
      <c r="F186" s="265">
        <f ca="1">IF(VLOOKUP(A186,'Data Pegawai'!B:P,14,FALSE)=0,EOMONTH(TODAY(),0),VLOOKUP(A186,'Data Pegawai'!B:P,13,FALSE))</f>
        <v>44562</v>
      </c>
      <c r="G186">
        <f t="shared" ca="1" si="30"/>
        <v>0</v>
      </c>
      <c r="H186">
        <f t="shared" ca="1" si="36"/>
        <v>0</v>
      </c>
      <c r="I186">
        <f t="shared" ca="1" si="36"/>
        <v>0</v>
      </c>
      <c r="J186">
        <f t="shared" ca="1" si="36"/>
        <v>0</v>
      </c>
      <c r="K186">
        <f t="shared" ca="1" si="36"/>
        <v>0</v>
      </c>
      <c r="L186">
        <f t="shared" ca="1" si="36"/>
        <v>0</v>
      </c>
      <c r="M186">
        <f t="shared" ca="1" si="36"/>
        <v>0</v>
      </c>
      <c r="N186">
        <f t="shared" ca="1" si="36"/>
        <v>0</v>
      </c>
      <c r="O186">
        <f t="shared" ca="1" si="36"/>
        <v>0</v>
      </c>
      <c r="P186">
        <f t="shared" ca="1" si="36"/>
        <v>0</v>
      </c>
      <c r="Q186">
        <f t="shared" ca="1" si="36"/>
        <v>0</v>
      </c>
      <c r="R186">
        <f t="shared" ca="1" si="36"/>
        <v>0</v>
      </c>
      <c r="S186">
        <f t="shared" ca="1" si="36"/>
        <v>0</v>
      </c>
      <c r="T186">
        <f t="shared" ca="1" si="36"/>
        <v>0</v>
      </c>
      <c r="U186">
        <f t="shared" ca="1" si="36"/>
        <v>0</v>
      </c>
      <c r="V186">
        <f t="shared" ca="1" si="36"/>
        <v>0</v>
      </c>
      <c r="W186">
        <f t="shared" ca="1" si="35"/>
        <v>0</v>
      </c>
      <c r="X186">
        <f t="shared" ca="1" si="35"/>
        <v>0</v>
      </c>
      <c r="Y186">
        <f t="shared" ca="1" si="35"/>
        <v>0</v>
      </c>
      <c r="Z186">
        <f t="shared" ca="1" si="35"/>
        <v>0</v>
      </c>
      <c r="AA186">
        <f t="shared" ca="1" si="35"/>
        <v>0</v>
      </c>
    </row>
    <row r="187" spans="1:27" ht="18">
      <c r="A187" s="259" t="s">
        <v>746</v>
      </c>
      <c r="B187" s="258" t="str">
        <f>VLOOKUP(A187,'Data Pegawai'!B:P,2,FALSE)</f>
        <v>Non-Aktif</v>
      </c>
      <c r="C187" s="258" t="str">
        <f>VLOOKUP(A187,'Data Pegawai'!B:P,4,FALSE)</f>
        <v>MUDA.1</v>
      </c>
      <c r="D187" s="258" t="str">
        <f>VLOOKUP(A187,'Data Pegawai'!B:P,3,FALSE)</f>
        <v>TPA</v>
      </c>
      <c r="E187" s="265">
        <f>VLOOKUP(A187,'Data Pegawai'!B:P,13,FALSE)</f>
        <v>44958</v>
      </c>
      <c r="F187" s="265">
        <f ca="1">IF(VLOOKUP(A187,'Data Pegawai'!B:P,14,FALSE)=0,EOMONTH(TODAY(),0),VLOOKUP(A187,'Data Pegawai'!B:P,13,FALSE))</f>
        <v>46053</v>
      </c>
      <c r="G187">
        <f t="shared" ca="1" si="30"/>
        <v>1</v>
      </c>
      <c r="H187">
        <f t="shared" ca="1" si="36"/>
        <v>1</v>
      </c>
      <c r="I187">
        <f t="shared" ca="1" si="36"/>
        <v>1</v>
      </c>
      <c r="J187">
        <f t="shared" ca="1" si="36"/>
        <v>1</v>
      </c>
      <c r="K187">
        <f t="shared" ca="1" si="36"/>
        <v>1</v>
      </c>
      <c r="L187">
        <f t="shared" ca="1" si="36"/>
        <v>1</v>
      </c>
      <c r="M187">
        <f t="shared" ca="1" si="36"/>
        <v>1</v>
      </c>
      <c r="N187">
        <f t="shared" ca="1" si="36"/>
        <v>1</v>
      </c>
      <c r="O187">
        <f t="shared" ca="1" si="36"/>
        <v>1</v>
      </c>
      <c r="P187">
        <f t="shared" ca="1" si="36"/>
        <v>1</v>
      </c>
      <c r="Q187">
        <f t="shared" ca="1" si="36"/>
        <v>1</v>
      </c>
      <c r="R187">
        <f t="shared" ca="1" si="36"/>
        <v>1</v>
      </c>
      <c r="S187">
        <f t="shared" ca="1" si="36"/>
        <v>0</v>
      </c>
      <c r="T187">
        <f t="shared" ca="1" si="36"/>
        <v>0</v>
      </c>
      <c r="U187">
        <f t="shared" ca="1" si="36"/>
        <v>0</v>
      </c>
      <c r="V187">
        <f t="shared" ca="1" si="36"/>
        <v>0</v>
      </c>
      <c r="W187">
        <f t="shared" ca="1" si="35"/>
        <v>0</v>
      </c>
      <c r="X187">
        <f t="shared" ca="1" si="35"/>
        <v>1</v>
      </c>
      <c r="Y187">
        <f t="shared" ca="1" si="35"/>
        <v>1</v>
      </c>
      <c r="Z187">
        <f t="shared" ca="1" si="35"/>
        <v>1</v>
      </c>
      <c r="AA187">
        <f t="shared" ca="1" si="35"/>
        <v>0</v>
      </c>
    </row>
    <row r="188" spans="1:27" ht="18">
      <c r="A188" s="259" t="s">
        <v>749</v>
      </c>
      <c r="B188" s="258" t="str">
        <f>VLOOKUP(A188,'Data Pegawai'!B:P,2,FALSE)</f>
        <v>Non-Aktif</v>
      </c>
      <c r="C188" s="258">
        <f>VLOOKUP(A188,'Data Pegawai'!B:P,4,FALSE)</f>
        <v>0</v>
      </c>
      <c r="D188" s="258" t="str">
        <f>VLOOKUP(A188,'Data Pegawai'!B:P,3,FALSE)</f>
        <v>TPA</v>
      </c>
      <c r="E188" s="265">
        <f>VLOOKUP(A188,'Data Pegawai'!B:P,13,FALSE)</f>
        <v>44562</v>
      </c>
      <c r="F188" s="265">
        <f ca="1">IF(VLOOKUP(A188,'Data Pegawai'!B:P,14,FALSE)=0,EOMONTH(TODAY(),0),VLOOKUP(A188,'Data Pegawai'!B:P,13,FALSE))</f>
        <v>44562</v>
      </c>
      <c r="G188">
        <f t="shared" ca="1" si="30"/>
        <v>0</v>
      </c>
      <c r="H188">
        <f t="shared" ca="1" si="36"/>
        <v>0</v>
      </c>
      <c r="I188">
        <f t="shared" ca="1" si="36"/>
        <v>0</v>
      </c>
      <c r="J188">
        <f t="shared" ca="1" si="36"/>
        <v>0</v>
      </c>
      <c r="K188">
        <f t="shared" ca="1" si="36"/>
        <v>0</v>
      </c>
      <c r="L188">
        <f t="shared" ca="1" si="36"/>
        <v>0</v>
      </c>
      <c r="M188">
        <f t="shared" ca="1" si="36"/>
        <v>0</v>
      </c>
      <c r="N188">
        <f t="shared" ca="1" si="36"/>
        <v>0</v>
      </c>
      <c r="O188">
        <f t="shared" ca="1" si="36"/>
        <v>0</v>
      </c>
      <c r="P188">
        <f t="shared" ca="1" si="36"/>
        <v>0</v>
      </c>
      <c r="Q188">
        <f t="shared" ca="1" si="36"/>
        <v>0</v>
      </c>
      <c r="R188">
        <f t="shared" ca="1" si="36"/>
        <v>0</v>
      </c>
      <c r="S188">
        <f t="shared" ca="1" si="36"/>
        <v>0</v>
      </c>
      <c r="T188">
        <f t="shared" ca="1" si="36"/>
        <v>0</v>
      </c>
      <c r="U188">
        <f t="shared" ca="1" si="36"/>
        <v>0</v>
      </c>
      <c r="V188">
        <f t="shared" ca="1" si="36"/>
        <v>0</v>
      </c>
      <c r="W188">
        <f t="shared" ca="1" si="35"/>
        <v>0</v>
      </c>
      <c r="X188">
        <f t="shared" ca="1" si="35"/>
        <v>0</v>
      </c>
      <c r="Y188">
        <f t="shared" ca="1" si="35"/>
        <v>0</v>
      </c>
      <c r="Z188">
        <f t="shared" ca="1" si="35"/>
        <v>0</v>
      </c>
      <c r="AA188">
        <f t="shared" ca="1" si="35"/>
        <v>0</v>
      </c>
    </row>
    <row r="189" spans="1:27" ht="18">
      <c r="A189" s="259" t="s">
        <v>750</v>
      </c>
      <c r="B189" s="258" t="str">
        <f>VLOOKUP(A189,'Data Pegawai'!B:P,2,FALSE)</f>
        <v>Non-Aktif</v>
      </c>
      <c r="C189" s="258">
        <f>VLOOKUP(A189,'Data Pegawai'!B:P,4,FALSE)</f>
        <v>0</v>
      </c>
      <c r="D189" s="258" t="str">
        <f>VLOOKUP(A189,'Data Pegawai'!B:P,3,FALSE)</f>
        <v>TPA</v>
      </c>
      <c r="E189" s="265">
        <f>VLOOKUP(A189,'Data Pegawai'!B:P,13,FALSE)</f>
        <v>44562</v>
      </c>
      <c r="F189" s="265">
        <f ca="1">IF(VLOOKUP(A189,'Data Pegawai'!B:P,14,FALSE)=0,EOMONTH(TODAY(),0),VLOOKUP(A189,'Data Pegawai'!B:P,13,FALSE))</f>
        <v>44562</v>
      </c>
      <c r="G189">
        <f t="shared" ca="1" si="30"/>
        <v>0</v>
      </c>
      <c r="H189">
        <f t="shared" ca="1" si="36"/>
        <v>0</v>
      </c>
      <c r="I189">
        <f t="shared" ca="1" si="36"/>
        <v>0</v>
      </c>
      <c r="J189">
        <f t="shared" ca="1" si="36"/>
        <v>0</v>
      </c>
      <c r="K189">
        <f t="shared" ca="1" si="36"/>
        <v>0</v>
      </c>
      <c r="L189">
        <f t="shared" ca="1" si="36"/>
        <v>0</v>
      </c>
      <c r="M189">
        <f t="shared" ca="1" si="36"/>
        <v>0</v>
      </c>
      <c r="N189">
        <f t="shared" ca="1" si="36"/>
        <v>0</v>
      </c>
      <c r="O189">
        <f t="shared" ca="1" si="36"/>
        <v>0</v>
      </c>
      <c r="P189">
        <f t="shared" ca="1" si="36"/>
        <v>0</v>
      </c>
      <c r="Q189">
        <f t="shared" ca="1" si="36"/>
        <v>0</v>
      </c>
      <c r="R189">
        <f t="shared" ca="1" si="36"/>
        <v>0</v>
      </c>
      <c r="S189">
        <f t="shared" ca="1" si="36"/>
        <v>0</v>
      </c>
      <c r="T189">
        <f t="shared" ca="1" si="36"/>
        <v>0</v>
      </c>
      <c r="U189">
        <f t="shared" ca="1" si="36"/>
        <v>0</v>
      </c>
      <c r="V189">
        <f t="shared" ca="1" si="36"/>
        <v>0</v>
      </c>
      <c r="W189">
        <f t="shared" ca="1" si="35"/>
        <v>0</v>
      </c>
      <c r="X189">
        <f t="shared" ca="1" si="35"/>
        <v>0</v>
      </c>
      <c r="Y189">
        <f t="shared" ca="1" si="35"/>
        <v>0</v>
      </c>
      <c r="Z189">
        <f t="shared" ca="1" si="35"/>
        <v>0</v>
      </c>
      <c r="AA189">
        <f t="shared" ca="1" si="35"/>
        <v>0</v>
      </c>
    </row>
    <row r="190" spans="1:27" ht="18">
      <c r="A190" s="259" t="s">
        <v>751</v>
      </c>
      <c r="B190" s="258" t="str">
        <f>VLOOKUP(A190,'Data Pegawai'!B:P,2,FALSE)</f>
        <v>Non-Aktif</v>
      </c>
      <c r="C190" s="258">
        <f>VLOOKUP(A190,'Data Pegawai'!B:P,4,FALSE)</f>
        <v>0</v>
      </c>
      <c r="D190" s="258" t="str">
        <f>VLOOKUP(A190,'Data Pegawai'!B:P,3,FALSE)</f>
        <v>TPA</v>
      </c>
      <c r="E190" s="265">
        <f>VLOOKUP(A190,'Data Pegawai'!B:P,13,FALSE)</f>
        <v>44562</v>
      </c>
      <c r="F190" s="265">
        <f ca="1">IF(VLOOKUP(A190,'Data Pegawai'!B:P,14,FALSE)=0,EOMONTH(TODAY(),0),VLOOKUP(A190,'Data Pegawai'!B:P,13,FALSE))</f>
        <v>46053</v>
      </c>
      <c r="G190">
        <f t="shared" ca="1" si="30"/>
        <v>1</v>
      </c>
      <c r="H190">
        <f t="shared" ca="1" si="36"/>
        <v>1</v>
      </c>
      <c r="I190">
        <f t="shared" ca="1" si="36"/>
        <v>1</v>
      </c>
      <c r="J190">
        <f t="shared" ca="1" si="36"/>
        <v>1</v>
      </c>
      <c r="K190">
        <f t="shared" ca="1" si="36"/>
        <v>1</v>
      </c>
      <c r="L190">
        <f t="shared" ca="1" si="36"/>
        <v>1</v>
      </c>
      <c r="M190">
        <f t="shared" ca="1" si="36"/>
        <v>1</v>
      </c>
      <c r="N190">
        <f t="shared" ca="1" si="36"/>
        <v>1</v>
      </c>
      <c r="O190">
        <f t="shared" ca="1" si="36"/>
        <v>1</v>
      </c>
      <c r="P190">
        <f t="shared" ca="1" si="36"/>
        <v>1</v>
      </c>
      <c r="Q190">
        <f t="shared" ca="1" si="36"/>
        <v>1</v>
      </c>
      <c r="R190">
        <f t="shared" ca="1" si="36"/>
        <v>1</v>
      </c>
      <c r="S190">
        <f t="shared" ca="1" si="36"/>
        <v>0</v>
      </c>
      <c r="T190">
        <f t="shared" ca="1" si="36"/>
        <v>0</v>
      </c>
      <c r="U190">
        <f t="shared" ca="1" si="36"/>
        <v>0</v>
      </c>
      <c r="V190">
        <f t="shared" ca="1" si="36"/>
        <v>0</v>
      </c>
      <c r="W190">
        <f t="shared" ca="1" si="35"/>
        <v>1</v>
      </c>
      <c r="X190">
        <f t="shared" ca="1" si="35"/>
        <v>1</v>
      </c>
      <c r="Y190">
        <f t="shared" ca="1" si="35"/>
        <v>1</v>
      </c>
      <c r="Z190">
        <f t="shared" ca="1" si="35"/>
        <v>1</v>
      </c>
      <c r="AA190">
        <f t="shared" ca="1" si="35"/>
        <v>0</v>
      </c>
    </row>
    <row r="191" spans="1:27" ht="18">
      <c r="A191" s="259" t="s">
        <v>752</v>
      </c>
      <c r="B191" s="258" t="str">
        <f>VLOOKUP(A191,'Data Pegawai'!B:P,2,FALSE)</f>
        <v>Non-Aktif</v>
      </c>
      <c r="C191" s="258">
        <f>VLOOKUP(A191,'Data Pegawai'!B:P,4,FALSE)</f>
        <v>0</v>
      </c>
      <c r="D191" s="258" t="str">
        <f>VLOOKUP(A191,'Data Pegawai'!B:P,3,FALSE)</f>
        <v>TPA</v>
      </c>
      <c r="E191" s="265">
        <f>VLOOKUP(A191,'Data Pegawai'!B:P,13,FALSE)</f>
        <v>44562</v>
      </c>
      <c r="F191" s="265">
        <f ca="1">IF(VLOOKUP(A191,'Data Pegawai'!B:P,14,FALSE)=0,EOMONTH(TODAY(),0),VLOOKUP(A191,'Data Pegawai'!B:P,13,FALSE))</f>
        <v>46053</v>
      </c>
      <c r="G191">
        <f t="shared" ca="1" si="30"/>
        <v>1</v>
      </c>
      <c r="H191">
        <f t="shared" ca="1" si="36"/>
        <v>1</v>
      </c>
      <c r="I191">
        <f t="shared" ca="1" si="36"/>
        <v>1</v>
      </c>
      <c r="J191">
        <f t="shared" ca="1" si="36"/>
        <v>1</v>
      </c>
      <c r="K191">
        <f t="shared" ca="1" si="36"/>
        <v>1</v>
      </c>
      <c r="L191">
        <f t="shared" ca="1" si="36"/>
        <v>1</v>
      </c>
      <c r="M191">
        <f t="shared" ca="1" si="36"/>
        <v>1</v>
      </c>
      <c r="N191">
        <f t="shared" ca="1" si="36"/>
        <v>1</v>
      </c>
      <c r="O191">
        <f t="shared" ca="1" si="36"/>
        <v>1</v>
      </c>
      <c r="P191">
        <f t="shared" ca="1" si="36"/>
        <v>1</v>
      </c>
      <c r="Q191">
        <f t="shared" ca="1" si="36"/>
        <v>1</v>
      </c>
      <c r="R191">
        <f t="shared" ca="1" si="36"/>
        <v>1</v>
      </c>
      <c r="S191">
        <f t="shared" ca="1" si="36"/>
        <v>0</v>
      </c>
      <c r="T191">
        <f t="shared" ca="1" si="36"/>
        <v>0</v>
      </c>
      <c r="U191">
        <f t="shared" ca="1" si="36"/>
        <v>0</v>
      </c>
      <c r="V191">
        <f t="shared" ca="1" si="36"/>
        <v>0</v>
      </c>
      <c r="W191">
        <f t="shared" ca="1" si="35"/>
        <v>1</v>
      </c>
      <c r="X191">
        <f t="shared" ca="1" si="35"/>
        <v>1</v>
      </c>
      <c r="Y191">
        <f t="shared" ca="1" si="35"/>
        <v>1</v>
      </c>
      <c r="Z191">
        <f t="shared" ca="1" si="35"/>
        <v>1</v>
      </c>
      <c r="AA191">
        <f t="shared" ca="1" si="35"/>
        <v>0</v>
      </c>
    </row>
    <row r="192" spans="1:27" ht="18">
      <c r="A192" s="281" t="s">
        <v>753</v>
      </c>
      <c r="B192" s="281" t="s">
        <v>20</v>
      </c>
      <c r="C192" s="281" t="s">
        <v>170</v>
      </c>
      <c r="D192" t="s">
        <v>21</v>
      </c>
      <c r="E192" s="265">
        <f>VLOOKUP(A192,'Data Pegawai'!B:P,13,FALSE)</f>
        <v>44562</v>
      </c>
      <c r="F192" s="265">
        <f ca="1">IF(VLOOKUP(A192,'Data Pegawai'!B:P,14,FALSE)=0,EOMONTH(TODAY(),0),VLOOKUP(A192,'Data Pegawai'!B:P,13,FALSE))</f>
        <v>46053</v>
      </c>
      <c r="G192">
        <f ca="1">IF(AND(G$3&gt;=$E192,G$3&lt;=$F192),1,0)</f>
        <v>1</v>
      </c>
      <c r="H192">
        <f t="shared" ca="1" si="36"/>
        <v>1</v>
      </c>
      <c r="I192">
        <f t="shared" ca="1" si="36"/>
        <v>1</v>
      </c>
      <c r="J192">
        <f t="shared" ca="1" si="36"/>
        <v>1</v>
      </c>
      <c r="K192">
        <f t="shared" ca="1" si="36"/>
        <v>1</v>
      </c>
      <c r="L192">
        <f t="shared" ca="1" si="36"/>
        <v>1</v>
      </c>
      <c r="M192">
        <f t="shared" ca="1" si="36"/>
        <v>1</v>
      </c>
      <c r="N192">
        <f t="shared" ca="1" si="36"/>
        <v>1</v>
      </c>
      <c r="O192">
        <f t="shared" ca="1" si="36"/>
        <v>1</v>
      </c>
      <c r="P192">
        <f t="shared" ca="1" si="36"/>
        <v>1</v>
      </c>
      <c r="Q192">
        <f t="shared" ca="1" si="36"/>
        <v>1</v>
      </c>
      <c r="R192">
        <f t="shared" ca="1" si="36"/>
        <v>1</v>
      </c>
      <c r="S192">
        <f t="shared" ca="1" si="36"/>
        <v>0</v>
      </c>
      <c r="T192">
        <f t="shared" ca="1" si="36"/>
        <v>0</v>
      </c>
      <c r="U192">
        <f t="shared" ca="1" si="36"/>
        <v>0</v>
      </c>
      <c r="V192">
        <f t="shared" ca="1" si="36"/>
        <v>0</v>
      </c>
      <c r="W192">
        <f t="shared" ca="1" si="35"/>
        <v>1</v>
      </c>
      <c r="X192">
        <f t="shared" ca="1" si="35"/>
        <v>1</v>
      </c>
      <c r="Y192">
        <f t="shared" ca="1" si="35"/>
        <v>1</v>
      </c>
      <c r="Z192">
        <f t="shared" ca="1" si="35"/>
        <v>1</v>
      </c>
      <c r="AA192">
        <f t="shared" ca="1" si="35"/>
        <v>0</v>
      </c>
    </row>
    <row r="193" spans="1:27" ht="18">
      <c r="A193" s="280" t="s">
        <v>754</v>
      </c>
      <c r="B193" s="281" t="s">
        <v>20</v>
      </c>
      <c r="C193" s="280" t="s">
        <v>22</v>
      </c>
      <c r="D193" t="s">
        <v>21</v>
      </c>
      <c r="E193" s="265">
        <f>VLOOKUP(A193,'Data Pegawai'!B:P,13,FALSE)</f>
        <v>45870</v>
      </c>
      <c r="F193" s="265">
        <f ca="1">IF(VLOOKUP(A193,'Data Pegawai'!B:P,14,FALSE)=0,EOMONTH(TODAY(),0),VLOOKUP(A193,'Data Pegawai'!B:P,13,FALSE))</f>
        <v>46053</v>
      </c>
      <c r="G193">
        <f ca="1">IF(AND(G$3&gt;=$E193,G$3&lt;=$F193),1,0)</f>
        <v>0</v>
      </c>
      <c r="H193">
        <f t="shared" ca="1" si="36"/>
        <v>0</v>
      </c>
      <c r="I193">
        <f t="shared" ca="1" si="36"/>
        <v>0</v>
      </c>
      <c r="J193">
        <f t="shared" ca="1" si="36"/>
        <v>0</v>
      </c>
      <c r="K193">
        <f t="shared" ca="1" si="36"/>
        <v>0</v>
      </c>
      <c r="L193">
        <f t="shared" ca="1" si="36"/>
        <v>0</v>
      </c>
      <c r="M193">
        <f t="shared" ca="1" si="36"/>
        <v>0</v>
      </c>
      <c r="N193">
        <f ca="1">IF(AND(N$3&gt;=$E193,N$3&lt;=$F193),1,0)</f>
        <v>1</v>
      </c>
      <c r="O193">
        <f t="shared" ca="1" si="36"/>
        <v>1</v>
      </c>
      <c r="P193">
        <f t="shared" ca="1" si="36"/>
        <v>1</v>
      </c>
      <c r="Q193">
        <f t="shared" ca="1" si="36"/>
        <v>1</v>
      </c>
      <c r="R193">
        <f t="shared" ca="1" si="36"/>
        <v>1</v>
      </c>
      <c r="S193">
        <f t="shared" ca="1" si="36"/>
        <v>0</v>
      </c>
      <c r="T193">
        <f t="shared" ca="1" si="36"/>
        <v>0</v>
      </c>
      <c r="U193">
        <f t="shared" ca="1" si="36"/>
        <v>0</v>
      </c>
      <c r="V193">
        <f t="shared" ca="1" si="36"/>
        <v>0</v>
      </c>
      <c r="W193">
        <f t="shared" ca="1" si="35"/>
        <v>0</v>
      </c>
      <c r="X193">
        <f t="shared" ca="1" si="35"/>
        <v>0</v>
      </c>
      <c r="Y193">
        <f t="shared" ca="1" si="35"/>
        <v>0</v>
      </c>
      <c r="Z193">
        <f t="shared" ca="1" si="35"/>
        <v>1</v>
      </c>
      <c r="AA193">
        <f t="shared" ca="1" si="35"/>
        <v>0</v>
      </c>
    </row>
    <row r="194" spans="1:27" ht="18">
      <c r="A194" s="280" t="s">
        <v>755</v>
      </c>
      <c r="B194" s="281" t="s">
        <v>20</v>
      </c>
      <c r="C194" s="280" t="s">
        <v>235</v>
      </c>
      <c r="D194" t="s">
        <v>21</v>
      </c>
      <c r="E194" s="265">
        <f>VLOOKUP(A194,'Data Pegawai'!B:P,13,FALSE)</f>
        <v>45870</v>
      </c>
      <c r="F194" s="265">
        <f ca="1">IF(VLOOKUP(A194,'Data Pegawai'!B:P,14,FALSE)=0,EOMONTH(TODAY(),0),VLOOKUP(A194,'Data Pegawai'!B:P,13,FALSE))</f>
        <v>46053</v>
      </c>
      <c r="G194">
        <f t="shared" ca="1" si="30"/>
        <v>0</v>
      </c>
      <c r="H194">
        <f t="shared" ca="1" si="36"/>
        <v>0</v>
      </c>
      <c r="I194">
        <f t="shared" ca="1" si="36"/>
        <v>0</v>
      </c>
      <c r="J194">
        <f t="shared" ca="1" si="36"/>
        <v>0</v>
      </c>
      <c r="K194">
        <f t="shared" ca="1" si="36"/>
        <v>0</v>
      </c>
      <c r="L194">
        <f t="shared" ca="1" si="36"/>
        <v>0</v>
      </c>
      <c r="M194">
        <f t="shared" ca="1" si="36"/>
        <v>0</v>
      </c>
      <c r="N194">
        <f t="shared" ca="1" si="36"/>
        <v>1</v>
      </c>
      <c r="O194">
        <f t="shared" ca="1" si="36"/>
        <v>1</v>
      </c>
      <c r="P194">
        <f t="shared" ca="1" si="36"/>
        <v>1</v>
      </c>
      <c r="Q194">
        <f t="shared" ca="1" si="36"/>
        <v>1</v>
      </c>
      <c r="R194">
        <f t="shared" ca="1" si="36"/>
        <v>1</v>
      </c>
      <c r="S194">
        <f t="shared" ca="1" si="36"/>
        <v>0</v>
      </c>
      <c r="T194">
        <f t="shared" ca="1" si="36"/>
        <v>0</v>
      </c>
      <c r="U194">
        <f t="shared" ca="1" si="36"/>
        <v>0</v>
      </c>
      <c r="V194">
        <f t="shared" ca="1" si="36"/>
        <v>0</v>
      </c>
      <c r="W194">
        <f t="shared" ca="1" si="36"/>
        <v>0</v>
      </c>
      <c r="X194">
        <f t="shared" ref="W194:AA217" ca="1" si="37">IF(AND(X$3&gt;=$E194,X$3&lt;=$F194),1,0)</f>
        <v>0</v>
      </c>
      <c r="Y194">
        <f t="shared" ca="1" si="37"/>
        <v>0</v>
      </c>
      <c r="Z194">
        <f t="shared" ca="1" si="37"/>
        <v>1</v>
      </c>
      <c r="AA194">
        <f t="shared" ca="1" si="37"/>
        <v>0</v>
      </c>
    </row>
    <row r="195" spans="1:27" ht="18">
      <c r="A195" s="280" t="s">
        <v>756</v>
      </c>
      <c r="B195" s="281" t="s">
        <v>20</v>
      </c>
      <c r="C195" s="280" t="s">
        <v>413</v>
      </c>
      <c r="D195" t="s">
        <v>21</v>
      </c>
      <c r="E195" s="265">
        <f>VLOOKUP(A195,'Data Pegawai'!B:P,13,FALSE)</f>
        <v>45870</v>
      </c>
      <c r="F195" s="265">
        <f ca="1">IF(VLOOKUP(A195,'Data Pegawai'!B:P,14,FALSE)=0,EOMONTH(TODAY(),0),VLOOKUP(A195,'Data Pegawai'!B:P,13,FALSE))</f>
        <v>46053</v>
      </c>
      <c r="G195">
        <f t="shared" ca="1" si="30"/>
        <v>0</v>
      </c>
      <c r="H195">
        <f t="shared" ca="1" si="30"/>
        <v>0</v>
      </c>
      <c r="I195">
        <f t="shared" ca="1" si="30"/>
        <v>0</v>
      </c>
      <c r="J195">
        <f t="shared" ca="1" si="30"/>
        <v>0</v>
      </c>
      <c r="K195">
        <f t="shared" ca="1" si="30"/>
        <v>0</v>
      </c>
      <c r="L195">
        <f t="shared" ca="1" si="30"/>
        <v>0</v>
      </c>
      <c r="M195">
        <f t="shared" ca="1" si="30"/>
        <v>0</v>
      </c>
      <c r="N195">
        <f t="shared" ca="1" si="30"/>
        <v>1</v>
      </c>
      <c r="O195">
        <f t="shared" ca="1" si="30"/>
        <v>1</v>
      </c>
      <c r="P195">
        <f t="shared" ca="1" si="30"/>
        <v>1</v>
      </c>
      <c r="Q195">
        <f t="shared" ca="1" si="30"/>
        <v>1</v>
      </c>
      <c r="R195">
        <f t="shared" ca="1" si="30"/>
        <v>1</v>
      </c>
      <c r="S195">
        <f t="shared" ca="1" si="30"/>
        <v>0</v>
      </c>
      <c r="T195">
        <f t="shared" ca="1" si="30"/>
        <v>0</v>
      </c>
      <c r="U195">
        <f t="shared" ca="1" si="30"/>
        <v>0</v>
      </c>
      <c r="V195">
        <f t="shared" ca="1" si="30"/>
        <v>0</v>
      </c>
      <c r="W195">
        <f t="shared" ca="1" si="37"/>
        <v>0</v>
      </c>
      <c r="X195">
        <f t="shared" ca="1" si="37"/>
        <v>0</v>
      </c>
      <c r="Y195">
        <f t="shared" ca="1" si="37"/>
        <v>0</v>
      </c>
      <c r="Z195">
        <f t="shared" ca="1" si="37"/>
        <v>1</v>
      </c>
      <c r="AA195">
        <f t="shared" ca="1" si="37"/>
        <v>0</v>
      </c>
    </row>
    <row r="196" spans="1:27" ht="18">
      <c r="A196" s="280" t="s">
        <v>757</v>
      </c>
      <c r="B196" s="281" t="s">
        <v>20</v>
      </c>
      <c r="C196" s="280" t="s">
        <v>370</v>
      </c>
      <c r="D196" t="s">
        <v>21</v>
      </c>
      <c r="E196" s="265">
        <f>VLOOKUP(A196,'Data Pegawai'!B:P,13,FALSE)</f>
        <v>45870</v>
      </c>
      <c r="F196" s="265">
        <f ca="1">IF(VLOOKUP(A196,'Data Pegawai'!B:P,14,FALSE)=0,EOMONTH(TODAY(),0),VLOOKUP(A196,'Data Pegawai'!B:P,13,FALSE))</f>
        <v>46053</v>
      </c>
      <c r="G196">
        <f t="shared" ref="G196:V211" ca="1" si="38">IF(AND(G$3&gt;=$E196,G$3&lt;=$F196),1,0)</f>
        <v>0</v>
      </c>
      <c r="H196">
        <f t="shared" ca="1" si="38"/>
        <v>0</v>
      </c>
      <c r="I196">
        <f t="shared" ca="1" si="38"/>
        <v>0</v>
      </c>
      <c r="J196">
        <f t="shared" ca="1" si="38"/>
        <v>0</v>
      </c>
      <c r="K196">
        <f t="shared" ca="1" si="38"/>
        <v>0</v>
      </c>
      <c r="L196">
        <f t="shared" ca="1" si="38"/>
        <v>0</v>
      </c>
      <c r="M196">
        <f t="shared" ca="1" si="38"/>
        <v>0</v>
      </c>
      <c r="N196">
        <f t="shared" ca="1" si="38"/>
        <v>1</v>
      </c>
      <c r="O196">
        <f t="shared" ca="1" si="38"/>
        <v>1</v>
      </c>
      <c r="P196">
        <f t="shared" ca="1" si="38"/>
        <v>1</v>
      </c>
      <c r="Q196">
        <f t="shared" ca="1" si="38"/>
        <v>1</v>
      </c>
      <c r="R196">
        <f t="shared" ca="1" si="38"/>
        <v>1</v>
      </c>
      <c r="S196">
        <f t="shared" ca="1" si="38"/>
        <v>0</v>
      </c>
      <c r="T196">
        <f t="shared" ca="1" si="38"/>
        <v>0</v>
      </c>
      <c r="U196">
        <f t="shared" ca="1" si="38"/>
        <v>0</v>
      </c>
      <c r="V196">
        <f t="shared" ca="1" si="38"/>
        <v>0</v>
      </c>
      <c r="W196">
        <f t="shared" ca="1" si="37"/>
        <v>0</v>
      </c>
      <c r="X196">
        <f t="shared" ca="1" si="37"/>
        <v>0</v>
      </c>
      <c r="Y196">
        <f t="shared" ca="1" si="37"/>
        <v>0</v>
      </c>
      <c r="Z196">
        <f t="shared" ca="1" si="37"/>
        <v>1</v>
      </c>
      <c r="AA196">
        <f t="shared" ca="1" si="37"/>
        <v>0</v>
      </c>
    </row>
    <row r="197" spans="1:27" ht="18">
      <c r="F197" s="265"/>
      <c r="G197">
        <f t="shared" si="38"/>
        <v>0</v>
      </c>
      <c r="H197">
        <f t="shared" si="38"/>
        <v>0</v>
      </c>
      <c r="I197">
        <f t="shared" si="38"/>
        <v>0</v>
      </c>
      <c r="J197">
        <f t="shared" si="38"/>
        <v>0</v>
      </c>
      <c r="K197">
        <f t="shared" si="38"/>
        <v>0</v>
      </c>
      <c r="L197">
        <f t="shared" si="38"/>
        <v>0</v>
      </c>
      <c r="M197">
        <f t="shared" si="38"/>
        <v>0</v>
      </c>
      <c r="N197">
        <f t="shared" si="38"/>
        <v>0</v>
      </c>
      <c r="O197">
        <f t="shared" si="38"/>
        <v>0</v>
      </c>
      <c r="P197">
        <f t="shared" si="38"/>
        <v>0</v>
      </c>
      <c r="Q197">
        <f t="shared" si="38"/>
        <v>0</v>
      </c>
      <c r="R197">
        <f t="shared" si="38"/>
        <v>0</v>
      </c>
      <c r="S197">
        <f t="shared" si="38"/>
        <v>0</v>
      </c>
      <c r="T197">
        <f t="shared" si="38"/>
        <v>0</v>
      </c>
      <c r="U197">
        <f t="shared" si="38"/>
        <v>0</v>
      </c>
      <c r="V197">
        <f t="shared" si="38"/>
        <v>0</v>
      </c>
      <c r="W197">
        <f t="shared" si="37"/>
        <v>0</v>
      </c>
      <c r="X197">
        <f t="shared" si="37"/>
        <v>0</v>
      </c>
      <c r="Y197">
        <f t="shared" si="37"/>
        <v>0</v>
      </c>
      <c r="Z197">
        <f t="shared" ca="1" si="37"/>
        <v>0</v>
      </c>
      <c r="AA197">
        <f t="shared" si="37"/>
        <v>0</v>
      </c>
    </row>
    <row r="198" spans="1:27" ht="18">
      <c r="F198" s="265"/>
      <c r="G198">
        <f t="shared" si="38"/>
        <v>0</v>
      </c>
      <c r="H198">
        <f t="shared" si="38"/>
        <v>0</v>
      </c>
      <c r="I198">
        <f t="shared" si="38"/>
        <v>0</v>
      </c>
      <c r="J198">
        <f t="shared" si="38"/>
        <v>0</v>
      </c>
      <c r="K198">
        <f t="shared" si="38"/>
        <v>0</v>
      </c>
      <c r="L198">
        <f t="shared" si="38"/>
        <v>0</v>
      </c>
      <c r="M198">
        <f t="shared" si="38"/>
        <v>0</v>
      </c>
      <c r="N198">
        <f t="shared" si="38"/>
        <v>0</v>
      </c>
      <c r="O198">
        <f t="shared" si="38"/>
        <v>0</v>
      </c>
      <c r="P198">
        <f t="shared" si="38"/>
        <v>0</v>
      </c>
      <c r="Q198">
        <f t="shared" si="38"/>
        <v>0</v>
      </c>
      <c r="R198">
        <f t="shared" si="38"/>
        <v>0</v>
      </c>
      <c r="S198">
        <f t="shared" si="38"/>
        <v>0</v>
      </c>
      <c r="T198">
        <f t="shared" si="38"/>
        <v>0</v>
      </c>
      <c r="U198">
        <f t="shared" si="38"/>
        <v>0</v>
      </c>
      <c r="V198">
        <f t="shared" si="38"/>
        <v>0</v>
      </c>
      <c r="W198">
        <f t="shared" si="37"/>
        <v>0</v>
      </c>
      <c r="X198">
        <f t="shared" si="37"/>
        <v>0</v>
      </c>
      <c r="Y198">
        <f t="shared" si="37"/>
        <v>0</v>
      </c>
      <c r="Z198">
        <f t="shared" ca="1" si="37"/>
        <v>0</v>
      </c>
      <c r="AA198">
        <f t="shared" si="37"/>
        <v>0</v>
      </c>
    </row>
    <row r="199" spans="1:27" ht="18">
      <c r="F199" s="265"/>
      <c r="G199">
        <f t="shared" si="38"/>
        <v>0</v>
      </c>
      <c r="H199">
        <f t="shared" si="38"/>
        <v>0</v>
      </c>
      <c r="I199">
        <f t="shared" si="38"/>
        <v>0</v>
      </c>
      <c r="J199">
        <f t="shared" si="38"/>
        <v>0</v>
      </c>
      <c r="K199">
        <f t="shared" si="38"/>
        <v>0</v>
      </c>
      <c r="L199">
        <f t="shared" si="38"/>
        <v>0</v>
      </c>
      <c r="M199">
        <f t="shared" si="38"/>
        <v>0</v>
      </c>
      <c r="N199">
        <f t="shared" si="38"/>
        <v>0</v>
      </c>
      <c r="O199">
        <f t="shared" si="38"/>
        <v>0</v>
      </c>
      <c r="P199">
        <f t="shared" si="38"/>
        <v>0</v>
      </c>
      <c r="Q199">
        <f t="shared" si="38"/>
        <v>0</v>
      </c>
      <c r="R199">
        <f t="shared" si="38"/>
        <v>0</v>
      </c>
      <c r="S199">
        <f t="shared" si="38"/>
        <v>0</v>
      </c>
      <c r="T199">
        <f t="shared" si="38"/>
        <v>0</v>
      </c>
      <c r="U199">
        <f t="shared" si="38"/>
        <v>0</v>
      </c>
      <c r="V199">
        <f t="shared" si="38"/>
        <v>0</v>
      </c>
      <c r="W199">
        <f t="shared" si="37"/>
        <v>0</v>
      </c>
      <c r="X199">
        <f t="shared" si="37"/>
        <v>0</v>
      </c>
      <c r="Y199">
        <f t="shared" si="37"/>
        <v>0</v>
      </c>
      <c r="Z199">
        <f t="shared" ca="1" si="37"/>
        <v>0</v>
      </c>
      <c r="AA199">
        <f t="shared" si="37"/>
        <v>0</v>
      </c>
    </row>
    <row r="200" spans="1:27" ht="18">
      <c r="F200" s="265"/>
      <c r="G200">
        <f t="shared" si="38"/>
        <v>0</v>
      </c>
      <c r="H200">
        <f t="shared" si="38"/>
        <v>0</v>
      </c>
      <c r="I200">
        <f t="shared" si="38"/>
        <v>0</v>
      </c>
      <c r="J200">
        <f t="shared" si="38"/>
        <v>0</v>
      </c>
      <c r="K200">
        <f t="shared" si="38"/>
        <v>0</v>
      </c>
      <c r="L200">
        <f t="shared" si="38"/>
        <v>0</v>
      </c>
      <c r="M200">
        <f t="shared" si="38"/>
        <v>0</v>
      </c>
      <c r="N200">
        <f t="shared" si="38"/>
        <v>0</v>
      </c>
      <c r="O200">
        <f t="shared" si="38"/>
        <v>0</v>
      </c>
      <c r="P200">
        <f t="shared" si="38"/>
        <v>0</v>
      </c>
      <c r="Q200">
        <f t="shared" si="38"/>
        <v>0</v>
      </c>
      <c r="R200">
        <f t="shared" si="38"/>
        <v>0</v>
      </c>
      <c r="S200">
        <f t="shared" si="38"/>
        <v>0</v>
      </c>
      <c r="T200">
        <f t="shared" si="38"/>
        <v>0</v>
      </c>
      <c r="U200">
        <f t="shared" si="38"/>
        <v>0</v>
      </c>
      <c r="V200">
        <f t="shared" si="38"/>
        <v>0</v>
      </c>
      <c r="W200">
        <f t="shared" si="37"/>
        <v>0</v>
      </c>
      <c r="X200">
        <f t="shared" si="37"/>
        <v>0</v>
      </c>
      <c r="Y200">
        <f t="shared" si="37"/>
        <v>0</v>
      </c>
      <c r="Z200">
        <f t="shared" ca="1" si="37"/>
        <v>0</v>
      </c>
      <c r="AA200">
        <f t="shared" si="37"/>
        <v>0</v>
      </c>
    </row>
    <row r="201" spans="1:27" ht="18">
      <c r="F201" s="265"/>
      <c r="G201">
        <f t="shared" si="38"/>
        <v>0</v>
      </c>
      <c r="H201">
        <f t="shared" si="38"/>
        <v>0</v>
      </c>
      <c r="I201">
        <f t="shared" si="38"/>
        <v>0</v>
      </c>
      <c r="J201">
        <f t="shared" si="38"/>
        <v>0</v>
      </c>
      <c r="K201">
        <f t="shared" si="38"/>
        <v>0</v>
      </c>
      <c r="L201">
        <f t="shared" si="38"/>
        <v>0</v>
      </c>
      <c r="M201">
        <f t="shared" si="38"/>
        <v>0</v>
      </c>
      <c r="N201">
        <f t="shared" si="38"/>
        <v>0</v>
      </c>
      <c r="O201">
        <f t="shared" si="38"/>
        <v>0</v>
      </c>
      <c r="P201">
        <f t="shared" si="38"/>
        <v>0</v>
      </c>
      <c r="Q201">
        <f t="shared" si="38"/>
        <v>0</v>
      </c>
      <c r="R201">
        <f t="shared" si="38"/>
        <v>0</v>
      </c>
      <c r="S201">
        <f t="shared" si="38"/>
        <v>0</v>
      </c>
      <c r="T201">
        <f t="shared" si="38"/>
        <v>0</v>
      </c>
      <c r="U201">
        <f t="shared" si="38"/>
        <v>0</v>
      </c>
      <c r="V201">
        <f t="shared" si="38"/>
        <v>0</v>
      </c>
      <c r="W201">
        <f t="shared" si="37"/>
        <v>0</v>
      </c>
      <c r="X201">
        <f t="shared" si="37"/>
        <v>0</v>
      </c>
      <c r="Y201">
        <f t="shared" si="37"/>
        <v>0</v>
      </c>
      <c r="Z201">
        <f t="shared" ca="1" si="37"/>
        <v>0</v>
      </c>
      <c r="AA201">
        <f t="shared" si="37"/>
        <v>0</v>
      </c>
    </row>
    <row r="202" spans="1:27" ht="18">
      <c r="F202" s="265"/>
      <c r="G202">
        <f t="shared" si="38"/>
        <v>0</v>
      </c>
      <c r="H202">
        <f t="shared" si="38"/>
        <v>0</v>
      </c>
      <c r="I202">
        <f t="shared" si="38"/>
        <v>0</v>
      </c>
      <c r="J202">
        <f t="shared" si="38"/>
        <v>0</v>
      </c>
      <c r="K202">
        <f t="shared" si="38"/>
        <v>0</v>
      </c>
      <c r="L202">
        <f t="shared" si="38"/>
        <v>0</v>
      </c>
      <c r="M202">
        <f t="shared" si="38"/>
        <v>0</v>
      </c>
      <c r="N202">
        <f t="shared" si="38"/>
        <v>0</v>
      </c>
      <c r="O202">
        <f t="shared" si="38"/>
        <v>0</v>
      </c>
      <c r="P202">
        <f t="shared" si="38"/>
        <v>0</v>
      </c>
      <c r="Q202">
        <f t="shared" si="38"/>
        <v>0</v>
      </c>
      <c r="R202">
        <f t="shared" si="38"/>
        <v>0</v>
      </c>
      <c r="S202">
        <f t="shared" si="38"/>
        <v>0</v>
      </c>
      <c r="T202">
        <f t="shared" si="38"/>
        <v>0</v>
      </c>
      <c r="U202">
        <f t="shared" si="38"/>
        <v>0</v>
      </c>
      <c r="V202">
        <f t="shared" si="38"/>
        <v>0</v>
      </c>
      <c r="W202">
        <f t="shared" si="37"/>
        <v>0</v>
      </c>
      <c r="X202">
        <f t="shared" si="37"/>
        <v>0</v>
      </c>
      <c r="Y202">
        <f t="shared" si="37"/>
        <v>0</v>
      </c>
      <c r="Z202">
        <f t="shared" ca="1" si="37"/>
        <v>0</v>
      </c>
      <c r="AA202">
        <f t="shared" si="37"/>
        <v>0</v>
      </c>
    </row>
    <row r="203" spans="1:27" ht="18">
      <c r="F203" s="265"/>
      <c r="G203">
        <f t="shared" si="38"/>
        <v>0</v>
      </c>
      <c r="H203">
        <f t="shared" si="38"/>
        <v>0</v>
      </c>
      <c r="I203">
        <f t="shared" si="38"/>
        <v>0</v>
      </c>
      <c r="J203">
        <f t="shared" si="38"/>
        <v>0</v>
      </c>
      <c r="K203">
        <f t="shared" si="38"/>
        <v>0</v>
      </c>
      <c r="L203">
        <f t="shared" si="38"/>
        <v>0</v>
      </c>
      <c r="M203">
        <f t="shared" si="38"/>
        <v>0</v>
      </c>
      <c r="N203">
        <f t="shared" si="38"/>
        <v>0</v>
      </c>
      <c r="O203">
        <f t="shared" si="38"/>
        <v>0</v>
      </c>
      <c r="P203">
        <f t="shared" si="38"/>
        <v>0</v>
      </c>
      <c r="Q203">
        <f t="shared" si="38"/>
        <v>0</v>
      </c>
      <c r="R203">
        <f t="shared" si="38"/>
        <v>0</v>
      </c>
      <c r="S203">
        <f t="shared" si="38"/>
        <v>0</v>
      </c>
      <c r="T203">
        <f t="shared" si="38"/>
        <v>0</v>
      </c>
      <c r="U203">
        <f t="shared" si="38"/>
        <v>0</v>
      </c>
      <c r="V203">
        <f t="shared" si="38"/>
        <v>0</v>
      </c>
      <c r="W203">
        <f t="shared" si="37"/>
        <v>0</v>
      </c>
      <c r="X203">
        <f t="shared" si="37"/>
        <v>0</v>
      </c>
      <c r="Y203">
        <f t="shared" si="37"/>
        <v>0</v>
      </c>
      <c r="Z203">
        <f t="shared" ca="1" si="37"/>
        <v>0</v>
      </c>
      <c r="AA203">
        <f t="shared" si="37"/>
        <v>0</v>
      </c>
    </row>
    <row r="204" spans="1:27" ht="18">
      <c r="F204" s="265"/>
      <c r="G204">
        <f t="shared" si="38"/>
        <v>0</v>
      </c>
      <c r="H204">
        <f t="shared" si="38"/>
        <v>0</v>
      </c>
      <c r="I204">
        <f t="shared" si="38"/>
        <v>0</v>
      </c>
      <c r="J204">
        <f t="shared" si="38"/>
        <v>0</v>
      </c>
      <c r="K204">
        <f t="shared" si="38"/>
        <v>0</v>
      </c>
      <c r="L204">
        <f t="shared" si="38"/>
        <v>0</v>
      </c>
      <c r="M204">
        <f t="shared" si="38"/>
        <v>0</v>
      </c>
      <c r="N204">
        <f t="shared" si="38"/>
        <v>0</v>
      </c>
      <c r="O204">
        <f t="shared" si="38"/>
        <v>0</v>
      </c>
      <c r="P204">
        <f t="shared" si="38"/>
        <v>0</v>
      </c>
      <c r="Q204">
        <f t="shared" si="38"/>
        <v>0</v>
      </c>
      <c r="R204">
        <f t="shared" si="38"/>
        <v>0</v>
      </c>
      <c r="S204">
        <f t="shared" si="38"/>
        <v>0</v>
      </c>
      <c r="T204">
        <f t="shared" si="38"/>
        <v>0</v>
      </c>
      <c r="U204">
        <f t="shared" si="38"/>
        <v>0</v>
      </c>
      <c r="V204">
        <f t="shared" si="38"/>
        <v>0</v>
      </c>
      <c r="W204">
        <f t="shared" si="37"/>
        <v>0</v>
      </c>
      <c r="X204">
        <f t="shared" si="37"/>
        <v>0</v>
      </c>
      <c r="Y204">
        <f t="shared" si="37"/>
        <v>0</v>
      </c>
      <c r="Z204">
        <f t="shared" ca="1" si="37"/>
        <v>0</v>
      </c>
      <c r="AA204">
        <f t="shared" si="37"/>
        <v>0</v>
      </c>
    </row>
    <row r="205" spans="1:27" ht="18">
      <c r="F205" s="265"/>
      <c r="G205">
        <f t="shared" si="38"/>
        <v>0</v>
      </c>
      <c r="H205">
        <f t="shared" si="38"/>
        <v>0</v>
      </c>
      <c r="I205">
        <f t="shared" si="38"/>
        <v>0</v>
      </c>
      <c r="J205">
        <f t="shared" si="38"/>
        <v>0</v>
      </c>
      <c r="K205">
        <f t="shared" si="38"/>
        <v>0</v>
      </c>
      <c r="L205">
        <f t="shared" si="38"/>
        <v>0</v>
      </c>
      <c r="M205">
        <f t="shared" si="38"/>
        <v>0</v>
      </c>
      <c r="N205">
        <f t="shared" si="38"/>
        <v>0</v>
      </c>
      <c r="O205">
        <f t="shared" si="38"/>
        <v>0</v>
      </c>
      <c r="P205">
        <f t="shared" si="38"/>
        <v>0</v>
      </c>
      <c r="Q205">
        <f t="shared" si="38"/>
        <v>0</v>
      </c>
      <c r="R205">
        <f t="shared" si="38"/>
        <v>0</v>
      </c>
      <c r="S205">
        <f t="shared" si="38"/>
        <v>0</v>
      </c>
      <c r="T205">
        <f t="shared" si="38"/>
        <v>0</v>
      </c>
      <c r="U205">
        <f t="shared" si="38"/>
        <v>0</v>
      </c>
      <c r="V205">
        <f t="shared" si="38"/>
        <v>0</v>
      </c>
      <c r="W205">
        <f t="shared" si="37"/>
        <v>0</v>
      </c>
      <c r="X205">
        <f t="shared" si="37"/>
        <v>0</v>
      </c>
      <c r="Y205">
        <f t="shared" si="37"/>
        <v>0</v>
      </c>
      <c r="Z205">
        <f t="shared" ca="1" si="37"/>
        <v>0</v>
      </c>
      <c r="AA205">
        <f t="shared" si="37"/>
        <v>0</v>
      </c>
    </row>
    <row r="206" spans="1:27" ht="18">
      <c r="F206" s="265"/>
      <c r="G206">
        <f t="shared" si="38"/>
        <v>0</v>
      </c>
      <c r="H206">
        <f t="shared" si="38"/>
        <v>0</v>
      </c>
      <c r="I206">
        <f t="shared" si="38"/>
        <v>0</v>
      </c>
      <c r="J206">
        <f t="shared" si="38"/>
        <v>0</v>
      </c>
      <c r="K206">
        <f t="shared" si="38"/>
        <v>0</v>
      </c>
      <c r="L206">
        <f t="shared" si="38"/>
        <v>0</v>
      </c>
      <c r="M206">
        <f t="shared" si="38"/>
        <v>0</v>
      </c>
      <c r="N206">
        <f t="shared" si="38"/>
        <v>0</v>
      </c>
      <c r="O206">
        <f t="shared" si="38"/>
        <v>0</v>
      </c>
      <c r="P206">
        <f t="shared" si="38"/>
        <v>0</v>
      </c>
      <c r="Q206">
        <f t="shared" si="38"/>
        <v>0</v>
      </c>
      <c r="R206">
        <f t="shared" si="38"/>
        <v>0</v>
      </c>
      <c r="S206">
        <f t="shared" si="38"/>
        <v>0</v>
      </c>
      <c r="T206">
        <f t="shared" si="38"/>
        <v>0</v>
      </c>
      <c r="U206">
        <f t="shared" si="38"/>
        <v>0</v>
      </c>
      <c r="V206">
        <f t="shared" si="38"/>
        <v>0</v>
      </c>
      <c r="W206">
        <f t="shared" si="37"/>
        <v>0</v>
      </c>
      <c r="X206">
        <f t="shared" si="37"/>
        <v>0</v>
      </c>
      <c r="Y206">
        <f t="shared" si="37"/>
        <v>0</v>
      </c>
      <c r="Z206">
        <f t="shared" ca="1" si="37"/>
        <v>0</v>
      </c>
      <c r="AA206">
        <f t="shared" si="37"/>
        <v>0</v>
      </c>
    </row>
    <row r="207" spans="1:27" ht="18">
      <c r="F207" s="265"/>
      <c r="G207">
        <f t="shared" si="38"/>
        <v>0</v>
      </c>
      <c r="H207">
        <f t="shared" si="38"/>
        <v>0</v>
      </c>
      <c r="I207">
        <f t="shared" si="38"/>
        <v>0</v>
      </c>
      <c r="J207">
        <f t="shared" si="38"/>
        <v>0</v>
      </c>
      <c r="K207">
        <f t="shared" si="38"/>
        <v>0</v>
      </c>
      <c r="L207">
        <f t="shared" si="38"/>
        <v>0</v>
      </c>
      <c r="M207">
        <f t="shared" si="38"/>
        <v>0</v>
      </c>
      <c r="N207">
        <f t="shared" si="38"/>
        <v>0</v>
      </c>
      <c r="O207">
        <f t="shared" si="38"/>
        <v>0</v>
      </c>
      <c r="P207">
        <f t="shared" si="38"/>
        <v>0</v>
      </c>
      <c r="Q207">
        <f t="shared" si="38"/>
        <v>0</v>
      </c>
      <c r="R207">
        <f t="shared" si="38"/>
        <v>0</v>
      </c>
      <c r="S207">
        <f t="shared" si="38"/>
        <v>0</v>
      </c>
      <c r="T207">
        <f t="shared" si="38"/>
        <v>0</v>
      </c>
      <c r="U207">
        <f t="shared" si="38"/>
        <v>0</v>
      </c>
      <c r="V207">
        <f t="shared" si="38"/>
        <v>0</v>
      </c>
      <c r="W207">
        <f t="shared" si="37"/>
        <v>0</v>
      </c>
      <c r="X207">
        <f t="shared" si="37"/>
        <v>0</v>
      </c>
      <c r="Y207">
        <f t="shared" si="37"/>
        <v>0</v>
      </c>
      <c r="Z207">
        <f t="shared" ca="1" si="37"/>
        <v>0</v>
      </c>
      <c r="AA207">
        <f t="shared" si="37"/>
        <v>0</v>
      </c>
    </row>
    <row r="208" spans="1:27" ht="18">
      <c r="F208" s="265"/>
      <c r="G208">
        <f t="shared" si="38"/>
        <v>0</v>
      </c>
      <c r="H208">
        <f t="shared" si="38"/>
        <v>0</v>
      </c>
      <c r="I208">
        <f t="shared" si="38"/>
        <v>0</v>
      </c>
      <c r="J208">
        <f t="shared" si="38"/>
        <v>0</v>
      </c>
      <c r="K208">
        <f t="shared" si="38"/>
        <v>0</v>
      </c>
      <c r="L208">
        <f t="shared" si="38"/>
        <v>0</v>
      </c>
      <c r="M208">
        <f t="shared" si="38"/>
        <v>0</v>
      </c>
      <c r="N208">
        <f t="shared" si="38"/>
        <v>0</v>
      </c>
      <c r="O208">
        <f t="shared" si="38"/>
        <v>0</v>
      </c>
      <c r="P208">
        <f t="shared" si="38"/>
        <v>0</v>
      </c>
      <c r="Q208">
        <f t="shared" si="38"/>
        <v>0</v>
      </c>
      <c r="R208">
        <f t="shared" si="38"/>
        <v>0</v>
      </c>
      <c r="S208">
        <f t="shared" si="38"/>
        <v>0</v>
      </c>
      <c r="T208">
        <f t="shared" si="38"/>
        <v>0</v>
      </c>
      <c r="U208">
        <f t="shared" si="38"/>
        <v>0</v>
      </c>
      <c r="V208">
        <f t="shared" si="38"/>
        <v>0</v>
      </c>
      <c r="W208">
        <f t="shared" si="37"/>
        <v>0</v>
      </c>
      <c r="X208">
        <f t="shared" si="37"/>
        <v>0</v>
      </c>
      <c r="Y208">
        <f t="shared" si="37"/>
        <v>0</v>
      </c>
      <c r="Z208">
        <f t="shared" ca="1" si="37"/>
        <v>0</v>
      </c>
      <c r="AA208">
        <f t="shared" si="37"/>
        <v>0</v>
      </c>
    </row>
    <row r="209" spans="6:27" ht="18">
      <c r="F209" s="265"/>
      <c r="G209">
        <f t="shared" si="38"/>
        <v>0</v>
      </c>
      <c r="H209">
        <f t="shared" si="38"/>
        <v>0</v>
      </c>
      <c r="I209">
        <f t="shared" si="38"/>
        <v>0</v>
      </c>
      <c r="J209">
        <f t="shared" si="38"/>
        <v>0</v>
      </c>
      <c r="K209">
        <f t="shared" si="38"/>
        <v>0</v>
      </c>
      <c r="L209">
        <f t="shared" si="38"/>
        <v>0</v>
      </c>
      <c r="M209">
        <f t="shared" si="38"/>
        <v>0</v>
      </c>
      <c r="N209">
        <f t="shared" si="38"/>
        <v>0</v>
      </c>
      <c r="O209">
        <f t="shared" si="38"/>
        <v>0</v>
      </c>
      <c r="P209">
        <f t="shared" si="38"/>
        <v>0</v>
      </c>
      <c r="Q209">
        <f t="shared" si="38"/>
        <v>0</v>
      </c>
      <c r="R209">
        <f t="shared" si="38"/>
        <v>0</v>
      </c>
      <c r="S209">
        <f t="shared" si="38"/>
        <v>0</v>
      </c>
      <c r="T209">
        <f t="shared" si="38"/>
        <v>0</v>
      </c>
      <c r="U209">
        <f t="shared" si="38"/>
        <v>0</v>
      </c>
      <c r="V209">
        <f t="shared" si="38"/>
        <v>0</v>
      </c>
      <c r="W209">
        <f t="shared" si="37"/>
        <v>0</v>
      </c>
      <c r="X209">
        <f t="shared" si="37"/>
        <v>0</v>
      </c>
      <c r="Y209">
        <f t="shared" si="37"/>
        <v>0</v>
      </c>
      <c r="Z209">
        <f t="shared" ca="1" si="37"/>
        <v>0</v>
      </c>
      <c r="AA209">
        <f t="shared" si="37"/>
        <v>0</v>
      </c>
    </row>
    <row r="210" spans="6:27" ht="18">
      <c r="F210" s="265"/>
      <c r="G210">
        <f t="shared" si="38"/>
        <v>0</v>
      </c>
      <c r="H210">
        <f t="shared" si="38"/>
        <v>0</v>
      </c>
      <c r="I210">
        <f t="shared" si="38"/>
        <v>0</v>
      </c>
      <c r="J210">
        <f t="shared" si="38"/>
        <v>0</v>
      </c>
      <c r="K210">
        <f t="shared" si="38"/>
        <v>0</v>
      </c>
      <c r="L210">
        <f t="shared" si="38"/>
        <v>0</v>
      </c>
      <c r="M210">
        <f t="shared" si="38"/>
        <v>0</v>
      </c>
      <c r="N210">
        <f t="shared" si="38"/>
        <v>0</v>
      </c>
      <c r="O210">
        <f t="shared" si="38"/>
        <v>0</v>
      </c>
      <c r="P210">
        <f t="shared" si="38"/>
        <v>0</v>
      </c>
      <c r="Q210">
        <f t="shared" si="38"/>
        <v>0</v>
      </c>
      <c r="R210">
        <f t="shared" si="38"/>
        <v>0</v>
      </c>
      <c r="S210">
        <f t="shared" si="38"/>
        <v>0</v>
      </c>
      <c r="T210">
        <f t="shared" si="38"/>
        <v>0</v>
      </c>
      <c r="U210">
        <f t="shared" si="38"/>
        <v>0</v>
      </c>
      <c r="V210">
        <f t="shared" si="38"/>
        <v>0</v>
      </c>
      <c r="W210">
        <f t="shared" si="37"/>
        <v>0</v>
      </c>
      <c r="X210">
        <f t="shared" si="37"/>
        <v>0</v>
      </c>
      <c r="Y210">
        <f t="shared" si="37"/>
        <v>0</v>
      </c>
      <c r="Z210">
        <f t="shared" ca="1" si="37"/>
        <v>0</v>
      </c>
      <c r="AA210">
        <f t="shared" si="37"/>
        <v>0</v>
      </c>
    </row>
    <row r="211" spans="6:27" ht="18">
      <c r="F211" s="265"/>
      <c r="G211">
        <f t="shared" si="38"/>
        <v>0</v>
      </c>
      <c r="H211">
        <f t="shared" si="38"/>
        <v>0</v>
      </c>
      <c r="I211">
        <f t="shared" si="38"/>
        <v>0</v>
      </c>
      <c r="J211">
        <f t="shared" si="38"/>
        <v>0</v>
      </c>
      <c r="K211">
        <f t="shared" si="38"/>
        <v>0</v>
      </c>
      <c r="L211">
        <f t="shared" si="38"/>
        <v>0</v>
      </c>
      <c r="M211">
        <f t="shared" si="38"/>
        <v>0</v>
      </c>
      <c r="N211">
        <f t="shared" si="38"/>
        <v>0</v>
      </c>
      <c r="O211">
        <f t="shared" si="38"/>
        <v>0</v>
      </c>
      <c r="P211">
        <f t="shared" si="38"/>
        <v>0</v>
      </c>
      <c r="Q211">
        <f t="shared" si="38"/>
        <v>0</v>
      </c>
      <c r="R211">
        <f t="shared" si="38"/>
        <v>0</v>
      </c>
      <c r="S211">
        <f t="shared" si="38"/>
        <v>0</v>
      </c>
      <c r="T211">
        <f t="shared" si="38"/>
        <v>0</v>
      </c>
      <c r="U211">
        <f t="shared" si="38"/>
        <v>0</v>
      </c>
      <c r="V211">
        <f t="shared" ref="H211:V217" si="39">IF(AND(V$3&gt;=$E211,V$3&lt;=$F211),1,0)</f>
        <v>0</v>
      </c>
      <c r="W211">
        <f t="shared" si="37"/>
        <v>0</v>
      </c>
      <c r="X211">
        <f t="shared" si="37"/>
        <v>0</v>
      </c>
      <c r="Y211">
        <f t="shared" si="37"/>
        <v>0</v>
      </c>
      <c r="Z211">
        <f t="shared" ca="1" si="37"/>
        <v>0</v>
      </c>
      <c r="AA211">
        <f t="shared" si="37"/>
        <v>0</v>
      </c>
    </row>
    <row r="212" spans="6:27" ht="18">
      <c r="F212" s="265"/>
      <c r="G212">
        <f t="shared" ref="G212:G217" si="40">IF(AND(G$3&gt;=$E212,G$3&lt;=$F212),1,0)</f>
        <v>0</v>
      </c>
      <c r="H212">
        <f t="shared" si="39"/>
        <v>0</v>
      </c>
      <c r="I212">
        <f t="shared" si="39"/>
        <v>0</v>
      </c>
      <c r="J212">
        <f t="shared" si="39"/>
        <v>0</v>
      </c>
      <c r="K212">
        <f t="shared" si="39"/>
        <v>0</v>
      </c>
      <c r="L212">
        <f t="shared" si="39"/>
        <v>0</v>
      </c>
      <c r="M212">
        <f t="shared" si="39"/>
        <v>0</v>
      </c>
      <c r="N212">
        <f t="shared" si="39"/>
        <v>0</v>
      </c>
      <c r="O212">
        <f t="shared" si="39"/>
        <v>0</v>
      </c>
      <c r="P212">
        <f t="shared" si="39"/>
        <v>0</v>
      </c>
      <c r="Q212">
        <f t="shared" si="39"/>
        <v>0</v>
      </c>
      <c r="R212">
        <f t="shared" si="39"/>
        <v>0</v>
      </c>
      <c r="S212">
        <f t="shared" si="39"/>
        <v>0</v>
      </c>
      <c r="T212">
        <f t="shared" si="39"/>
        <v>0</v>
      </c>
      <c r="U212">
        <f t="shared" si="39"/>
        <v>0</v>
      </c>
      <c r="V212">
        <f t="shared" si="39"/>
        <v>0</v>
      </c>
      <c r="W212">
        <f t="shared" si="37"/>
        <v>0</v>
      </c>
      <c r="X212">
        <f t="shared" si="37"/>
        <v>0</v>
      </c>
      <c r="Y212">
        <f t="shared" si="37"/>
        <v>0</v>
      </c>
      <c r="Z212">
        <f t="shared" ca="1" si="37"/>
        <v>0</v>
      </c>
      <c r="AA212">
        <f t="shared" si="37"/>
        <v>0</v>
      </c>
    </row>
    <row r="213" spans="6:27" ht="18">
      <c r="F213" s="265"/>
      <c r="G213">
        <f t="shared" si="40"/>
        <v>0</v>
      </c>
      <c r="H213">
        <f t="shared" si="39"/>
        <v>0</v>
      </c>
      <c r="I213">
        <f t="shared" si="39"/>
        <v>0</v>
      </c>
      <c r="J213">
        <f t="shared" si="39"/>
        <v>0</v>
      </c>
      <c r="K213">
        <f t="shared" si="39"/>
        <v>0</v>
      </c>
      <c r="L213">
        <f t="shared" si="39"/>
        <v>0</v>
      </c>
      <c r="M213">
        <f t="shared" si="39"/>
        <v>0</v>
      </c>
      <c r="N213">
        <f t="shared" si="39"/>
        <v>0</v>
      </c>
      <c r="O213">
        <f t="shared" si="39"/>
        <v>0</v>
      </c>
      <c r="P213">
        <f t="shared" si="39"/>
        <v>0</v>
      </c>
      <c r="Q213">
        <f t="shared" si="39"/>
        <v>0</v>
      </c>
      <c r="R213">
        <f t="shared" si="39"/>
        <v>0</v>
      </c>
      <c r="S213">
        <f t="shared" si="39"/>
        <v>0</v>
      </c>
      <c r="T213">
        <f t="shared" si="39"/>
        <v>0</v>
      </c>
      <c r="U213">
        <f t="shared" si="39"/>
        <v>0</v>
      </c>
      <c r="V213">
        <f t="shared" si="39"/>
        <v>0</v>
      </c>
      <c r="W213">
        <f t="shared" si="37"/>
        <v>0</v>
      </c>
      <c r="X213">
        <f t="shared" si="37"/>
        <v>0</v>
      </c>
      <c r="Y213">
        <f t="shared" si="37"/>
        <v>0</v>
      </c>
      <c r="Z213">
        <f t="shared" ca="1" si="37"/>
        <v>0</v>
      </c>
      <c r="AA213">
        <f t="shared" si="37"/>
        <v>0</v>
      </c>
    </row>
    <row r="214" spans="6:27" ht="18">
      <c r="F214" s="265"/>
      <c r="G214">
        <f t="shared" si="40"/>
        <v>0</v>
      </c>
      <c r="H214">
        <f t="shared" si="39"/>
        <v>0</v>
      </c>
      <c r="I214">
        <f t="shared" si="39"/>
        <v>0</v>
      </c>
      <c r="J214">
        <f t="shared" si="39"/>
        <v>0</v>
      </c>
      <c r="K214">
        <f t="shared" si="39"/>
        <v>0</v>
      </c>
      <c r="L214">
        <f t="shared" si="39"/>
        <v>0</v>
      </c>
      <c r="M214">
        <f t="shared" si="39"/>
        <v>0</v>
      </c>
      <c r="N214">
        <f t="shared" si="39"/>
        <v>0</v>
      </c>
      <c r="O214">
        <f t="shared" si="39"/>
        <v>0</v>
      </c>
      <c r="P214">
        <f t="shared" si="39"/>
        <v>0</v>
      </c>
      <c r="Q214">
        <f t="shared" si="39"/>
        <v>0</v>
      </c>
      <c r="R214">
        <f t="shared" si="39"/>
        <v>0</v>
      </c>
      <c r="S214">
        <f t="shared" si="39"/>
        <v>0</v>
      </c>
      <c r="T214">
        <f t="shared" si="39"/>
        <v>0</v>
      </c>
      <c r="U214">
        <f t="shared" si="39"/>
        <v>0</v>
      </c>
      <c r="V214">
        <f t="shared" si="39"/>
        <v>0</v>
      </c>
      <c r="W214">
        <f t="shared" si="37"/>
        <v>0</v>
      </c>
      <c r="X214">
        <f t="shared" si="37"/>
        <v>0</v>
      </c>
      <c r="Y214">
        <f t="shared" si="37"/>
        <v>0</v>
      </c>
      <c r="Z214">
        <f t="shared" ca="1" si="37"/>
        <v>0</v>
      </c>
      <c r="AA214">
        <f t="shared" si="37"/>
        <v>0</v>
      </c>
    </row>
    <row r="215" spans="6:27" ht="18">
      <c r="F215" s="265"/>
      <c r="G215">
        <f t="shared" si="40"/>
        <v>0</v>
      </c>
      <c r="H215">
        <f t="shared" si="39"/>
        <v>0</v>
      </c>
      <c r="I215">
        <f t="shared" si="39"/>
        <v>0</v>
      </c>
      <c r="J215">
        <f t="shared" si="39"/>
        <v>0</v>
      </c>
      <c r="K215">
        <f t="shared" si="39"/>
        <v>0</v>
      </c>
      <c r="L215">
        <f t="shared" si="39"/>
        <v>0</v>
      </c>
      <c r="M215">
        <f t="shared" si="39"/>
        <v>0</v>
      </c>
      <c r="N215">
        <f t="shared" si="39"/>
        <v>0</v>
      </c>
      <c r="O215">
        <f t="shared" si="39"/>
        <v>0</v>
      </c>
      <c r="P215">
        <f t="shared" si="39"/>
        <v>0</v>
      </c>
      <c r="Q215">
        <f t="shared" si="39"/>
        <v>0</v>
      </c>
      <c r="R215">
        <f t="shared" si="39"/>
        <v>0</v>
      </c>
      <c r="S215">
        <f t="shared" si="39"/>
        <v>0</v>
      </c>
      <c r="T215">
        <f t="shared" si="39"/>
        <v>0</v>
      </c>
      <c r="U215">
        <f t="shared" si="39"/>
        <v>0</v>
      </c>
      <c r="V215">
        <f t="shared" si="39"/>
        <v>0</v>
      </c>
      <c r="W215">
        <f t="shared" si="37"/>
        <v>0</v>
      </c>
      <c r="X215">
        <f t="shared" si="37"/>
        <v>0</v>
      </c>
      <c r="Y215">
        <f t="shared" si="37"/>
        <v>0</v>
      </c>
      <c r="Z215">
        <f t="shared" ca="1" si="37"/>
        <v>0</v>
      </c>
      <c r="AA215">
        <f t="shared" si="37"/>
        <v>0</v>
      </c>
    </row>
    <row r="216" spans="6:27" ht="18">
      <c r="F216" s="265"/>
      <c r="G216">
        <f t="shared" si="40"/>
        <v>0</v>
      </c>
      <c r="H216">
        <f t="shared" si="39"/>
        <v>0</v>
      </c>
      <c r="I216">
        <f t="shared" si="39"/>
        <v>0</v>
      </c>
      <c r="J216">
        <f t="shared" si="39"/>
        <v>0</v>
      </c>
      <c r="K216">
        <f t="shared" si="39"/>
        <v>0</v>
      </c>
      <c r="L216">
        <f t="shared" si="39"/>
        <v>0</v>
      </c>
      <c r="M216">
        <f t="shared" si="39"/>
        <v>0</v>
      </c>
      <c r="N216">
        <f t="shared" si="39"/>
        <v>0</v>
      </c>
      <c r="O216">
        <f t="shared" si="39"/>
        <v>0</v>
      </c>
      <c r="P216">
        <f t="shared" si="39"/>
        <v>0</v>
      </c>
      <c r="Q216">
        <f t="shared" si="39"/>
        <v>0</v>
      </c>
      <c r="R216">
        <f t="shared" si="39"/>
        <v>0</v>
      </c>
      <c r="S216">
        <f t="shared" si="39"/>
        <v>0</v>
      </c>
      <c r="T216">
        <f t="shared" si="39"/>
        <v>0</v>
      </c>
      <c r="U216">
        <f t="shared" si="39"/>
        <v>0</v>
      </c>
      <c r="V216">
        <f t="shared" si="39"/>
        <v>0</v>
      </c>
      <c r="W216">
        <f t="shared" si="37"/>
        <v>0</v>
      </c>
      <c r="X216">
        <f t="shared" si="37"/>
        <v>0</v>
      </c>
      <c r="Y216">
        <f t="shared" si="37"/>
        <v>0</v>
      </c>
      <c r="Z216">
        <f t="shared" ca="1" si="37"/>
        <v>0</v>
      </c>
      <c r="AA216">
        <f t="shared" si="37"/>
        <v>0</v>
      </c>
    </row>
    <row r="217" spans="6:27" ht="18">
      <c r="F217" s="265"/>
      <c r="G217">
        <f t="shared" si="40"/>
        <v>0</v>
      </c>
      <c r="H217">
        <f t="shared" si="39"/>
        <v>0</v>
      </c>
      <c r="I217">
        <f t="shared" si="39"/>
        <v>0</v>
      </c>
      <c r="J217">
        <f t="shared" si="39"/>
        <v>0</v>
      </c>
      <c r="K217">
        <f t="shared" si="39"/>
        <v>0</v>
      </c>
      <c r="L217">
        <f t="shared" si="39"/>
        <v>0</v>
      </c>
      <c r="M217">
        <f t="shared" si="39"/>
        <v>0</v>
      </c>
      <c r="N217">
        <f t="shared" si="39"/>
        <v>0</v>
      </c>
      <c r="O217">
        <f t="shared" si="39"/>
        <v>0</v>
      </c>
      <c r="P217">
        <f t="shared" si="39"/>
        <v>0</v>
      </c>
      <c r="Q217">
        <f t="shared" si="39"/>
        <v>0</v>
      </c>
      <c r="R217">
        <f t="shared" si="39"/>
        <v>0</v>
      </c>
      <c r="S217">
        <f t="shared" si="39"/>
        <v>0</v>
      </c>
      <c r="T217">
        <f t="shared" si="39"/>
        <v>0</v>
      </c>
      <c r="U217">
        <f t="shared" si="39"/>
        <v>0</v>
      </c>
      <c r="V217">
        <f t="shared" si="39"/>
        <v>0</v>
      </c>
      <c r="W217">
        <f t="shared" si="37"/>
        <v>0</v>
      </c>
      <c r="X217">
        <f t="shared" si="37"/>
        <v>0</v>
      </c>
      <c r="Y217">
        <f t="shared" si="37"/>
        <v>0</v>
      </c>
      <c r="Z217">
        <f t="shared" ca="1" si="37"/>
        <v>0</v>
      </c>
      <c r="AA217">
        <f t="shared" si="37"/>
        <v>0</v>
      </c>
    </row>
    <row r="218" spans="6:27" ht="18">
      <c r="F218" s="265"/>
    </row>
    <row r="219" spans="6:27" ht="18">
      <c r="F219" s="265"/>
    </row>
    <row r="220" spans="6:27" ht="18">
      <c r="F220" s="265"/>
    </row>
    <row r="221" spans="6:27" ht="18">
      <c r="F221" s="265"/>
    </row>
    <row r="222" spans="6:27" ht="18">
      <c r="F222" s="265"/>
    </row>
    <row r="223" spans="6:27" ht="18">
      <c r="F223" s="265"/>
    </row>
    <row r="224" spans="6:27" ht="18">
      <c r="F224" s="265"/>
    </row>
    <row r="225" spans="6:6" ht="18">
      <c r="F225" s="265"/>
    </row>
    <row r="226" spans="6:6" ht="18">
      <c r="F226" s="265"/>
    </row>
    <row r="227" spans="6:6" ht="18">
      <c r="F227" s="265"/>
    </row>
    <row r="228" spans="6:6" ht="18">
      <c r="F228" s="265"/>
    </row>
    <row r="229" spans="6:6" ht="18">
      <c r="F229" s="265"/>
    </row>
    <row r="230" spans="6:6" ht="18">
      <c r="F230" s="265"/>
    </row>
    <row r="231" spans="6:6" ht="18">
      <c r="F231" s="265"/>
    </row>
    <row r="232" spans="6:6" ht="18">
      <c r="F232" s="265"/>
    </row>
    <row r="233" spans="6:6" ht="18">
      <c r="F233" s="265"/>
    </row>
    <row r="234" spans="6:6" ht="18">
      <c r="F234" s="265"/>
    </row>
    <row r="235" spans="6:6" ht="18">
      <c r="F235" s="265"/>
    </row>
    <row r="236" spans="6:6" ht="18">
      <c r="F236" s="265"/>
    </row>
    <row r="237" spans="6:6" ht="18">
      <c r="F237" s="265"/>
    </row>
    <row r="238" spans="6:6" ht="18">
      <c r="F238" s="265"/>
    </row>
    <row r="239" spans="6:6" ht="18">
      <c r="F239" s="265"/>
    </row>
    <row r="240" spans="6:6" ht="18">
      <c r="F240" s="265"/>
    </row>
    <row r="241" spans="6:6" ht="18">
      <c r="F241" s="265"/>
    </row>
    <row r="242" spans="6:6" ht="18">
      <c r="F242" s="265"/>
    </row>
    <row r="243" spans="6:6" ht="18">
      <c r="F243" s="265"/>
    </row>
    <row r="244" spans="6:6" ht="18">
      <c r="F244" s="265"/>
    </row>
    <row r="245" spans="6:6" ht="18">
      <c r="F245" s="265"/>
    </row>
    <row r="246" spans="6:6" ht="18">
      <c r="F246" s="265"/>
    </row>
    <row r="247" spans="6:6" ht="18">
      <c r="F247" s="265"/>
    </row>
    <row r="248" spans="6:6" ht="18">
      <c r="F248" s="265"/>
    </row>
    <row r="249" spans="6:6" ht="18">
      <c r="F249" s="265"/>
    </row>
    <row r="250" spans="6:6" ht="18">
      <c r="F250" s="265"/>
    </row>
    <row r="251" spans="6:6" ht="18">
      <c r="F251" s="265"/>
    </row>
    <row r="252" spans="6:6" ht="18">
      <c r="F252" s="265"/>
    </row>
    <row r="253" spans="6:6" ht="18">
      <c r="F253" s="265"/>
    </row>
    <row r="254" spans="6:6" ht="18">
      <c r="F254" s="265"/>
    </row>
    <row r="255" spans="6:6" ht="18">
      <c r="F255" s="265"/>
    </row>
    <row r="256" spans="6:6" ht="18">
      <c r="F256" s="265"/>
    </row>
    <row r="257" spans="6:6" ht="18">
      <c r="F257" s="265"/>
    </row>
    <row r="258" spans="6:6" ht="18">
      <c r="F258" s="265"/>
    </row>
    <row r="259" spans="6:6" ht="18">
      <c r="F259" s="265"/>
    </row>
    <row r="260" spans="6:6" ht="18">
      <c r="F260" s="265"/>
    </row>
    <row r="261" spans="6:6" ht="18">
      <c r="F261" s="265"/>
    </row>
    <row r="262" spans="6:6" ht="18">
      <c r="F262" s="265"/>
    </row>
    <row r="263" spans="6:6" ht="18">
      <c r="F263" s="265"/>
    </row>
    <row r="264" spans="6:6" ht="18">
      <c r="F264" s="265"/>
    </row>
    <row r="265" spans="6:6" ht="18">
      <c r="F265" s="265"/>
    </row>
    <row r="266" spans="6:6" ht="18">
      <c r="F266" s="265"/>
    </row>
    <row r="267" spans="6:6" ht="18">
      <c r="F267" s="265"/>
    </row>
    <row r="268" spans="6:6" ht="18">
      <c r="F268" s="265"/>
    </row>
    <row r="269" spans="6:6" ht="18">
      <c r="F269" s="265"/>
    </row>
    <row r="270" spans="6:6" ht="18">
      <c r="F270" s="265"/>
    </row>
    <row r="271" spans="6:6" ht="18">
      <c r="F271" s="265"/>
    </row>
    <row r="272" spans="6:6" ht="18">
      <c r="F272" s="265"/>
    </row>
    <row r="273" spans="6:6" ht="18">
      <c r="F273" s="265"/>
    </row>
    <row r="274" spans="6:6" ht="18">
      <c r="F274" s="265"/>
    </row>
    <row r="275" spans="6:6" ht="18">
      <c r="F275" s="265"/>
    </row>
    <row r="276" spans="6:6" ht="18">
      <c r="F276" s="265"/>
    </row>
    <row r="277" spans="6:6" ht="18">
      <c r="F277" s="265"/>
    </row>
    <row r="278" spans="6:6" ht="18">
      <c r="F278" s="265"/>
    </row>
    <row r="279" spans="6:6" ht="18">
      <c r="F279" s="265"/>
    </row>
    <row r="280" spans="6:6" ht="18">
      <c r="F280" s="265"/>
    </row>
    <row r="281" spans="6:6" ht="18">
      <c r="F281" s="265"/>
    </row>
    <row r="282" spans="6:6" ht="18">
      <c r="F282" s="265"/>
    </row>
    <row r="283" spans="6:6" ht="18">
      <c r="F283" s="265"/>
    </row>
    <row r="284" spans="6:6" ht="18">
      <c r="F284" s="265"/>
    </row>
    <row r="285" spans="6:6" ht="18">
      <c r="F285" s="265"/>
    </row>
    <row r="286" spans="6:6" ht="18">
      <c r="F286" s="265"/>
    </row>
    <row r="287" spans="6:6" ht="18">
      <c r="F287" s="265"/>
    </row>
    <row r="288" spans="6:6" ht="18">
      <c r="F288" s="265"/>
    </row>
    <row r="289" spans="6:6" ht="18">
      <c r="F289" s="265"/>
    </row>
    <row r="290" spans="6:6" ht="18">
      <c r="F290" s="265"/>
    </row>
    <row r="291" spans="6:6" ht="18">
      <c r="F291" s="265"/>
    </row>
    <row r="292" spans="6:6" ht="18">
      <c r="F292" s="265"/>
    </row>
    <row r="293" spans="6:6" ht="18">
      <c r="F293" s="265"/>
    </row>
    <row r="294" spans="6:6" ht="18">
      <c r="F294" s="265"/>
    </row>
    <row r="295" spans="6:6" ht="18">
      <c r="F295" s="265"/>
    </row>
    <row r="296" spans="6:6" ht="18">
      <c r="F296" s="265"/>
    </row>
    <row r="297" spans="6:6" ht="18">
      <c r="F297" s="265"/>
    </row>
    <row r="298" spans="6:6" ht="18">
      <c r="F298" s="265"/>
    </row>
    <row r="299" spans="6:6" ht="18">
      <c r="F299" s="265"/>
    </row>
    <row r="300" spans="6:6" ht="18">
      <c r="F300" s="265"/>
    </row>
    <row r="301" spans="6:6" ht="18">
      <c r="F301" s="265"/>
    </row>
    <row r="302" spans="6:6" ht="18">
      <c r="F302" s="265"/>
    </row>
    <row r="303" spans="6:6" ht="18">
      <c r="F303" s="265"/>
    </row>
    <row r="304" spans="6:6" ht="18">
      <c r="F304" s="265"/>
    </row>
    <row r="305" spans="6:6" ht="18">
      <c r="F305" s="265"/>
    </row>
  </sheetData>
  <autoFilter ref="A4:AA4" xr:uid="{2BC3A4CB-C009-4AB7-AEC7-FE2A663002CF}"/>
  <mergeCells count="2">
    <mergeCell ref="G1:R1"/>
    <mergeCell ref="AD5:AO5"/>
  </mergeCells>
  <conditionalFormatting sqref="B192:B196">
    <cfRule type="cellIs" dxfId="11" priority="1" operator="equal">
      <formula>"Non-Aktif"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14CE-3F75-4769-A488-83DB4C7B5D1D}">
  <dimension ref="A1:AF92"/>
  <sheetViews>
    <sheetView topLeftCell="B1" workbookViewId="0">
      <selection activeCell="L14" sqref="L14:M14"/>
    </sheetView>
  </sheetViews>
  <sheetFormatPr defaultColWidth="9.140625" defaultRowHeight="13.5" customHeight="1"/>
  <cols>
    <col min="1" max="1" width="4" style="19" bestFit="1" customWidth="1"/>
    <col min="2" max="2" width="21.140625" style="19" bestFit="1" customWidth="1"/>
    <col min="3" max="3" width="5.28515625" style="19" bestFit="1" customWidth="1"/>
    <col min="4" max="6" width="7.28515625" style="19" customWidth="1"/>
    <col min="7" max="7" width="6.42578125" style="19" customWidth="1"/>
    <col min="8" max="8" width="7.28515625" style="19" customWidth="1"/>
    <col min="9" max="9" width="6.7109375" style="19" customWidth="1"/>
    <col min="10" max="11" width="6.42578125" style="20" bestFit="1" customWidth="1"/>
    <col min="12" max="12" width="7.42578125" style="20" customWidth="1"/>
    <col min="13" max="13" width="11.7109375" style="20" bestFit="1" customWidth="1"/>
    <col min="14" max="14" width="5.42578125" style="20" bestFit="1" customWidth="1"/>
    <col min="15" max="15" width="10.7109375" style="20" customWidth="1"/>
    <col min="16" max="16" width="9.42578125" style="20" customWidth="1"/>
    <col min="17" max="17" width="6.42578125" style="19" bestFit="1" customWidth="1"/>
    <col min="18" max="19" width="5.42578125" style="19" bestFit="1" customWidth="1"/>
    <col min="20" max="20" width="6.42578125" style="19" bestFit="1" customWidth="1"/>
    <col min="21" max="21" width="20.42578125" style="19" customWidth="1"/>
    <col min="22" max="22" width="11" style="19" bestFit="1" customWidth="1"/>
    <col min="23" max="23" width="11.28515625" style="19" bestFit="1" customWidth="1"/>
    <col min="24" max="24" width="9.140625" style="19"/>
    <col min="25" max="25" width="44.42578125" style="19" bestFit="1" customWidth="1"/>
    <col min="26" max="26" width="14.28515625" style="19" bestFit="1" customWidth="1"/>
    <col min="27" max="27" width="52.42578125" style="19" bestFit="1" customWidth="1"/>
    <col min="28" max="28" width="13.28515625" style="19" bestFit="1" customWidth="1"/>
    <col min="29" max="16384" width="9.140625" style="19"/>
  </cols>
  <sheetData>
    <row r="1" spans="1:32" ht="13.5" customHeight="1">
      <c r="A1" s="466" t="s">
        <v>2104</v>
      </c>
      <c r="B1" s="466" t="s">
        <v>1853</v>
      </c>
      <c r="C1" s="467" t="s">
        <v>2018</v>
      </c>
      <c r="D1" s="468" t="s">
        <v>760</v>
      </c>
      <c r="E1" s="468"/>
      <c r="F1" s="469" t="s">
        <v>800</v>
      </c>
      <c r="G1" s="470"/>
      <c r="H1" s="470"/>
      <c r="I1" s="471"/>
      <c r="J1" s="464" t="s">
        <v>2105</v>
      </c>
      <c r="K1" s="464"/>
      <c r="L1" s="464"/>
      <c r="M1" s="464"/>
      <c r="N1" s="464"/>
      <c r="O1" s="322"/>
      <c r="P1" s="322"/>
      <c r="Q1" s="458" t="s">
        <v>2106</v>
      </c>
      <c r="R1" s="459" t="s">
        <v>2107</v>
      </c>
      <c r="S1" s="460"/>
      <c r="T1" s="461" t="s">
        <v>2108</v>
      </c>
      <c r="U1" s="461"/>
      <c r="V1" s="461"/>
      <c r="W1" s="462"/>
      <c r="X1" s="19" t="s">
        <v>842</v>
      </c>
      <c r="Y1" s="143" t="s">
        <v>842</v>
      </c>
      <c r="Z1" s="143" t="s">
        <v>2109</v>
      </c>
      <c r="AA1" s="143" t="s">
        <v>2110</v>
      </c>
      <c r="AB1" s="143" t="s">
        <v>2111</v>
      </c>
    </row>
    <row r="2" spans="1:32" ht="18.75" customHeight="1">
      <c r="A2" s="466"/>
      <c r="B2" s="466"/>
      <c r="C2" s="467"/>
      <c r="D2" s="324" t="s">
        <v>854</v>
      </c>
      <c r="E2" s="324" t="s">
        <v>879</v>
      </c>
      <c r="F2" s="38" t="s">
        <v>2018</v>
      </c>
      <c r="G2" s="39" t="s">
        <v>802</v>
      </c>
      <c r="H2" s="39" t="s">
        <v>2112</v>
      </c>
      <c r="I2" s="39" t="s">
        <v>2113</v>
      </c>
      <c r="J2" s="322" t="s">
        <v>918</v>
      </c>
      <c r="K2" s="322" t="s">
        <v>847</v>
      </c>
      <c r="L2" s="322" t="s">
        <v>775</v>
      </c>
      <c r="M2" s="322" t="s">
        <v>776</v>
      </c>
      <c r="N2" s="322" t="s">
        <v>1207</v>
      </c>
      <c r="O2" s="322" t="s">
        <v>2114</v>
      </c>
      <c r="P2" s="322" t="s">
        <v>2105</v>
      </c>
      <c r="Q2" s="458"/>
      <c r="R2" s="320" t="s">
        <v>775</v>
      </c>
      <c r="S2" s="321" t="s">
        <v>1603</v>
      </c>
      <c r="T2" s="51" t="s">
        <v>2115</v>
      </c>
      <c r="U2" s="348" t="s">
        <v>2116</v>
      </c>
      <c r="V2" s="52" t="s">
        <v>2117</v>
      </c>
      <c r="W2" s="51" t="s">
        <v>2118</v>
      </c>
      <c r="X2" s="19" t="s">
        <v>2119</v>
      </c>
      <c r="Y2" s="452" t="s">
        <v>863</v>
      </c>
      <c r="Z2" s="327">
        <f>COUNTIFS(Dosen!C:C,"Aktif",Dosen!CE:CE,'Reporting 1'!Y2)</f>
        <v>40</v>
      </c>
      <c r="AA2" s="143" t="s">
        <v>2120</v>
      </c>
      <c r="AB2" s="143">
        <f>COUNTIFS('KK &amp; COE'!M:M,'Reporting 1'!AA2)</f>
        <v>8</v>
      </c>
      <c r="AE2" s="19" t="s">
        <v>842</v>
      </c>
      <c r="AF2" s="19" t="s">
        <v>2121</v>
      </c>
    </row>
    <row r="3" spans="1:32" ht="15">
      <c r="A3" s="21">
        <v>1</v>
      </c>
      <c r="B3" s="11" t="s">
        <v>107</v>
      </c>
      <c r="C3" s="57">
        <f>COUNTIFS(Dosen!D:D,B3,Dosen!C:C,"Aktif")</f>
        <v>16</v>
      </c>
      <c r="D3" s="36">
        <f>COUNTIFS(Dosen!D:D,B3,Dosen!C:C,"Aktif",Dosen!AH:AH,"S2")</f>
        <v>13</v>
      </c>
      <c r="E3" s="36">
        <f>COUNTIFS(Dosen!D:D,B3,Dosen!C:C,"Aktif",Dosen!AH:AH,"S3")</f>
        <v>3</v>
      </c>
      <c r="F3" s="40">
        <f>COUNTIFS(Dosen!D:D,B3,Dosen!C:C,"Aktif",Dosen!AI:AI,"Ya")</f>
        <v>2</v>
      </c>
      <c r="G3" s="41">
        <f>COUNTIFS(Dosen!D:D,B3,Dosen!C:C,"Aktif",Dosen!AK:AK,"Ya")</f>
        <v>0</v>
      </c>
      <c r="H3" s="40">
        <f>COUNTIFS(Dosen!D:D,B3,Dosen!C:C,"Aktif",Dosen!AK:AK,"Tidak")</f>
        <v>2</v>
      </c>
      <c r="I3" s="135">
        <f t="shared" ref="I3:I14" si="0">G3/C3</f>
        <v>0</v>
      </c>
      <c r="J3" s="43">
        <f>COUNTIFS(Dosen!$D:$D,$B3,Dosen!$C:$C,"Aktif",Dosen!$L:$L,J$2)</f>
        <v>7</v>
      </c>
      <c r="K3" s="43">
        <f>COUNTIFS(Dosen!$D:$D,$B3,Dosen!$C:$C,"Aktif",Dosen!$L:$L,K$2)</f>
        <v>6</v>
      </c>
      <c r="L3" s="43">
        <f>COUNTIFS(Dosen!$D:$D,$B3,Dosen!$C:$C,"Aktif",Dosen!$L:$L,L$2)</f>
        <v>3</v>
      </c>
      <c r="M3" s="43">
        <f>COUNTIFS(Dosen!$D:$D,$B3,Dosen!$C:$C,"Aktif",Dosen!$L:$L,M$2)</f>
        <v>0</v>
      </c>
      <c r="N3" s="43">
        <f>COUNTIFS(Dosen!$D:$D,$B3,Dosen!$C:$C,"Aktif",Dosen!$L:$L,N$2)</f>
        <v>0</v>
      </c>
      <c r="O3" s="163">
        <f t="shared" ref="O3:O14" si="1">SUM(L3:N3)/C3</f>
        <v>0.1875</v>
      </c>
      <c r="P3" s="163">
        <f>SUM(K3:N3)/SUM(J3:N3)</f>
        <v>0.5625</v>
      </c>
      <c r="Q3" s="45">
        <f>COUNTIFS(Dosen!D:D,B3,Dosen!C:C,"Aktif",Dosen!Z:Z,"Punya")</f>
        <v>1</v>
      </c>
      <c r="R3" s="47">
        <f>COUNTIFS(Dosen!D:D,B3,Dosen!C:C,"Aktif",Dosen!AX:AX,"L")</f>
        <v>0</v>
      </c>
      <c r="S3" s="48">
        <f>COUNTIFS(Dosen!D:D,B3,Dosen!C:C,"Aktif",Dosen!AX:AX,"P")</f>
        <v>0</v>
      </c>
      <c r="T3" s="53">
        <f>COUNTIFS(Dosen!D:D,B3,Dosen!C:C,"Aktif",Dosen!H:H,T$2)</f>
        <v>5</v>
      </c>
      <c r="U3" s="53">
        <f>COUNTIFS(Dosen!D:D,B3,Dosen!C:C,"Aktif",Dosen!H:H,U$2)</f>
        <v>0</v>
      </c>
      <c r="V3" s="54">
        <f>COUNTIFS(Dosen!D:D,B3,Dosen!C:C,"Aktif",Dosen!H:H,V$2)</f>
        <v>11</v>
      </c>
      <c r="W3" s="53">
        <f>COUNTIFS(Dosen!D:D,B3,Dosen!H:H,W$2,Dosen!C:C,"Aktif")</f>
        <v>0</v>
      </c>
      <c r="Y3" s="453"/>
      <c r="Z3" s="328"/>
      <c r="AA3" s="143" t="s">
        <v>2122</v>
      </c>
      <c r="AB3" s="143">
        <f>COUNTIFS('KK &amp; COE'!M:M,'Reporting 1'!AA3)</f>
        <v>10</v>
      </c>
      <c r="AE3" s="19" t="s">
        <v>2123</v>
      </c>
      <c r="AF3" s="19">
        <f>Z2</f>
        <v>40</v>
      </c>
    </row>
    <row r="4" spans="1:32" ht="15">
      <c r="A4" s="21">
        <v>2</v>
      </c>
      <c r="B4" s="16" t="s">
        <v>22</v>
      </c>
      <c r="C4" s="57">
        <f>COUNTIFS(Dosen!D:D,B4,Dosen!C:C,"Aktif")</f>
        <v>14</v>
      </c>
      <c r="D4" s="36">
        <f>COUNTIFS(Dosen!D:D,B4,Dosen!C:C,"Aktif",Dosen!AH:AH,"S2")</f>
        <v>11</v>
      </c>
      <c r="E4" s="36">
        <f>COUNTIFS(Dosen!D:D,B4,Dosen!C:C,"Aktif",Dosen!AH:AH,"S3")</f>
        <v>3</v>
      </c>
      <c r="F4" s="40">
        <f>COUNTIFS(Dosen!D:D,B4,Dosen!C:C,"Aktif",Dosen!AI:AI,"Ya")</f>
        <v>4</v>
      </c>
      <c r="G4" s="41">
        <f>COUNTIFS(Dosen!D:D,B4,Dosen!C:C,"Aktif",Dosen!AK:AK,"Ya")</f>
        <v>1</v>
      </c>
      <c r="H4" s="40">
        <f>COUNTIFS(Dosen!D:D,B4,Dosen!C:C,"Aktif",Dosen!AK:AK,"Tidak")</f>
        <v>3</v>
      </c>
      <c r="I4" s="135">
        <f t="shared" si="0"/>
        <v>7.1428571428571425E-2</v>
      </c>
      <c r="J4" s="43">
        <f>COUNTIFS(Dosen!$D:$D,$B4,Dosen!$C:$C,"Aktif",Dosen!$L:$L,J$2)</f>
        <v>5</v>
      </c>
      <c r="K4" s="43">
        <f>COUNTIFS(Dosen!$D:$D,$B4,Dosen!$C:$C,"Aktif",Dosen!$L:$L,K$2)</f>
        <v>7</v>
      </c>
      <c r="L4" s="43">
        <f>COUNTIFS(Dosen!$D:$D,$B4,Dosen!$C:$C,"Aktif",Dosen!$L:$L,L$2)</f>
        <v>2</v>
      </c>
      <c r="M4" s="43">
        <f>COUNTIFS(Dosen!$D:$D,$B4,Dosen!$C:$C,"Aktif",Dosen!$L:$L,M$2)</f>
        <v>0</v>
      </c>
      <c r="N4" s="43">
        <f>COUNTIFS(Dosen!$D:$D,$B4,Dosen!$C:$C,"Aktif",Dosen!$L:$L,N$2)</f>
        <v>0</v>
      </c>
      <c r="O4" s="163">
        <f t="shared" si="1"/>
        <v>0.14285714285714285</v>
      </c>
      <c r="P4" s="163">
        <f t="shared" ref="P4:P14" si="2">SUM(K4:N4)/SUM(J4:N4)</f>
        <v>0.6428571428571429</v>
      </c>
      <c r="Q4" s="45">
        <f>COUNTIFS(Dosen!D:D,B4,Dosen!C:C,"Aktif",Dosen!Z:Z,"Punya")</f>
        <v>4</v>
      </c>
      <c r="R4" s="47">
        <f>COUNTIFS(Dosen!D:D,B4,Dosen!C:C,"Aktif",Dosen!AX:AX,"L")</f>
        <v>0</v>
      </c>
      <c r="S4" s="48">
        <f>COUNTIFS(Dosen!D:D,B4,Dosen!C:C,"Aktif",Dosen!AX:AX,"P")</f>
        <v>0</v>
      </c>
      <c r="T4" s="53">
        <f>COUNTIFS(Dosen!D:D,B4,Dosen!C:C,"Aktif",Dosen!H:H,T$2)</f>
        <v>4</v>
      </c>
      <c r="U4" s="53">
        <f>COUNTIFS(Dosen!D:D,B4,Dosen!C:C,"Aktif",Dosen!H:H,U$2)</f>
        <v>0</v>
      </c>
      <c r="V4" s="54">
        <f>COUNTIFS(Dosen!D:D,B4,Dosen!C:C,"Aktif",Dosen!H:H,V$2)</f>
        <v>9</v>
      </c>
      <c r="W4" s="53">
        <f>COUNTIFS(Dosen!D:D,B4,Dosen!H:H,W$2,Dosen!C:C,"Aktif")</f>
        <v>1</v>
      </c>
      <c r="Y4" s="453"/>
      <c r="Z4" s="328"/>
      <c r="AA4" s="143" t="s">
        <v>2124</v>
      </c>
      <c r="AB4" s="143">
        <f>COUNTIFS('KK &amp; COE'!M:M,'Reporting 1'!AA4)</f>
        <v>7</v>
      </c>
      <c r="AE4" s="19" t="s">
        <v>2125</v>
      </c>
      <c r="AF4" s="19">
        <f>Z7</f>
        <v>47</v>
      </c>
    </row>
    <row r="5" spans="1:32" ht="15">
      <c r="A5" s="21">
        <v>3</v>
      </c>
      <c r="B5" s="11" t="s">
        <v>201</v>
      </c>
      <c r="C5" s="57">
        <f>COUNTIFS(Dosen!D:D,B5,Dosen!C:C,"Aktif")</f>
        <v>9</v>
      </c>
      <c r="D5" s="36">
        <f>COUNTIFS(Dosen!D:D,B5,Dosen!C:C,"Aktif",Dosen!AH:AH,"S2")</f>
        <v>9</v>
      </c>
      <c r="E5" s="36">
        <f>COUNTIFS(Dosen!D:D,B5,Dosen!C:C,"Aktif",Dosen!AH:AH,"S3")</f>
        <v>0</v>
      </c>
      <c r="F5" s="40">
        <f>COUNTIFS(Dosen!D:D,B5,Dosen!C:C,"Aktif",Dosen!AI:AI,"Ya")</f>
        <v>2</v>
      </c>
      <c r="G5" s="41">
        <f>COUNTIFS(Dosen!D:D,B5,Dosen!C:C,"Aktif",Dosen!AK:AK,"Ya")</f>
        <v>1</v>
      </c>
      <c r="H5" s="40">
        <f>COUNTIFS(Dosen!D:D,B5,Dosen!C:C,"Aktif",Dosen!AK:AK,"Tidak")</f>
        <v>1</v>
      </c>
      <c r="I5" s="135">
        <f t="shared" si="0"/>
        <v>0.1111111111111111</v>
      </c>
      <c r="J5" s="43">
        <f>COUNTIFS(Dosen!$D:$D,$B5,Dosen!$C:$C,"Aktif",Dosen!$L:$L,J$2)</f>
        <v>4</v>
      </c>
      <c r="K5" s="43">
        <f>COUNTIFS(Dosen!$D:$D,$B5,Dosen!$C:$C,"Aktif",Dosen!$L:$L,K$2)</f>
        <v>3</v>
      </c>
      <c r="L5" s="43">
        <f>COUNTIFS(Dosen!$D:$D,$B5,Dosen!$C:$C,"Aktif",Dosen!$L:$L,L$2)</f>
        <v>2</v>
      </c>
      <c r="M5" s="43">
        <f>COUNTIFS(Dosen!$D:$D,$B5,Dosen!$C:$C,"Aktif",Dosen!$L:$L,M$2)</f>
        <v>0</v>
      </c>
      <c r="N5" s="43">
        <f>COUNTIFS(Dosen!$D:$D,$B5,Dosen!$C:$C,"Aktif",Dosen!$L:$L,N$2)</f>
        <v>0</v>
      </c>
      <c r="O5" s="163">
        <f t="shared" si="1"/>
        <v>0.22222222222222221</v>
      </c>
      <c r="P5" s="163">
        <f t="shared" si="2"/>
        <v>0.55555555555555558</v>
      </c>
      <c r="Q5" s="45">
        <f>COUNTIFS(Dosen!D:D,B5,Dosen!C:C,"Aktif",Dosen!Z:Z,"Punya")</f>
        <v>1</v>
      </c>
      <c r="R5" s="47">
        <f>COUNTIFS(Dosen!D:D,B5,Dosen!C:C,"Aktif",Dosen!AX:AX,"L")</f>
        <v>0</v>
      </c>
      <c r="S5" s="48">
        <f>COUNTIFS(Dosen!D:D,B5,Dosen!C:C,"Aktif",Dosen!AX:AX,"P")</f>
        <v>0</v>
      </c>
      <c r="T5" s="53">
        <f>COUNTIFS(Dosen!D:D,B5,Dosen!C:C,"Aktif",Dosen!H:H,T$2)</f>
        <v>2</v>
      </c>
      <c r="U5" s="53">
        <f>COUNTIFS(Dosen!D:D,B5,Dosen!C:C,"Aktif",Dosen!H:H,U$2)</f>
        <v>0</v>
      </c>
      <c r="V5" s="54">
        <f>COUNTIFS(Dosen!D:D,B5,Dosen!C:C,"Aktif",Dosen!H:H,V$2)</f>
        <v>7</v>
      </c>
      <c r="W5" s="53">
        <f>COUNTIFS(Dosen!D:D,B5,Dosen!H:H,W$2,Dosen!C:C,"Aktif")</f>
        <v>0</v>
      </c>
      <c r="Y5" s="453"/>
      <c r="Z5" s="328"/>
      <c r="AA5" s="143" t="s">
        <v>2126</v>
      </c>
      <c r="AB5" s="143">
        <f>COUNTIFS('KK &amp; COE'!M:M,'Reporting 1'!AA5)</f>
        <v>3</v>
      </c>
      <c r="AE5" s="19" t="s">
        <v>2127</v>
      </c>
      <c r="AF5" s="19">
        <f>Z10</f>
        <v>22</v>
      </c>
    </row>
    <row r="6" spans="1:32" ht="15">
      <c r="A6" s="21">
        <v>4</v>
      </c>
      <c r="B6" s="11" t="s">
        <v>448</v>
      </c>
      <c r="C6" s="57">
        <f>COUNTIFS(Dosen!D:D,B6,Dosen!C:C,"Aktif")</f>
        <v>5</v>
      </c>
      <c r="D6" s="36">
        <f>COUNTIFS(Dosen!D:D,B6,Dosen!C:C,"Aktif",Dosen!AH:AH,"S2")</f>
        <v>3</v>
      </c>
      <c r="E6" s="36">
        <f>COUNTIFS(Dosen!D:D,B6,Dosen!C:C,"Aktif",Dosen!AH:AH,"S3")</f>
        <v>2</v>
      </c>
      <c r="F6" s="40">
        <f>COUNTIFS(Dosen!D:D,B6,Dosen!C:C,"Aktif",Dosen!AI:AI,"Ya")</f>
        <v>0</v>
      </c>
      <c r="G6" s="41">
        <f>COUNTIFS(Dosen!D:D,B6,Dosen!C:C,"Aktif",Dosen!AK:AK,"Ya")</f>
        <v>0</v>
      </c>
      <c r="H6" s="40">
        <f>COUNTIFS(Dosen!D:D,B6,Dosen!C:C,"Aktif",Dosen!AK:AK,"Tidak")</f>
        <v>0</v>
      </c>
      <c r="I6" s="135">
        <f t="shared" si="0"/>
        <v>0</v>
      </c>
      <c r="J6" s="43">
        <f>COUNTIFS(Dosen!$D:$D,$B6,Dosen!$C:$C,"Aktif",Dosen!$L:$L,J$2)</f>
        <v>0</v>
      </c>
      <c r="K6" s="43">
        <f>COUNTIFS(Dosen!$D:$D,$B6,Dosen!$C:$C,"Aktif",Dosen!$L:$L,K$2)</f>
        <v>2</v>
      </c>
      <c r="L6" s="43">
        <f>COUNTIFS(Dosen!$D:$D,$B6,Dosen!$C:$C,"Aktif",Dosen!$L:$L,L$2)</f>
        <v>3</v>
      </c>
      <c r="M6" s="43">
        <f>COUNTIFS(Dosen!$D:$D,$B6,Dosen!$C:$C,"Aktif",Dosen!$L:$L,M$2)</f>
        <v>0</v>
      </c>
      <c r="N6" s="43">
        <f>COUNTIFS(Dosen!$D:$D,$B6,Dosen!$C:$C,"Aktif",Dosen!$L:$L,N$2)</f>
        <v>0</v>
      </c>
      <c r="O6" s="163">
        <f t="shared" si="1"/>
        <v>0.6</v>
      </c>
      <c r="P6" s="163">
        <f t="shared" si="2"/>
        <v>1</v>
      </c>
      <c r="Q6" s="45">
        <f>COUNTIFS(Dosen!D:D,B6,Dosen!C:C,"Aktif",Dosen!Z:Z,"Punya")</f>
        <v>3</v>
      </c>
      <c r="R6" s="47">
        <f>COUNTIFS(Dosen!D:D,B6,Dosen!C:C,"Aktif",Dosen!AX:AX,"L")</f>
        <v>0</v>
      </c>
      <c r="S6" s="48">
        <f>COUNTIFS(Dosen!D:D,B6,Dosen!C:C,"Aktif",Dosen!AX:AX,"P")</f>
        <v>0</v>
      </c>
      <c r="T6" s="53">
        <f>COUNTIFS(Dosen!D:D,B6,Dosen!C:C,"Aktif",Dosen!H:H,T$2)</f>
        <v>4</v>
      </c>
      <c r="U6" s="53">
        <f>COUNTIFS(Dosen!D:D,B6,Dosen!C:C,"Aktif",Dosen!H:H,U$2)</f>
        <v>0</v>
      </c>
      <c r="V6" s="54">
        <f>COUNTIFS(Dosen!D:D,B6,Dosen!C:C,"Aktif",Dosen!H:H,V$2)</f>
        <v>1</v>
      </c>
      <c r="W6" s="53">
        <f>COUNTIFS(Dosen!D:D,B6,Dosen!H:H,W$2,Dosen!C:C,"Aktif")</f>
        <v>0</v>
      </c>
      <c r="Y6" s="454"/>
      <c r="Z6" s="329"/>
      <c r="AA6" s="143" t="s">
        <v>2128</v>
      </c>
      <c r="AB6" s="143">
        <f>COUNTIFS('KK &amp; COE'!M:M,'Reporting 1'!AA6)</f>
        <v>5</v>
      </c>
    </row>
    <row r="7" spans="1:32" ht="15">
      <c r="A7" s="21">
        <v>5</v>
      </c>
      <c r="B7" s="11" t="s">
        <v>413</v>
      </c>
      <c r="C7" s="57">
        <f>COUNTIFS(Dosen!D:D,B7,Dosen!C:C,"Aktif")</f>
        <v>7</v>
      </c>
      <c r="D7" s="36">
        <f>COUNTIFS(Dosen!D:D,B7,Dosen!C:C,"Aktif",Dosen!AH:AH,"S2")</f>
        <v>5</v>
      </c>
      <c r="E7" s="36">
        <f>COUNTIFS(Dosen!D:D,B7,Dosen!C:C,"Aktif",Dosen!AH:AH,"S3")</f>
        <v>2</v>
      </c>
      <c r="F7" s="40">
        <f>COUNTIFS(Dosen!D:D,B7,Dosen!C:C,"Aktif",Dosen!AI:AI,"Ya")</f>
        <v>2</v>
      </c>
      <c r="G7" s="41">
        <f>COUNTIFS(Dosen!D:D,B7,Dosen!C:C,"Aktif",Dosen!AK:AK,"Ya")</f>
        <v>2</v>
      </c>
      <c r="H7" s="40">
        <f>COUNTIFS(Dosen!D:D,B7,Dosen!C:C,"Aktif",Dosen!AK:AK,"Tidak")</f>
        <v>0</v>
      </c>
      <c r="I7" s="135">
        <f t="shared" si="0"/>
        <v>0.2857142857142857</v>
      </c>
      <c r="J7" s="43">
        <f>COUNTIFS(Dosen!$D:$D,$B7,Dosen!$C:$C,"Aktif",Dosen!$L:$L,J$2)</f>
        <v>2</v>
      </c>
      <c r="K7" s="43">
        <f>COUNTIFS(Dosen!$D:$D,$B7,Dosen!$C:$C,"Aktif",Dosen!$L:$L,K$2)</f>
        <v>2</v>
      </c>
      <c r="L7" s="43">
        <f>COUNTIFS(Dosen!$D:$D,$B7,Dosen!$C:$C,"Aktif",Dosen!$L:$L,L$2)</f>
        <v>3</v>
      </c>
      <c r="M7" s="43">
        <f>COUNTIFS(Dosen!$D:$D,$B7,Dosen!$C:$C,"Aktif",Dosen!$L:$L,M$2)</f>
        <v>0</v>
      </c>
      <c r="N7" s="43">
        <f>COUNTIFS(Dosen!$D:$D,$B7,Dosen!$C:$C,"Aktif",Dosen!$L:$L,N$2)</f>
        <v>0</v>
      </c>
      <c r="O7" s="163">
        <f t="shared" si="1"/>
        <v>0.42857142857142855</v>
      </c>
      <c r="P7" s="163">
        <f t="shared" si="2"/>
        <v>0.7142857142857143</v>
      </c>
      <c r="Q7" s="45">
        <f>COUNTIFS(Dosen!D:D,B7,Dosen!C:C,"Aktif",Dosen!Z:Z,"Punya")</f>
        <v>3</v>
      </c>
      <c r="R7" s="47">
        <f>COUNTIFS(Dosen!D:D,B7,Dosen!C:C,"Aktif",Dosen!AX:AX,"L")</f>
        <v>0</v>
      </c>
      <c r="S7" s="48">
        <f>COUNTIFS(Dosen!D:D,B7,Dosen!C:C,"Aktif",Dosen!AX:AX,"P")</f>
        <v>0</v>
      </c>
      <c r="T7" s="53">
        <f>COUNTIFS(Dosen!D:D,B7,Dosen!C:C,"Aktif",Dosen!H:H,T$2)</f>
        <v>5</v>
      </c>
      <c r="U7" s="53">
        <f>COUNTIFS(Dosen!D:D,B7,Dosen!C:C,"Aktif",Dosen!H:H,U$2)</f>
        <v>0</v>
      </c>
      <c r="V7" s="54">
        <f>COUNTIFS(Dosen!D:D,B7,Dosen!C:C,"Aktif",Dosen!H:H,V$2)</f>
        <v>2</v>
      </c>
      <c r="W7" s="53">
        <f>COUNTIFS(Dosen!D:D,B7,Dosen!H:H,W$2,Dosen!C:C,"Aktif")</f>
        <v>0</v>
      </c>
      <c r="X7" s="19" t="s">
        <v>2125</v>
      </c>
      <c r="Y7" s="452" t="s">
        <v>903</v>
      </c>
      <c r="Z7" s="327">
        <f>COUNTIFS(Dosen!C:C,"Aktif",Dosen!CE:CE,'Reporting 1'!Y7)</f>
        <v>47</v>
      </c>
      <c r="AA7" s="170" t="s">
        <v>2129</v>
      </c>
      <c r="AB7" s="143">
        <f>COUNTIFS('KK &amp; COE'!M:M,'Reporting 1'!AA7)</f>
        <v>22</v>
      </c>
    </row>
    <row r="8" spans="1:32" ht="15">
      <c r="A8" s="21">
        <v>6</v>
      </c>
      <c r="B8" s="11" t="s">
        <v>524</v>
      </c>
      <c r="C8" s="57">
        <f>COUNTIFS(Dosen!D:D,B8,Dosen!C:C,"Aktif")</f>
        <v>11</v>
      </c>
      <c r="D8" s="36">
        <f>COUNTIFS(Dosen!D:D,B8,Dosen!C:C,"Aktif",Dosen!AH:AH,"S2")</f>
        <v>9</v>
      </c>
      <c r="E8" s="36">
        <f>COUNTIFS(Dosen!D:D,B8,Dosen!C:C,"Aktif",Dosen!AH:AH,"S3")</f>
        <v>2</v>
      </c>
      <c r="F8" s="40">
        <f>COUNTIFS(Dosen!D:D,B8,Dosen!C:C,"Aktif",Dosen!AI:AI,"Ya")</f>
        <v>5</v>
      </c>
      <c r="G8" s="41">
        <f>COUNTIFS(Dosen!D:D,B8,Dosen!C:C,"Aktif",Dosen!AK:AK,"Ya")</f>
        <v>3</v>
      </c>
      <c r="H8" s="40">
        <f>COUNTIFS(Dosen!D:D,B8,Dosen!C:C,"Aktif",Dosen!AK:AK,"Tidak")</f>
        <v>2</v>
      </c>
      <c r="I8" s="135">
        <f t="shared" si="0"/>
        <v>0.27272727272727271</v>
      </c>
      <c r="J8" s="43">
        <f>COUNTIFS(Dosen!$D:$D,$B8,Dosen!$C:$C,"Aktif",Dosen!$L:$L,J$2)</f>
        <v>1</v>
      </c>
      <c r="K8" s="43">
        <f>COUNTIFS(Dosen!$D:$D,$B8,Dosen!$C:$C,"Aktif",Dosen!$L:$L,K$2)</f>
        <v>5</v>
      </c>
      <c r="L8" s="43">
        <f>COUNTIFS(Dosen!$D:$D,$B8,Dosen!$C:$C,"Aktif",Dosen!$L:$L,L$2)</f>
        <v>4</v>
      </c>
      <c r="M8" s="43">
        <f>COUNTIFS(Dosen!$D:$D,$B8,Dosen!$C:$C,"Aktif",Dosen!$L:$L,M$2)</f>
        <v>1</v>
      </c>
      <c r="N8" s="43">
        <f>COUNTIFS(Dosen!$D:$D,$B8,Dosen!$C:$C,"Aktif",Dosen!$L:$L,N$2)</f>
        <v>0</v>
      </c>
      <c r="O8" s="163">
        <f t="shared" si="1"/>
        <v>0.45454545454545453</v>
      </c>
      <c r="P8" s="163">
        <f t="shared" si="2"/>
        <v>0.90909090909090906</v>
      </c>
      <c r="Q8" s="45">
        <f>COUNTIFS(Dosen!D:D,B8,Dosen!C:C,"Aktif",Dosen!Z:Z,"Punya")</f>
        <v>5</v>
      </c>
      <c r="R8" s="47">
        <f>COUNTIFS(Dosen!D:D,B8,Dosen!C:C,"Aktif",Dosen!AX:AX,"L")</f>
        <v>0</v>
      </c>
      <c r="S8" s="48">
        <f>COUNTIFS(Dosen!D:D,B8,Dosen!C:C,"Aktif",Dosen!AX:AX,"P")</f>
        <v>0</v>
      </c>
      <c r="T8" s="53">
        <f>COUNTIFS(Dosen!D:D,B8,Dosen!C:C,"Aktif",Dosen!H:H,T$2)</f>
        <v>7</v>
      </c>
      <c r="U8" s="53">
        <f>COUNTIFS(Dosen!D:D,B8,Dosen!C:C,"Aktif",Dosen!H:H,U$2)</f>
        <v>0</v>
      </c>
      <c r="V8" s="54">
        <f>COUNTIFS(Dosen!D:D,B8,Dosen!C:C,"Aktif",Dosen!H:H,V$2)</f>
        <v>4</v>
      </c>
      <c r="W8" s="53">
        <f>COUNTIFS(Dosen!D:D,B8,Dosen!H:H,W$2,Dosen!C:C,"Aktif")</f>
        <v>0</v>
      </c>
      <c r="Y8" s="453"/>
      <c r="Z8" s="328"/>
      <c r="AA8" s="170" t="s">
        <v>2130</v>
      </c>
      <c r="AB8" s="143">
        <f>COUNTIFS('KK &amp; COE'!M:M,'Reporting 1'!AA8)</f>
        <v>12</v>
      </c>
    </row>
    <row r="9" spans="1:32" ht="15">
      <c r="A9" s="21">
        <v>7</v>
      </c>
      <c r="B9" s="11" t="s">
        <v>170</v>
      </c>
      <c r="C9" s="57">
        <f>COUNTIFS(Dosen!D:D,B9,Dosen!C:C,"Aktif")</f>
        <v>8</v>
      </c>
      <c r="D9" s="36">
        <f>COUNTIFS(Dosen!D:D,B9,Dosen!C:C,"Aktif",Dosen!AH:AH,"S2")</f>
        <v>7</v>
      </c>
      <c r="E9" s="36">
        <f>COUNTIFS(Dosen!D:D,B9,Dosen!C:C,"Aktif",Dosen!AH:AH,"S3")</f>
        <v>1</v>
      </c>
      <c r="F9" s="40">
        <f>COUNTIFS(Dosen!D:D,B9,Dosen!C:C,"Aktif",Dosen!AI:AI,"Ya")</f>
        <v>3</v>
      </c>
      <c r="G9" s="41">
        <f>COUNTIFS(Dosen!D:D,B9,Dosen!C:C,"Aktif",Dosen!AK:AK,"Ya")</f>
        <v>3</v>
      </c>
      <c r="H9" s="40">
        <f>COUNTIFS(Dosen!D:D,B9,Dosen!C:C,"Aktif",Dosen!AK:AK,"Tidak")</f>
        <v>0</v>
      </c>
      <c r="I9" s="135">
        <f t="shared" si="0"/>
        <v>0.375</v>
      </c>
      <c r="J9" s="43">
        <f>COUNTIFS(Dosen!$D:$D,$B9,Dosen!$C:$C,"Aktif",Dosen!$L:$L,J$2)</f>
        <v>0</v>
      </c>
      <c r="K9" s="43">
        <f>COUNTIFS(Dosen!$D:$D,$B9,Dosen!$C:$C,"Aktif",Dosen!$L:$L,K$2)</f>
        <v>3</v>
      </c>
      <c r="L9" s="43">
        <f>COUNTIFS(Dosen!$D:$D,$B9,Dosen!$C:$C,"Aktif",Dosen!$L:$L,L$2)</f>
        <v>5</v>
      </c>
      <c r="M9" s="43">
        <f>COUNTIFS(Dosen!$D:$D,$B9,Dosen!$C:$C,"Aktif",Dosen!$L:$L,M$2)</f>
        <v>0</v>
      </c>
      <c r="N9" s="43">
        <f>COUNTIFS(Dosen!$D:$D,$B9,Dosen!$C:$C,"Aktif",Dosen!$L:$L,N$2)</f>
        <v>0</v>
      </c>
      <c r="O9" s="163">
        <f t="shared" si="1"/>
        <v>0.625</v>
      </c>
      <c r="P9" s="163">
        <f t="shared" si="2"/>
        <v>1</v>
      </c>
      <c r="Q9" s="45">
        <f>COUNTIFS(Dosen!D:D,B9,Dosen!C:C,"Aktif",Dosen!Z:Z,"Punya")</f>
        <v>7</v>
      </c>
      <c r="R9" s="47">
        <f>COUNTIFS(Dosen!D:D,B9,Dosen!C:C,"Aktif",Dosen!AX:AX,"L")</f>
        <v>0</v>
      </c>
      <c r="S9" s="48">
        <f>COUNTIFS(Dosen!D:D,B9,Dosen!C:C,"Aktif",Dosen!AX:AX,"P")</f>
        <v>0</v>
      </c>
      <c r="T9" s="53">
        <f>COUNTIFS(Dosen!D:D,B9,Dosen!C:C,"Aktif",Dosen!H:H,T$2)</f>
        <v>7</v>
      </c>
      <c r="U9" s="53">
        <f>COUNTIFS(Dosen!D:D,B9,Dosen!C:C,"Aktif",Dosen!H:H,U$2)</f>
        <v>0</v>
      </c>
      <c r="V9" s="54">
        <f>COUNTIFS(Dosen!D:D,B9,Dosen!C:C,"Aktif",Dosen!H:H,V$2)</f>
        <v>1</v>
      </c>
      <c r="W9" s="53">
        <f>COUNTIFS(Dosen!D:D,B9,Dosen!H:H,W$2,Dosen!C:C,"Aktif")</f>
        <v>0</v>
      </c>
      <c r="Y9" s="454"/>
      <c r="Z9" s="329"/>
      <c r="AA9" s="170" t="s">
        <v>2131</v>
      </c>
      <c r="AB9" s="143">
        <f>COUNTIFS('KK &amp; COE'!M:M,'Reporting 1'!AA9)</f>
        <v>10</v>
      </c>
    </row>
    <row r="10" spans="1:32" ht="15">
      <c r="A10" s="21">
        <v>8</v>
      </c>
      <c r="B10" s="11" t="s">
        <v>475</v>
      </c>
      <c r="C10" s="57">
        <f>COUNTIFS(Dosen!D:D,B10,Dosen!C:C,"Aktif")</f>
        <v>10</v>
      </c>
      <c r="D10" s="36">
        <f>COUNTIFS(Dosen!D:D,B10,Dosen!C:C,"Aktif",Dosen!AH:AH,"S2")</f>
        <v>6</v>
      </c>
      <c r="E10" s="36">
        <f>COUNTIFS(Dosen!D:D,B10,Dosen!C:C,"Aktif",Dosen!AH:AH,"S3")</f>
        <v>4</v>
      </c>
      <c r="F10" s="40">
        <f>COUNTIFS(Dosen!D:D,B10,Dosen!C:C,"Aktif",Dosen!AI:AI,"Ya")</f>
        <v>2</v>
      </c>
      <c r="G10" s="41">
        <f>COUNTIFS(Dosen!D:D,B10,Dosen!C:C,"Aktif",Dosen!AK:AK,"Ya")</f>
        <v>2</v>
      </c>
      <c r="H10" s="40">
        <f>COUNTIFS(Dosen!D:D,B10,Dosen!C:C,"Aktif",Dosen!AK:AK,"Tidak")</f>
        <v>0</v>
      </c>
      <c r="I10" s="135">
        <f t="shared" si="0"/>
        <v>0.2</v>
      </c>
      <c r="J10" s="43">
        <f>COUNTIFS(Dosen!$D:$D,$B10,Dosen!$C:$C,"Aktif",Dosen!$L:$L,J$2)</f>
        <v>2</v>
      </c>
      <c r="K10" s="43">
        <f>COUNTIFS(Dosen!$D:$D,$B10,Dosen!$C:$C,"Aktif",Dosen!$L:$L,K$2)</f>
        <v>4</v>
      </c>
      <c r="L10" s="43">
        <f>COUNTIFS(Dosen!$D:$D,$B10,Dosen!$C:$C,"Aktif",Dosen!$L:$L,L$2)</f>
        <v>3</v>
      </c>
      <c r="M10" s="43">
        <f>COUNTIFS(Dosen!$D:$D,$B10,Dosen!$C:$C,"Aktif",Dosen!$L:$L,M$2)</f>
        <v>1</v>
      </c>
      <c r="N10" s="43">
        <f>COUNTIFS(Dosen!$D:$D,$B10,Dosen!$C:$C,"Aktif",Dosen!$L:$L,N$2)</f>
        <v>0</v>
      </c>
      <c r="O10" s="163">
        <f t="shared" si="1"/>
        <v>0.4</v>
      </c>
      <c r="P10" s="163">
        <f t="shared" si="2"/>
        <v>0.8</v>
      </c>
      <c r="Q10" s="45">
        <f>COUNTIFS(Dosen!D:D,B10,Dosen!C:C,"Aktif",Dosen!Z:Z,"Punya")</f>
        <v>5</v>
      </c>
      <c r="R10" s="47">
        <f>COUNTIFS(Dosen!D:D,B10,Dosen!C:C,"Aktif",Dosen!AX:AX,"L")</f>
        <v>0</v>
      </c>
      <c r="S10" s="48">
        <f>COUNTIFS(Dosen!D:D,B10,Dosen!C:C,"Aktif",Dosen!AX:AX,"P")</f>
        <v>0</v>
      </c>
      <c r="T10" s="53">
        <f>COUNTIFS(Dosen!D:D,B10,Dosen!C:C,"Aktif",Dosen!H:H,T$2)</f>
        <v>7</v>
      </c>
      <c r="U10" s="53">
        <f>COUNTIFS(Dosen!D:D,B10,Dosen!C:C,"Aktif",Dosen!H:H,U$2)</f>
        <v>0</v>
      </c>
      <c r="V10" s="54">
        <f>COUNTIFS(Dosen!D:D,B10,Dosen!C:C,"Aktif",Dosen!H:H,V$2)</f>
        <v>3</v>
      </c>
      <c r="W10" s="53">
        <f>COUNTIFS(Dosen!D:D,B10,Dosen!H:H,W$2,Dosen!C:C,"Aktif")</f>
        <v>0</v>
      </c>
      <c r="X10" s="19" t="s">
        <v>2127</v>
      </c>
      <c r="Y10" s="455" t="s">
        <v>872</v>
      </c>
      <c r="Z10" s="327">
        <f>COUNTIFS(Dosen!C:C,"Aktif",Dosen!CE:CE,'Reporting 1'!Y10)</f>
        <v>22</v>
      </c>
      <c r="AA10" s="143" t="s">
        <v>2132</v>
      </c>
      <c r="AB10" s="143">
        <f>COUNTIFS('KK &amp; COE'!M:M,'Reporting 1'!AA10)</f>
        <v>2</v>
      </c>
    </row>
    <row r="11" spans="1:32" ht="15">
      <c r="A11" s="21">
        <v>9</v>
      </c>
      <c r="B11" s="11" t="s">
        <v>235</v>
      </c>
      <c r="C11" s="57">
        <f>COUNTIFS(Dosen!D:D,B11,Dosen!C:C,"Aktif")</f>
        <v>22</v>
      </c>
      <c r="D11" s="36">
        <f>COUNTIFS(Dosen!D:D,B11,Dosen!C:C,"Aktif",Dosen!AH:AH,"S2")</f>
        <v>19</v>
      </c>
      <c r="E11" s="36">
        <f>COUNTIFS(Dosen!D:D,B11,Dosen!C:C,"Aktif",Dosen!AH:AH,"S3")</f>
        <v>3</v>
      </c>
      <c r="F11" s="40">
        <f>COUNTIFS(Dosen!D:D,B11,Dosen!C:C,"Aktif",Dosen!AI:AI,"Ya")</f>
        <v>9</v>
      </c>
      <c r="G11" s="41">
        <f>COUNTIFS(Dosen!D:D,B11,Dosen!C:C,"Aktif",Dosen!AK:AK,"Ya")</f>
        <v>6</v>
      </c>
      <c r="H11" s="40">
        <f>COUNTIFS(Dosen!D:D,B11,Dosen!C:C,"Aktif",Dosen!AK:AK,"Tidak")</f>
        <v>3</v>
      </c>
      <c r="I11" s="135">
        <f t="shared" si="0"/>
        <v>0.27272727272727271</v>
      </c>
      <c r="J11" s="43">
        <f>COUNTIFS(Dosen!$D:$D,$B11,Dosen!$C:$C,"Aktif",Dosen!$L:$L,J$2)</f>
        <v>3</v>
      </c>
      <c r="K11" s="43">
        <f>COUNTIFS(Dosen!$D:$D,$B11,Dosen!$C:$C,"Aktif",Dosen!$L:$L,K$2)</f>
        <v>17</v>
      </c>
      <c r="L11" s="43">
        <f>COUNTIFS(Dosen!$D:$D,$B11,Dosen!$C:$C,"Aktif",Dosen!$L:$L,L$2)</f>
        <v>2</v>
      </c>
      <c r="M11" s="43">
        <f>COUNTIFS(Dosen!$D:$D,$B11,Dosen!$C:$C,"Aktif",Dosen!$L:$L,M$2)</f>
        <v>0</v>
      </c>
      <c r="N11" s="43">
        <f>COUNTIFS(Dosen!$D:$D,$B11,Dosen!$C:$C,"Aktif",Dosen!$L:$L,N$2)</f>
        <v>0</v>
      </c>
      <c r="O11" s="163">
        <f t="shared" si="1"/>
        <v>9.0909090909090912E-2</v>
      </c>
      <c r="P11" s="163">
        <f t="shared" si="2"/>
        <v>0.86363636363636365</v>
      </c>
      <c r="Q11" s="45">
        <f>COUNTIFS(Dosen!D:D,B11,Dosen!C:C,"Aktif",Dosen!Z:Z,"Punya")</f>
        <v>6</v>
      </c>
      <c r="R11" s="47">
        <f>COUNTIFS(Dosen!D:D,B11,Dosen!C:C,"Aktif",Dosen!AX:AX,"L")</f>
        <v>0</v>
      </c>
      <c r="S11" s="48">
        <f>COUNTIFS(Dosen!D:D,B11,Dosen!C:C,"Aktif",Dosen!AX:AX,"P")</f>
        <v>0</v>
      </c>
      <c r="T11" s="53">
        <f>COUNTIFS(Dosen!D:D,B11,Dosen!C:C,"Aktif",Dosen!H:H,T$2)</f>
        <v>7</v>
      </c>
      <c r="U11" s="53">
        <f>COUNTIFS(Dosen!D:D,B11,Dosen!C:C,"Aktif",Dosen!H:H,U$2)</f>
        <v>0</v>
      </c>
      <c r="V11" s="54">
        <f>COUNTIFS(Dosen!D:D,B11,Dosen!C:C,"Aktif",Dosen!H:H,V$2)</f>
        <v>14</v>
      </c>
      <c r="W11" s="53">
        <f>COUNTIFS(Dosen!D:D,B11,Dosen!H:H,W$2,Dosen!C:C,"Aktif")</f>
        <v>1</v>
      </c>
      <c r="Y11" s="456"/>
      <c r="Z11" s="328"/>
      <c r="AA11" s="143" t="s">
        <v>2133</v>
      </c>
      <c r="AB11" s="143">
        <f>COUNTIFS('KK &amp; COE'!M:M,'Reporting 1'!AA11)</f>
        <v>4</v>
      </c>
    </row>
    <row r="12" spans="1:32" ht="15">
      <c r="A12" s="21">
        <v>10</v>
      </c>
      <c r="B12" s="11" t="s">
        <v>370</v>
      </c>
      <c r="C12" s="57">
        <f>COUNTIFS(Dosen!D:D,B12,Dosen!C:C,"Aktif")</f>
        <v>10</v>
      </c>
      <c r="D12" s="36">
        <f>COUNTIFS(Dosen!D:D,B12,Dosen!C:C,"Aktif",Dosen!AH:AH,"S2")</f>
        <v>9</v>
      </c>
      <c r="E12" s="36">
        <f>COUNTIFS(Dosen!D:D,B12,Dosen!C:C,"Aktif",Dosen!AH:AH,"S3")</f>
        <v>1</v>
      </c>
      <c r="F12" s="40">
        <f>COUNTIFS(Dosen!D:D,B12,Dosen!C:C,"Aktif",Dosen!AI:AI,"Ya")</f>
        <v>4</v>
      </c>
      <c r="G12" s="41">
        <f>COUNTIFS(Dosen!D:D,B12,Dosen!C:C,"Aktif",Dosen!AK:AK,"Ya")</f>
        <v>4</v>
      </c>
      <c r="H12" s="40">
        <f>COUNTIFS(Dosen!D:D,B12,Dosen!C:C,"Aktif",Dosen!AK:AK,"Tidak")</f>
        <v>0</v>
      </c>
      <c r="I12" s="135">
        <f t="shared" si="0"/>
        <v>0.4</v>
      </c>
      <c r="J12" s="43">
        <f>COUNTIFS(Dosen!$D:$D,$B12,Dosen!$C:$C,"Aktif",Dosen!$L:$L,J$2)</f>
        <v>2</v>
      </c>
      <c r="K12" s="43">
        <f>COUNTIFS(Dosen!$D:$D,$B12,Dosen!$C:$C,"Aktif",Dosen!$L:$L,K$2)</f>
        <v>4</v>
      </c>
      <c r="L12" s="43">
        <f>COUNTIFS(Dosen!$D:$D,$B12,Dosen!$C:$C,"Aktif",Dosen!$L:$L,L$2)</f>
        <v>4</v>
      </c>
      <c r="M12" s="43">
        <f>COUNTIFS(Dosen!$D:$D,$B12,Dosen!$C:$C,"Aktif",Dosen!$L:$L,M$2)</f>
        <v>0</v>
      </c>
      <c r="N12" s="43">
        <f>COUNTIFS(Dosen!$D:$D,$B12,Dosen!$C:$C,"Aktif",Dosen!$L:$L,N$2)</f>
        <v>0</v>
      </c>
      <c r="O12" s="163">
        <f t="shared" si="1"/>
        <v>0.4</v>
      </c>
      <c r="P12" s="163">
        <f t="shared" si="2"/>
        <v>0.8</v>
      </c>
      <c r="Q12" s="45">
        <f>COUNTIFS(Dosen!D:D,B12,Dosen!C:C,"Aktif",Dosen!Z:Z,"Punya")</f>
        <v>5</v>
      </c>
      <c r="R12" s="47">
        <f>COUNTIFS(Dosen!D:D,B12,Dosen!C:C,"Aktif",Dosen!AX:AX,"L")</f>
        <v>0</v>
      </c>
      <c r="S12" s="48">
        <f>COUNTIFS(Dosen!D:D,B12,Dosen!C:C,"Aktif",Dosen!AX:AX,"P")</f>
        <v>0</v>
      </c>
      <c r="T12" s="53">
        <f>COUNTIFS(Dosen!D:D,B12,Dosen!C:C,"Aktif",Dosen!H:H,T$2)</f>
        <v>6</v>
      </c>
      <c r="U12" s="53">
        <f>COUNTIFS(Dosen!D:D,B12,Dosen!C:C,"Aktif",Dosen!H:H,U$2)</f>
        <v>0</v>
      </c>
      <c r="V12" s="54">
        <f>COUNTIFS(Dosen!D:D,B12,Dosen!C:C,"Aktif",Dosen!H:H,V$2)</f>
        <v>4</v>
      </c>
      <c r="W12" s="53">
        <f>COUNTIFS(Dosen!D:D,B12,Dosen!H:H,W$2,Dosen!C:C,"Aktif")</f>
        <v>0</v>
      </c>
      <c r="Y12" s="456"/>
      <c r="Z12" s="328"/>
      <c r="AA12" s="143" t="s">
        <v>2134</v>
      </c>
      <c r="AB12" s="143">
        <f>COUNTIFS('KK &amp; COE'!M:M,'Reporting 1'!AA12)</f>
        <v>6</v>
      </c>
    </row>
    <row r="13" spans="1:32" ht="15">
      <c r="A13" s="21">
        <v>11</v>
      </c>
      <c r="B13" s="11" t="s">
        <v>330</v>
      </c>
      <c r="C13" s="57">
        <f>COUNTIFS(Dosen!D:D,B13,Dosen!C:C,"Aktif")</f>
        <v>8</v>
      </c>
      <c r="D13" s="36">
        <f>COUNTIFS(Dosen!D:D,B13,Dosen!C:C,"Aktif",Dosen!AH:AH,"S2")</f>
        <v>4</v>
      </c>
      <c r="E13" s="36">
        <f>COUNTIFS(Dosen!D:D,B13,Dosen!C:C,"Aktif",Dosen!AH:AH,"S3")</f>
        <v>4</v>
      </c>
      <c r="F13" s="40">
        <f>COUNTIFS(Dosen!D:D,B13,Dosen!C:C,"Aktif",Dosen!AI:AI,"Ya")</f>
        <v>3</v>
      </c>
      <c r="G13" s="41">
        <f>COUNTIFS(Dosen!D:D,B13,Dosen!C:C,"Aktif",Dosen!AK:AK,"Ya")</f>
        <v>3</v>
      </c>
      <c r="H13" s="40">
        <f>COUNTIFS(Dosen!D:D,B13,Dosen!C:C,"Aktif",Dosen!AK:AK,"Tidak")</f>
        <v>0</v>
      </c>
      <c r="I13" s="135">
        <f t="shared" si="0"/>
        <v>0.375</v>
      </c>
      <c r="J13" s="43">
        <f>COUNTIFS(Dosen!$D:$D,$B13,Dosen!$C:$C,"Aktif",Dosen!$L:$L,J$2)</f>
        <v>1</v>
      </c>
      <c r="K13" s="43">
        <f>COUNTIFS(Dosen!$D:$D,$B13,Dosen!$C:$C,"Aktif",Dosen!$L:$L,K$2)</f>
        <v>3</v>
      </c>
      <c r="L13" s="43">
        <f>COUNTIFS(Dosen!$D:$D,$B13,Dosen!$C:$C,"Aktif",Dosen!$L:$L,L$2)</f>
        <v>4</v>
      </c>
      <c r="M13" s="43">
        <f>COUNTIFS(Dosen!$D:$D,$B13,Dosen!$C:$C,"Aktif",Dosen!$L:$L,M$2)</f>
        <v>0</v>
      </c>
      <c r="N13" s="43">
        <f>COUNTIFS(Dosen!$D:$D,$B13,Dosen!$C:$C,"Aktif",Dosen!$L:$L,N$2)</f>
        <v>0</v>
      </c>
      <c r="O13" s="163">
        <f t="shared" si="1"/>
        <v>0.5</v>
      </c>
      <c r="P13" s="163">
        <f t="shared" si="2"/>
        <v>0.875</v>
      </c>
      <c r="Q13" s="45">
        <f>COUNTIFS(Dosen!D:D,B13,Dosen!C:C,"Aktif",Dosen!Z:Z,"Punya")</f>
        <v>6</v>
      </c>
      <c r="R13" s="47">
        <f>COUNTIFS(Dosen!D:D,B13,Dosen!C:C,"Aktif",Dosen!AX:AX,"L")</f>
        <v>0</v>
      </c>
      <c r="S13" s="48">
        <f>COUNTIFS(Dosen!D:D,B13,Dosen!C:C,"Aktif",Dosen!AX:AX,"P")</f>
        <v>0</v>
      </c>
      <c r="T13" s="53">
        <f>COUNTIFS(Dosen!D:D,B13,Dosen!C:C,"Aktif",Dosen!H:H,T$2)</f>
        <v>6</v>
      </c>
      <c r="U13" s="53">
        <f>COUNTIFS(Dosen!D:D,B13,Dosen!C:C,"Aktif",Dosen!H:H,U$2)</f>
        <v>0</v>
      </c>
      <c r="V13" s="54">
        <f>COUNTIFS(Dosen!D:D,B13,Dosen!C:C,"Aktif",Dosen!H:H,V$2)</f>
        <v>2</v>
      </c>
      <c r="W13" s="53">
        <f>COUNTIFS(Dosen!D:D,B13,Dosen!H:H,W$2,Dosen!C:C,"Aktif")</f>
        <v>0</v>
      </c>
      <c r="Y13" s="456"/>
      <c r="Z13" s="328"/>
      <c r="AA13" s="143" t="s">
        <v>2135</v>
      </c>
      <c r="AB13" s="143">
        <f>COUNTIFS('KK &amp; COE'!M:M,'Reporting 1'!AA13)</f>
        <v>3</v>
      </c>
    </row>
    <row r="14" spans="1:32" ht="15">
      <c r="A14" s="463" t="s">
        <v>2018</v>
      </c>
      <c r="B14" s="463"/>
      <c r="C14" s="58">
        <f>SUM(C3:C13)</f>
        <v>120</v>
      </c>
      <c r="D14" s="37">
        <f t="shared" ref="D14:H14" si="3">SUM(D3:D13)</f>
        <v>95</v>
      </c>
      <c r="E14" s="37">
        <f t="shared" si="3"/>
        <v>25</v>
      </c>
      <c r="F14" s="42">
        <f t="shared" si="3"/>
        <v>36</v>
      </c>
      <c r="G14" s="42">
        <f t="shared" si="3"/>
        <v>25</v>
      </c>
      <c r="H14" s="42">
        <f t="shared" si="3"/>
        <v>11</v>
      </c>
      <c r="I14" s="135">
        <f t="shared" si="0"/>
        <v>0.20833333333333334</v>
      </c>
      <c r="J14" s="44">
        <f t="shared" ref="J14" si="4">SUM(J3:J13)</f>
        <v>27</v>
      </c>
      <c r="K14" s="44">
        <f t="shared" ref="K14" si="5">SUM(K3:K13)</f>
        <v>56</v>
      </c>
      <c r="L14" s="44">
        <f t="shared" ref="L14" si="6">SUM(L3:L13)</f>
        <v>35</v>
      </c>
      <c r="M14" s="44">
        <f>SUM(M3:M13)</f>
        <v>2</v>
      </c>
      <c r="N14" s="44">
        <f t="shared" ref="N14" si="7">SUM(N3:N13)</f>
        <v>0</v>
      </c>
      <c r="O14" s="163">
        <f t="shared" si="1"/>
        <v>0.30833333333333335</v>
      </c>
      <c r="P14" s="163">
        <f t="shared" si="2"/>
        <v>0.77500000000000002</v>
      </c>
      <c r="Q14" s="46">
        <f>SUM(Q3:Q13)</f>
        <v>46</v>
      </c>
      <c r="R14" s="49">
        <f t="shared" ref="R14:S14" si="8">SUM(R3:R13)</f>
        <v>0</v>
      </c>
      <c r="S14" s="50">
        <f t="shared" si="8"/>
        <v>0</v>
      </c>
      <c r="T14" s="55">
        <f t="shared" ref="T14:U14" si="9">SUM(T3:T13)</f>
        <v>60</v>
      </c>
      <c r="U14" s="55">
        <f t="shared" si="9"/>
        <v>0</v>
      </c>
      <c r="V14" s="56">
        <f t="shared" ref="V14" si="10">SUM(V3:V13)</f>
        <v>58</v>
      </c>
      <c r="W14" s="55">
        <f t="shared" ref="W14" si="11">SUM(W3:W13)</f>
        <v>2</v>
      </c>
      <c r="Y14" s="457"/>
      <c r="Z14" s="329"/>
      <c r="AA14" s="143" t="s">
        <v>2136</v>
      </c>
      <c r="AB14" s="143">
        <f>COUNTIFS('KK &amp; COE'!M:M,'Reporting 1'!AA14)</f>
        <v>7</v>
      </c>
    </row>
    <row r="15" spans="1:32" ht="15">
      <c r="A15" s="463" t="s">
        <v>2137</v>
      </c>
      <c r="B15" s="463"/>
      <c r="C15" s="463"/>
      <c r="D15" s="22">
        <f>D14/C14</f>
        <v>0.79166666666666663</v>
      </c>
      <c r="E15" s="22">
        <f>E14/C14</f>
        <v>0.20833333333333334</v>
      </c>
      <c r="F15" s="22">
        <f>F14/C14</f>
        <v>0.3</v>
      </c>
      <c r="G15" s="24">
        <f>G14/C14</f>
        <v>0.20833333333333334</v>
      </c>
      <c r="H15" s="23"/>
      <c r="I15" s="23"/>
      <c r="J15" s="28">
        <f t="shared" ref="J15:W15" si="12">J14/$C$14</f>
        <v>0.22500000000000001</v>
      </c>
      <c r="K15" s="28">
        <f t="shared" si="12"/>
        <v>0.46666666666666667</v>
      </c>
      <c r="L15" s="28">
        <f t="shared" si="12"/>
        <v>0.29166666666666669</v>
      </c>
      <c r="M15" s="28">
        <f t="shared" si="12"/>
        <v>1.6666666666666666E-2</v>
      </c>
      <c r="N15" s="28">
        <f t="shared" si="12"/>
        <v>0</v>
      </c>
      <c r="O15" s="28"/>
      <c r="P15" s="28"/>
      <c r="Q15" s="28">
        <f t="shared" si="12"/>
        <v>0.38333333333333336</v>
      </c>
      <c r="R15" s="28">
        <f t="shared" si="12"/>
        <v>0</v>
      </c>
      <c r="S15" s="29">
        <f t="shared" si="12"/>
        <v>0</v>
      </c>
      <c r="T15" s="28">
        <f t="shared" si="12"/>
        <v>0.5</v>
      </c>
      <c r="U15" s="28">
        <f t="shared" si="12"/>
        <v>0</v>
      </c>
      <c r="V15" s="28">
        <f t="shared" si="12"/>
        <v>0.48333333333333334</v>
      </c>
      <c r="W15" s="28">
        <f t="shared" si="12"/>
        <v>1.6666666666666666E-2</v>
      </c>
      <c r="Y15" s="143"/>
      <c r="Z15" s="143">
        <f>SUM(Z2:Z10)</f>
        <v>109</v>
      </c>
      <c r="AA15" s="143"/>
      <c r="AB15" s="143">
        <f>SUM(AB2:AB14)</f>
        <v>99</v>
      </c>
    </row>
    <row r="16" spans="1:32" ht="14.1">
      <c r="A16" s="463"/>
      <c r="B16" s="463"/>
      <c r="C16" s="463"/>
      <c r="D16" s="463"/>
      <c r="E16" s="26"/>
      <c r="F16" s="22"/>
      <c r="G16" s="24"/>
      <c r="H16" s="23"/>
      <c r="I16" s="23"/>
      <c r="J16" s="25"/>
      <c r="K16" s="25"/>
      <c r="L16" s="465">
        <f>(L14+M14+N14)/C14</f>
        <v>0.30833333333333335</v>
      </c>
      <c r="M16" s="465"/>
      <c r="N16" s="465"/>
      <c r="O16" s="323"/>
      <c r="P16" s="323"/>
      <c r="Q16" s="26"/>
      <c r="R16" s="26"/>
      <c r="S16" s="26"/>
    </row>
    <row r="18" spans="2:26" ht="13.5" customHeight="1">
      <c r="I18" s="372" t="s">
        <v>2138</v>
      </c>
      <c r="L18" s="20">
        <v>36</v>
      </c>
      <c r="M18" s="20">
        <v>2</v>
      </c>
      <c r="N18" s="20">
        <f>SUM(L18:M18)</f>
        <v>38</v>
      </c>
      <c r="O18" s="373" cm="1">
        <f t="array" ref="O18">SUM(L18:M18/SUM(J14:N14))</f>
        <v>0.31666666666666665</v>
      </c>
      <c r="X18" s="26" t="s">
        <v>841</v>
      </c>
      <c r="Y18" s="26" t="s">
        <v>841</v>
      </c>
      <c r="Z18" s="26" t="s">
        <v>2109</v>
      </c>
    </row>
    <row r="19" spans="2:26" ht="13.5" customHeight="1">
      <c r="L19" s="20" t="s">
        <v>2139</v>
      </c>
      <c r="X19" s="19" t="s">
        <v>2140</v>
      </c>
      <c r="Y19" s="143" t="s">
        <v>871</v>
      </c>
      <c r="Z19" s="26">
        <f>COUNTIFS(Dosen!C:C,"Aktif",Dosen!CD:CD,'Reporting 1'!Y19)</f>
        <v>34</v>
      </c>
    </row>
    <row r="20" spans="2:26" ht="13.5" customHeight="1">
      <c r="M20" s="20" t="s">
        <v>918</v>
      </c>
      <c r="N20" s="20">
        <f>J14</f>
        <v>27</v>
      </c>
      <c r="X20" s="19" t="s">
        <v>2141</v>
      </c>
      <c r="Y20" s="143" t="s">
        <v>862</v>
      </c>
      <c r="Z20" s="26">
        <f>COUNTIFS(Dosen!C:C,"Aktif",Dosen!CD:CD,'Reporting 1'!Y20)</f>
        <v>41</v>
      </c>
    </row>
    <row r="21" spans="2:26" ht="13.5" customHeight="1">
      <c r="M21" s="20" t="s">
        <v>2142</v>
      </c>
      <c r="N21" s="20">
        <f>K14</f>
        <v>56</v>
      </c>
      <c r="X21" s="19" t="s">
        <v>2143</v>
      </c>
      <c r="Y21" s="143" t="s">
        <v>882</v>
      </c>
      <c r="Z21" s="26">
        <f>COUNTIFS(Dosen!C:C,"Aktif",Dosen!CD:CD,'Reporting 1'!Y21)</f>
        <v>33</v>
      </c>
    </row>
    <row r="22" spans="2:26" ht="15">
      <c r="B22" s="20" t="s">
        <v>1926</v>
      </c>
      <c r="C22">
        <f>COUNTIFS('Data Pegawai'!D:D,"TPA",'Data Pegawai'!C:C,"Aktif",'Data Pegawai'!E:E,B22)</f>
        <v>8</v>
      </c>
      <c r="M22" s="20" t="s">
        <v>2144</v>
      </c>
      <c r="N22" s="20">
        <f>L14</f>
        <v>35</v>
      </c>
      <c r="Y22"/>
      <c r="Z22" s="19">
        <f>SUM(Z19:Z21)</f>
        <v>108</v>
      </c>
    </row>
    <row r="23" spans="2:26" ht="13.5" customHeight="1">
      <c r="B23" s="20" t="s">
        <v>1605</v>
      </c>
      <c r="C23">
        <f>COUNTIFS('Data Pegawai'!D:D,"TPA",'Data Pegawai'!C:C,"Aktif",'Data Pegawai'!E:E,B23)</f>
        <v>10</v>
      </c>
      <c r="M23" s="20" t="s">
        <v>2145</v>
      </c>
      <c r="N23" s="20">
        <f>M14</f>
        <v>2</v>
      </c>
      <c r="Y23"/>
    </row>
    <row r="24" spans="2:26" ht="13.5" customHeight="1">
      <c r="B24" s="20" t="s">
        <v>1743</v>
      </c>
      <c r="C24">
        <f>COUNTIFS('Data Pegawai'!D:D,"TPA",'Data Pegawai'!C:C,"Aktif",'Data Pegawai'!E:E,B24)</f>
        <v>1</v>
      </c>
      <c r="M24" s="20" t="s">
        <v>2146</v>
      </c>
      <c r="N24" s="20">
        <f>N14</f>
        <v>0</v>
      </c>
      <c r="Y24"/>
    </row>
    <row r="25" spans="2:26" ht="13.5" customHeight="1">
      <c r="B25" s="20" t="s">
        <v>1588</v>
      </c>
      <c r="C25">
        <f>COUNTIFS('Data Pegawai'!D:D,"TPA",'Data Pegawai'!C:C,"Aktif",'Data Pegawai'!E:E,B25)</f>
        <v>12</v>
      </c>
      <c r="Y25"/>
    </row>
    <row r="26" spans="2:26" ht="13.5" customHeight="1">
      <c r="B26" s="20" t="s">
        <v>1621</v>
      </c>
      <c r="C26">
        <f>COUNTIFS('Data Pegawai'!D:D,"TPA",'Data Pegawai'!C:C,"Aktif",'Data Pegawai'!E:E,B26)</f>
        <v>15</v>
      </c>
      <c r="Y26"/>
    </row>
    <row r="27" spans="2:26" ht="13.5" customHeight="1">
      <c r="B27" s="20" t="s">
        <v>1634</v>
      </c>
      <c r="C27">
        <f>COUNTIFS('Data Pegawai'!D:D,"TPA",'Data Pegawai'!C:C,"Aktif",'Data Pegawai'!E:E,B27)</f>
        <v>1</v>
      </c>
      <c r="Y27"/>
    </row>
    <row r="28" spans="2:26" ht="13.5" customHeight="1">
      <c r="B28" s="20"/>
      <c r="C28"/>
    </row>
    <row r="30" spans="2:26" ht="13.5" customHeight="1">
      <c r="B30" s="20"/>
    </row>
    <row r="31" spans="2:26" ht="13.5" customHeight="1">
      <c r="B31" s="20"/>
    </row>
    <row r="32" spans="2:26" ht="13.5" customHeight="1">
      <c r="M32"/>
    </row>
    <row r="33" spans="13:13" ht="13.5" customHeight="1">
      <c r="M33"/>
    </row>
    <row r="34" spans="13:13" ht="13.5" customHeight="1">
      <c r="M34"/>
    </row>
    <row r="35" spans="13:13" ht="13.5" customHeight="1">
      <c r="M35"/>
    </row>
    <row r="36" spans="13:13" ht="13.5" customHeight="1">
      <c r="M36"/>
    </row>
    <row r="37" spans="13:13" ht="13.5" customHeight="1">
      <c r="M37"/>
    </row>
    <row r="38" spans="13:13" ht="13.5" customHeight="1">
      <c r="M38"/>
    </row>
    <row r="39" spans="13:13" ht="13.5" customHeight="1">
      <c r="M39"/>
    </row>
    <row r="40" spans="13:13" ht="13.5" customHeight="1">
      <c r="M40"/>
    </row>
    <row r="41" spans="13:13" ht="13.5" customHeight="1">
      <c r="M41"/>
    </row>
    <row r="42" spans="13:13" ht="13.5" customHeight="1">
      <c r="M42"/>
    </row>
    <row r="43" spans="13:13" ht="13.5" customHeight="1">
      <c r="M43"/>
    </row>
    <row r="44" spans="13:13" ht="13.5" customHeight="1">
      <c r="M44"/>
    </row>
    <row r="45" spans="13:13" ht="13.5" customHeight="1">
      <c r="M45"/>
    </row>
    <row r="46" spans="13:13" ht="13.5" customHeight="1">
      <c r="M46"/>
    </row>
    <row r="47" spans="13:13" ht="13.5" customHeight="1">
      <c r="M47"/>
    </row>
    <row r="48" spans="13:13" ht="13.5" customHeight="1">
      <c r="M48"/>
    </row>
    <row r="49" spans="13:13" ht="13.5" customHeight="1">
      <c r="M49"/>
    </row>
    <row r="50" spans="13:13" ht="13.5" customHeight="1">
      <c r="M50"/>
    </row>
    <row r="51" spans="13:13" ht="13.5" customHeight="1">
      <c r="M51"/>
    </row>
    <row r="52" spans="13:13" ht="13.5" customHeight="1">
      <c r="M52"/>
    </row>
    <row r="53" spans="13:13" ht="13.5" customHeight="1">
      <c r="M53"/>
    </row>
    <row r="54" spans="13:13" ht="13.5" customHeight="1">
      <c r="M54"/>
    </row>
    <row r="55" spans="13:13" ht="13.5" customHeight="1">
      <c r="M55"/>
    </row>
    <row r="56" spans="13:13" ht="13.5" customHeight="1">
      <c r="M56"/>
    </row>
    <row r="57" spans="13:13" ht="13.5" customHeight="1">
      <c r="M57"/>
    </row>
    <row r="58" spans="13:13" ht="13.5" customHeight="1">
      <c r="M58"/>
    </row>
    <row r="59" spans="13:13" ht="13.5" customHeight="1">
      <c r="M59"/>
    </row>
    <row r="60" spans="13:13" ht="13.5" customHeight="1">
      <c r="M60"/>
    </row>
    <row r="61" spans="13:13" ht="13.5" customHeight="1">
      <c r="M61"/>
    </row>
    <row r="62" spans="13:13" ht="13.5" customHeight="1">
      <c r="M62"/>
    </row>
    <row r="63" spans="13:13" ht="13.5" customHeight="1">
      <c r="M63"/>
    </row>
    <row r="64" spans="13:13" ht="13.5" customHeight="1">
      <c r="M64"/>
    </row>
    <row r="65" spans="13:13" ht="13.5" customHeight="1">
      <c r="M65"/>
    </row>
    <row r="66" spans="13:13" ht="13.5" customHeight="1">
      <c r="M66"/>
    </row>
    <row r="67" spans="13:13" ht="13.5" customHeight="1">
      <c r="M67"/>
    </row>
    <row r="68" spans="13:13" ht="13.5" customHeight="1">
      <c r="M68"/>
    </row>
    <row r="69" spans="13:13" ht="13.5" customHeight="1">
      <c r="M69"/>
    </row>
    <row r="70" spans="13:13" ht="13.5" customHeight="1">
      <c r="M70"/>
    </row>
    <row r="71" spans="13:13" ht="13.5" customHeight="1">
      <c r="M71"/>
    </row>
    <row r="72" spans="13:13" ht="13.5" customHeight="1">
      <c r="M72"/>
    </row>
    <row r="73" spans="13:13" ht="13.5" customHeight="1">
      <c r="M73"/>
    </row>
    <row r="74" spans="13:13" ht="13.5" customHeight="1">
      <c r="M74"/>
    </row>
    <row r="75" spans="13:13" ht="13.5" customHeight="1">
      <c r="M75"/>
    </row>
    <row r="76" spans="13:13" ht="13.5" customHeight="1">
      <c r="M76"/>
    </row>
    <row r="77" spans="13:13" ht="13.5" customHeight="1">
      <c r="M77"/>
    </row>
    <row r="78" spans="13:13" ht="13.5" customHeight="1">
      <c r="M78"/>
    </row>
    <row r="79" spans="13:13" ht="13.5" customHeight="1">
      <c r="M79"/>
    </row>
    <row r="80" spans="13:13" ht="13.5" customHeight="1">
      <c r="M80"/>
    </row>
    <row r="81" spans="13:13" ht="13.5" customHeight="1">
      <c r="M81"/>
    </row>
    <row r="82" spans="13:13" ht="13.5" customHeight="1">
      <c r="M82"/>
    </row>
    <row r="83" spans="13:13" ht="13.5" customHeight="1">
      <c r="M83"/>
    </row>
    <row r="84" spans="13:13" ht="13.5" customHeight="1">
      <c r="M84"/>
    </row>
    <row r="85" spans="13:13" ht="13.5" customHeight="1">
      <c r="M85"/>
    </row>
    <row r="86" spans="13:13" ht="13.5" customHeight="1">
      <c r="M86"/>
    </row>
    <row r="87" spans="13:13" ht="13.5" customHeight="1">
      <c r="M87"/>
    </row>
    <row r="88" spans="13:13" ht="13.5" customHeight="1">
      <c r="M88"/>
    </row>
    <row r="89" spans="13:13" ht="13.5" customHeight="1">
      <c r="M89"/>
    </row>
    <row r="90" spans="13:13" ht="13.5" customHeight="1">
      <c r="M90"/>
    </row>
    <row r="91" spans="13:13" ht="13.5" customHeight="1">
      <c r="M91"/>
    </row>
    <row r="92" spans="13:13" ht="13.5" customHeight="1">
      <c r="M92"/>
    </row>
  </sheetData>
  <mergeCells count="16">
    <mergeCell ref="A15:C15"/>
    <mergeCell ref="A16:D16"/>
    <mergeCell ref="J1:N1"/>
    <mergeCell ref="L16:N16"/>
    <mergeCell ref="A1:A2"/>
    <mergeCell ref="B1:B2"/>
    <mergeCell ref="C1:C2"/>
    <mergeCell ref="D1:E1"/>
    <mergeCell ref="A14:B14"/>
    <mergeCell ref="F1:I1"/>
    <mergeCell ref="Y2:Y6"/>
    <mergeCell ref="Y7:Y9"/>
    <mergeCell ref="Y10:Y14"/>
    <mergeCell ref="Q1:Q2"/>
    <mergeCell ref="R1:S1"/>
    <mergeCell ref="T1:W1"/>
  </mergeCells>
  <conditionalFormatting sqref="I3:I14">
    <cfRule type="cellIs" dxfId="10" priority="3" operator="greaterThan">
      <formula>30%</formula>
    </cfRule>
  </conditionalFormatting>
  <conditionalFormatting sqref="O3:O14">
    <cfRule type="cellIs" dxfId="9" priority="1" operator="lessThanOrEqual">
      <formula>60%</formula>
    </cfRule>
  </conditionalFormatting>
  <conditionalFormatting sqref="P3:P14">
    <cfRule type="cellIs" dxfId="8" priority="2" operator="lessThan">
      <formula>0.8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C3B4-B8F3-4920-8825-3476FB4C3CA3}">
  <dimension ref="A1:AC73"/>
  <sheetViews>
    <sheetView workbookViewId="0">
      <selection activeCell="A8" sqref="A8"/>
    </sheetView>
  </sheetViews>
  <sheetFormatPr defaultColWidth="13.28515625" defaultRowHeight="15"/>
  <cols>
    <col min="1" max="1" width="3.42578125" bestFit="1" customWidth="1"/>
    <col min="2" max="2" width="43.7109375" bestFit="1" customWidth="1"/>
    <col min="3" max="3" width="8" bestFit="1" customWidth="1"/>
    <col min="4" max="4" width="11" bestFit="1" customWidth="1"/>
    <col min="5" max="5" width="15.85546875" bestFit="1" customWidth="1"/>
    <col min="6" max="7" width="19.42578125" bestFit="1" customWidth="1"/>
    <col min="8" max="8" width="10.28515625" bestFit="1" customWidth="1"/>
    <col min="9" max="10" width="10.140625" bestFit="1" customWidth="1"/>
    <col min="11" max="11" width="5" bestFit="1" customWidth="1"/>
    <col min="12" max="18" width="3.42578125" bestFit="1" customWidth="1"/>
    <col min="19" max="19" width="3" bestFit="1" customWidth="1"/>
    <col min="27" max="27" width="19.42578125" bestFit="1" customWidth="1"/>
  </cols>
  <sheetData>
    <row r="1" spans="1:29">
      <c r="A1" s="475" t="s">
        <v>0</v>
      </c>
      <c r="B1" s="475" t="s">
        <v>1541</v>
      </c>
      <c r="C1" s="475" t="s">
        <v>2018</v>
      </c>
      <c r="D1" s="484" t="s">
        <v>2147</v>
      </c>
      <c r="E1" s="485"/>
      <c r="F1" s="485"/>
      <c r="G1" s="485"/>
      <c r="H1" s="485"/>
      <c r="I1" s="486"/>
      <c r="J1" s="325" t="s">
        <v>811</v>
      </c>
      <c r="K1" s="347"/>
      <c r="L1" s="326" t="s">
        <v>760</v>
      </c>
      <c r="M1" s="326"/>
      <c r="N1" s="326"/>
      <c r="O1" s="326"/>
      <c r="P1" s="326"/>
      <c r="Q1" s="326"/>
      <c r="R1" s="326"/>
      <c r="S1" s="326"/>
    </row>
    <row r="2" spans="1:29">
      <c r="A2" s="476"/>
      <c r="B2" s="476"/>
      <c r="C2" s="476"/>
      <c r="D2" s="30" t="s">
        <v>2115</v>
      </c>
      <c r="E2" s="30" t="s">
        <v>2117</v>
      </c>
      <c r="F2" s="30" t="s">
        <v>2116</v>
      </c>
      <c r="G2" s="30" t="s">
        <v>2118</v>
      </c>
      <c r="H2" s="27" t="s">
        <v>1925</v>
      </c>
      <c r="I2" s="30" t="s">
        <v>2148</v>
      </c>
      <c r="J2" s="34" t="s">
        <v>775</v>
      </c>
      <c r="K2" s="325" t="s">
        <v>1603</v>
      </c>
      <c r="L2" s="326" t="s">
        <v>1929</v>
      </c>
      <c r="M2" s="326" t="s">
        <v>1939</v>
      </c>
      <c r="N2" s="326" t="s">
        <v>2149</v>
      </c>
      <c r="O2" s="326" t="s">
        <v>1750</v>
      </c>
      <c r="P2" s="326" t="s">
        <v>1695</v>
      </c>
      <c r="Q2" s="326" t="s">
        <v>1599</v>
      </c>
      <c r="R2" s="326" t="s">
        <v>854</v>
      </c>
      <c r="S2" s="326" t="s">
        <v>879</v>
      </c>
      <c r="Z2" s="30" t="s">
        <v>2115</v>
      </c>
      <c r="AA2" s="30" t="s">
        <v>2116</v>
      </c>
      <c r="AB2" s="30" t="s">
        <v>2117</v>
      </c>
      <c r="AC2" s="30" t="s">
        <v>2118</v>
      </c>
    </row>
    <row r="3" spans="1:29">
      <c r="A3" s="8">
        <v>1</v>
      </c>
      <c r="B3" s="8" t="s">
        <v>21</v>
      </c>
      <c r="C3" s="8">
        <f>SUM(D3:I3)</f>
        <v>120</v>
      </c>
      <c r="D3" s="8">
        <f>'Reporting 1'!T14</f>
        <v>60</v>
      </c>
      <c r="E3" s="8">
        <f>'Reporting 1'!V14</f>
        <v>58</v>
      </c>
      <c r="F3" s="8">
        <f>'Reporting 1'!U14</f>
        <v>0</v>
      </c>
      <c r="G3" s="8">
        <f>'Reporting 1'!W14</f>
        <v>2</v>
      </c>
      <c r="H3" s="8">
        <f>COUNTIFS('Data Pegawai'!$J:$J,'Reporting 2'!H$2,'Data Pegawai'!$D:$D,'Reporting 2'!$B$3,'Data Pegawai'!$C:$C,"Aktif")</f>
        <v>0</v>
      </c>
      <c r="I3" s="8">
        <f>COUNTIFS('Data Pegawai'!$J:$J,'Reporting 2'!I$2,'Data Pegawai'!$D:$D,'Reporting 2'!$B$3,'Data Pegawai'!$C:$C,"Aktif")</f>
        <v>0</v>
      </c>
      <c r="J3" s="8">
        <f>COUNTIFS('Join TPA Dosen'!$D:$D,$B3,'Join TPA Dosen'!$C:$C,"Aktif",'Join TPA Dosen'!$F:$F,J$2)</f>
        <v>3</v>
      </c>
      <c r="K3" s="35">
        <f>COUNTIFS('Join TPA Dosen'!$D:$D,$B3,'Join TPA Dosen'!$C:$C,"Aktif",'Join TPA Dosen'!$F:$F,K$2)</f>
        <v>5</v>
      </c>
      <c r="L3" s="8">
        <f>COUNTIFS('Data Pegawai'!$C:$C,"Aktif",'Data Pegawai'!$M:$M,L$2,'Data Pegawai'!$D:$D,$B3)</f>
        <v>0</v>
      </c>
      <c r="M3" s="8">
        <f>COUNTIFS('Data Pegawai'!$C:$C,"Aktif",'Data Pegawai'!$M:$M,M$2,'Data Pegawai'!$D:$D,$B3)</f>
        <v>0</v>
      </c>
      <c r="N3" s="8">
        <f>COUNTIFS('Data Pegawai'!$C:$C,"Aktif",'Data Pegawai'!$M:$M,N$2,'Data Pegawai'!$D:$D,$B3)</f>
        <v>0</v>
      </c>
      <c r="O3" s="8">
        <f>COUNTIFS('Data Pegawai'!$C:$C,"Aktif",'Data Pegawai'!$M:$M,O$2,'Data Pegawai'!$D:$D,$B3)</f>
        <v>0</v>
      </c>
      <c r="P3" s="8">
        <f>COUNTIFS('Data Pegawai'!$C:$C,"Aktif",'Data Pegawai'!$M:$M,P$2,'Data Pegawai'!$D:$D,$B3)</f>
        <v>0</v>
      </c>
      <c r="Q3" s="8">
        <f>COUNTIFS('Data Pegawai'!$C:$C,"Aktif",'Data Pegawai'!$M:$M,Q$2,'Data Pegawai'!$D:$D,$B3)</f>
        <v>0</v>
      </c>
      <c r="R3" s="8">
        <f>COUNTIFS('Data Pegawai'!$C:$C,"Aktif",'Data Pegawai'!$M:$M,R$2,'Data Pegawai'!$D:$D,$B3)</f>
        <v>89</v>
      </c>
      <c r="S3" s="8">
        <f>COUNTIFS('Data Pegawai'!$C:$C,"Aktif",'Data Pegawai'!$M:$M,S$2,'Data Pegawai'!$D:$D,$B3)</f>
        <v>25</v>
      </c>
      <c r="Y3" t="s">
        <v>21</v>
      </c>
      <c r="Z3">
        <f>'Reporting 1'!T14</f>
        <v>60</v>
      </c>
      <c r="AA3">
        <f>'Reporting 1'!U14</f>
        <v>0</v>
      </c>
      <c r="AB3">
        <f>'Reporting 1'!V14</f>
        <v>58</v>
      </c>
      <c r="AC3">
        <f>'Reporting 1'!W14</f>
        <v>2</v>
      </c>
    </row>
    <row r="4" spans="1:29">
      <c r="A4" s="8">
        <v>2</v>
      </c>
      <c r="B4" s="8" t="s">
        <v>573</v>
      </c>
      <c r="C4" s="8">
        <f>SUM(D4:I4)</f>
        <v>49</v>
      </c>
      <c r="D4" s="8">
        <f>D22</f>
        <v>30</v>
      </c>
      <c r="E4" s="8">
        <f>E22</f>
        <v>9</v>
      </c>
      <c r="F4" s="8">
        <f>F22</f>
        <v>0</v>
      </c>
      <c r="G4" s="8">
        <f>COUNTIFS('Data Pegawai'!$J:$J,'Reporting 2'!G$2,'Data Pegawai'!$D:$D,'Reporting 2'!$B$4,'Data Pegawai'!$C:$C,"Aktif")</f>
        <v>0</v>
      </c>
      <c r="H4" s="8">
        <f>G22</f>
        <v>9</v>
      </c>
      <c r="I4" s="8">
        <f>H22</f>
        <v>1</v>
      </c>
      <c r="J4" s="8">
        <f>COUNTIFS('Join TPA Dosen'!$D:$D,$B4,'Join TPA Dosen'!$C:$C,"Aktif",'Join TPA Dosen'!$F:$F,J$2)</f>
        <v>19</v>
      </c>
      <c r="K4" s="35">
        <f>COUNTIFS('Join TPA Dosen'!$D:$D,$B4,'Join TPA Dosen'!$C:$C,"Aktif",'Join TPA Dosen'!$F:$F,K$2)</f>
        <v>28</v>
      </c>
      <c r="L4" s="8">
        <f>COUNTIFS('Data Pegawai'!$C:$C,"Aktif",'Data Pegawai'!$M:$M,L$2,'Data Pegawai'!$D:$D,$B4)</f>
        <v>1</v>
      </c>
      <c r="M4" s="8">
        <f>COUNTIFS('Data Pegawai'!$C:$C,"Aktif",'Data Pegawai'!$M:$M,M$2,'Data Pegawai'!$D:$D,$B4)</f>
        <v>1</v>
      </c>
      <c r="N4" s="8">
        <f>COUNTIFS('Data Pegawai'!$C:$C,"Aktif",'Data Pegawai'!$M:$M,N$2,'Data Pegawai'!$D:$D,$B4)</f>
        <v>0</v>
      </c>
      <c r="O4" s="8">
        <f>COUNTIFS('Data Pegawai'!$C:$C,"Aktif",'Data Pegawai'!$M:$M,O$2,'Data Pegawai'!$D:$D,$B4)</f>
        <v>3</v>
      </c>
      <c r="P4" s="8">
        <f>COUNTIFS('Data Pegawai'!$C:$C,"Aktif",'Data Pegawai'!$M:$M,P$2,'Data Pegawai'!$D:$D,$B4)</f>
        <v>4</v>
      </c>
      <c r="Q4" s="8">
        <f>COUNTIFS('Data Pegawai'!$C:$C,"Aktif",'Data Pegawai'!$M:$M,Q$2,'Data Pegawai'!$D:$D,$B4)</f>
        <v>36</v>
      </c>
      <c r="R4" s="8">
        <f>COUNTIFS('Data Pegawai'!$C:$C,"Aktif",'Data Pegawai'!$M:$M,R$2,'Data Pegawai'!$D:$D,$B4)</f>
        <v>2</v>
      </c>
      <c r="S4" s="8">
        <f>COUNTIFS('Data Pegawai'!$C:$C,"Aktif",'Data Pegawai'!$M:$M,S$2,'Data Pegawai'!$D:$D,$B4)</f>
        <v>0</v>
      </c>
      <c r="Y4" t="s">
        <v>573</v>
      </c>
      <c r="Z4">
        <f>D4</f>
        <v>30</v>
      </c>
      <c r="AA4">
        <f>F22</f>
        <v>0</v>
      </c>
      <c r="AB4">
        <f>E22</f>
        <v>9</v>
      </c>
      <c r="AC4">
        <f>G22+H22</f>
        <v>10</v>
      </c>
    </row>
    <row r="5" spans="1:29">
      <c r="A5" s="326"/>
      <c r="B5" s="326" t="s">
        <v>2018</v>
      </c>
      <c r="C5" s="326">
        <f>SUM(C3:C4)</f>
        <v>169</v>
      </c>
      <c r="D5" s="326">
        <f>SUM(D3:D4)</f>
        <v>90</v>
      </c>
      <c r="E5" s="326">
        <f t="shared" ref="E5:F5" si="0">SUM(E3:E4)</f>
        <v>67</v>
      </c>
      <c r="F5" s="326">
        <f t="shared" si="0"/>
        <v>0</v>
      </c>
      <c r="G5" s="326">
        <f>SUM(G3:G4)</f>
        <v>2</v>
      </c>
      <c r="H5" s="326">
        <f>SUM(H3:H4)</f>
        <v>9</v>
      </c>
      <c r="I5" s="326">
        <f>SUM(I3:I4)</f>
        <v>1</v>
      </c>
      <c r="J5" s="326">
        <f>SUM(J3:J4)</f>
        <v>22</v>
      </c>
      <c r="K5" s="59">
        <f>SUM(K3:K4)</f>
        <v>33</v>
      </c>
      <c r="L5" s="326">
        <f t="shared" ref="L5:S5" si="1">SUM(L3:L4)</f>
        <v>1</v>
      </c>
      <c r="M5" s="326">
        <f t="shared" si="1"/>
        <v>1</v>
      </c>
      <c r="N5" s="326">
        <f t="shared" si="1"/>
        <v>0</v>
      </c>
      <c r="O5" s="326">
        <f t="shared" si="1"/>
        <v>3</v>
      </c>
      <c r="P5" s="326">
        <f t="shared" si="1"/>
        <v>4</v>
      </c>
      <c r="Q5" s="326">
        <f t="shared" si="1"/>
        <v>36</v>
      </c>
      <c r="R5" s="326">
        <f t="shared" si="1"/>
        <v>91</v>
      </c>
      <c r="S5" s="326">
        <f t="shared" si="1"/>
        <v>25</v>
      </c>
    </row>
    <row r="8" spans="1:29">
      <c r="A8" s="477" t="s">
        <v>0</v>
      </c>
      <c r="B8" s="477" t="s">
        <v>2150</v>
      </c>
      <c r="C8" s="477" t="s">
        <v>2018</v>
      </c>
      <c r="D8" s="479" t="s">
        <v>2147</v>
      </c>
      <c r="E8" s="480"/>
      <c r="F8" s="480"/>
      <c r="G8" s="480"/>
      <c r="H8" s="481"/>
      <c r="I8" s="482" t="s">
        <v>811</v>
      </c>
      <c r="J8" s="483"/>
      <c r="K8" s="474" t="s">
        <v>760</v>
      </c>
      <c r="L8" s="474"/>
      <c r="M8" s="474"/>
      <c r="N8" s="474"/>
      <c r="O8" s="474"/>
      <c r="P8" s="474"/>
      <c r="Q8" s="474"/>
      <c r="R8" s="474"/>
    </row>
    <row r="9" spans="1:29">
      <c r="A9" s="478"/>
      <c r="B9" s="478"/>
      <c r="C9" s="478"/>
      <c r="D9" s="60" t="s">
        <v>2115</v>
      </c>
      <c r="E9" s="60" t="s">
        <v>2117</v>
      </c>
      <c r="F9" s="339" t="s">
        <v>2116</v>
      </c>
      <c r="G9" s="319" t="s">
        <v>1925</v>
      </c>
      <c r="H9" s="60" t="s">
        <v>2148</v>
      </c>
      <c r="I9" s="61" t="s">
        <v>775</v>
      </c>
      <c r="J9" s="62" t="s">
        <v>1603</v>
      </c>
      <c r="K9" s="63" t="s">
        <v>1929</v>
      </c>
      <c r="L9" s="63" t="s">
        <v>1939</v>
      </c>
      <c r="M9" s="63" t="s">
        <v>2149</v>
      </c>
      <c r="N9" s="63" t="s">
        <v>1750</v>
      </c>
      <c r="O9" s="63" t="s">
        <v>1695</v>
      </c>
      <c r="P9" s="63" t="s">
        <v>1599</v>
      </c>
      <c r="Q9" s="63" t="s">
        <v>854</v>
      </c>
      <c r="R9" s="63" t="s">
        <v>879</v>
      </c>
    </row>
    <row r="10" spans="1:29">
      <c r="A10" s="68">
        <v>1</v>
      </c>
      <c r="B10" s="69" t="s">
        <v>1881</v>
      </c>
      <c r="C10" s="68">
        <f>COUNTIFS(TPA!AD:AD,B10,TPA!C:C,"Aktif")</f>
        <v>7</v>
      </c>
      <c r="D10" s="64">
        <f>COUNTIFS(TPA!$AD:$AD,'Reporting 2'!$B10,TPA!$F:$F,D$2,TPA!$C:$C,"Aktif")</f>
        <v>6</v>
      </c>
      <c r="E10" s="64">
        <f>COUNTIFS(TPA!$AD:$AD,'Reporting 2'!$B10,TPA!$F:$F,E$2,TPA!$C:$C,"Aktif")</f>
        <v>0</v>
      </c>
      <c r="F10" s="64">
        <f>COUNTIFS(TPA!$AD:$AD,'Reporting 2'!$B10,TPA!$F:$F,F$9,TPA!$C:$C,"Aktif")</f>
        <v>0</v>
      </c>
      <c r="G10" s="64">
        <f>COUNTIFS(TPA!$AD:$AD,'Reporting 2'!$B10,TPA!$F:$F,H$2,TPA!$C:$C,"Aktif")</f>
        <v>1</v>
      </c>
      <c r="H10" s="64">
        <f>COUNTIFS(TPA!$AD:$AD,'Reporting 2'!$B10,TPA!$F:$F,I$2,TPA!$C:$C,"Aktif")</f>
        <v>0</v>
      </c>
      <c r="I10" s="66">
        <f>COUNTIFS(TPA!$AD:$AD,$B10,TPA!$C:$C,"Aktif",TPA!$BA:$BA,J$2)</f>
        <v>2</v>
      </c>
      <c r="J10" s="66">
        <f>COUNTIFS(TPA!$AD:$AD,$B10,TPA!$C:$C,"Aktif",TPA!$BA:$BA,K$2)</f>
        <v>5</v>
      </c>
      <c r="K10" s="67">
        <f>COUNTIFS(TPA!$AD:$AD,$B10,TPA!$C:$C,"Aktif",TPA!$AS:$AS,L$2)</f>
        <v>1</v>
      </c>
      <c r="L10" s="67">
        <f>COUNTIFS(TPA!$AD:$AD,$B10,TPA!$C:$C,"Aktif",TPA!$AS:$AS,M$2)</f>
        <v>0</v>
      </c>
      <c r="M10" s="67">
        <f>COUNTIFS(TPA!$AD:$AD,$B10,TPA!$C:$C,"Aktif",TPA!$AS:$AS,N$2)</f>
        <v>0</v>
      </c>
      <c r="N10" s="67">
        <f>COUNTIFS(TPA!$AD:$AD,$B10,TPA!$C:$C,"Aktif",TPA!$AS:$AS,O$2)</f>
        <v>1</v>
      </c>
      <c r="O10" s="67">
        <f>COUNTIFS(TPA!$AD:$AD,$B10,TPA!$C:$C,"Aktif",TPA!$AS:$AS,P$2)</f>
        <v>1</v>
      </c>
      <c r="P10" s="67">
        <f>COUNTIFS(TPA!$AD:$AD,$B10,TPA!$C:$C,"Aktif",TPA!$AS:$AS,Q$2)</f>
        <v>4</v>
      </c>
      <c r="Q10" s="67">
        <f>COUNTIFS(TPA!$AD:$AD,$B10,TPA!$C:$C,"Aktif",TPA!$AS:$AS,R$2)</f>
        <v>0</v>
      </c>
      <c r="R10" s="67">
        <f>COUNTIFS(TPA!$AD:$AD,$B10,TPA!$C:$C,"Aktif",TPA!$AS:$AS,S$2)</f>
        <v>0</v>
      </c>
      <c r="S10">
        <f>SUM(D10:E10)</f>
        <v>6</v>
      </c>
    </row>
    <row r="11" spans="1:29">
      <c r="A11" s="68">
        <v>2</v>
      </c>
      <c r="B11" s="69" t="s">
        <v>2151</v>
      </c>
      <c r="C11" s="68">
        <f>COUNTIFS(TPA!AD:AD,B11,TPA!C:C,"Aktif")</f>
        <v>1</v>
      </c>
      <c r="D11" s="64">
        <f>COUNTIFS(TPA!$AD:$AD,'Reporting 2'!$B11,TPA!$F:$F,D$2,TPA!$C:$C,"Aktif")</f>
        <v>1</v>
      </c>
      <c r="E11" s="64">
        <f>COUNTIFS(TPA!$AD:$AD,'Reporting 2'!$B11,TPA!$F:$F,E$2,TPA!$C:$C,"Aktif")</f>
        <v>0</v>
      </c>
      <c r="F11" s="64">
        <f>COUNTIFS(TPA!$AD:$AD,'Reporting 2'!$B11,TPA!$F:$F,F$9,TPA!$C:$C,"Aktif")</f>
        <v>0</v>
      </c>
      <c r="G11" s="64">
        <f>COUNTIFS(TPA!$AD:$AD,'Reporting 2'!$B11,TPA!$F:$F,H$2,TPA!$C:$C,"Aktif")</f>
        <v>0</v>
      </c>
      <c r="H11" s="64">
        <f>COUNTIFS(TPA!$AD:$AD,'Reporting 2'!$B11,TPA!$F:$F,I$2,TPA!$C:$C,"Aktif")</f>
        <v>0</v>
      </c>
      <c r="I11" s="66">
        <f>COUNTIFS(TPA!$AD:$AD,$B11,TPA!$C:$C,"Aktif",TPA!$BA:$BA,J$2)</f>
        <v>1</v>
      </c>
      <c r="J11" s="66">
        <f>COUNTIFS(TPA!$AD:$AD,$B11,TPA!$C:$C,"Aktif",TPA!$BA:$BA,K$2)</f>
        <v>0</v>
      </c>
      <c r="K11" s="67">
        <f>COUNTIFS(TPA!$AD:$AD,$B11,TPA!$C:$C,"Aktif",TPA!$AS:$AS,L$2)</f>
        <v>0</v>
      </c>
      <c r="L11" s="67">
        <f>COUNTIFS(TPA!$AD:$AD,$B11,TPA!$C:$C,"Aktif",TPA!$AS:$AS,M$2)</f>
        <v>0</v>
      </c>
      <c r="M11" s="67">
        <f>COUNTIFS(TPA!$AD:$AD,$B11,TPA!$C:$C,"Aktif",TPA!$AS:$AS,N$2)</f>
        <v>0</v>
      </c>
      <c r="N11" s="67">
        <f>COUNTIFS(TPA!$AD:$AD,$B11,TPA!$C:$C,"Aktif",TPA!$AS:$AS,O$2)</f>
        <v>0</v>
      </c>
      <c r="O11" s="67">
        <f>COUNTIFS(TPA!$AD:$AD,$B11,TPA!$C:$C,"Aktif",TPA!$AS:$AS,P$2)</f>
        <v>0</v>
      </c>
      <c r="P11" s="67">
        <f>COUNTIFS(TPA!$AD:$AD,$B11,TPA!$C:$C,"Aktif",TPA!$AS:$AS,Q$2)</f>
        <v>1</v>
      </c>
      <c r="Q11" s="67">
        <f>COUNTIFS(TPA!$AD:$AD,$B11,TPA!$C:$C,"Aktif",TPA!$AS:$AS,R$2)</f>
        <v>0</v>
      </c>
      <c r="R11" s="67">
        <f>COUNTIFS(TPA!$AD:$AD,$B11,TPA!$C:$C,"Aktif",TPA!$AS:$AS,S$2)</f>
        <v>0</v>
      </c>
      <c r="S11">
        <f t="shared" ref="S11:S21" si="2">SUM(D11:E11)</f>
        <v>1</v>
      </c>
    </row>
    <row r="12" spans="1:29">
      <c r="A12" s="68">
        <v>3</v>
      </c>
      <c r="B12" s="69" t="s">
        <v>1629</v>
      </c>
      <c r="C12" s="68">
        <f>COUNTIFS(TPA!AD:AD,B12,TPA!C:C,"Aktif")</f>
        <v>4</v>
      </c>
      <c r="D12" s="64">
        <f>COUNTIFS(TPA!$AD:$AD,'Reporting 2'!$B12,TPA!$F:$F,D$2,TPA!$C:$C,"Aktif")</f>
        <v>2</v>
      </c>
      <c r="E12" s="64">
        <f>COUNTIFS(TPA!$AD:$AD,'Reporting 2'!$B12,TPA!$F:$F,E$2,TPA!$C:$C,"Aktif")</f>
        <v>2</v>
      </c>
      <c r="F12" s="64">
        <f>COUNTIFS(TPA!$AD:$AD,'Reporting 2'!$B12,TPA!$F:$F,F$9,TPA!$C:$C,"Aktif")</f>
        <v>0</v>
      </c>
      <c r="G12" s="64">
        <f>COUNTIFS(TPA!$AD:$AD,'Reporting 2'!$B12,TPA!$F:$F,H$2,TPA!$C:$C,"Aktif")</f>
        <v>0</v>
      </c>
      <c r="H12" s="64">
        <f>COUNTIFS(TPA!$AD:$AD,'Reporting 2'!$B12,TPA!$F:$F,I$2,TPA!$C:$C,"Aktif")</f>
        <v>0</v>
      </c>
      <c r="I12" s="66">
        <f>COUNTIFS(TPA!$AD:$AD,$B12,TPA!$C:$C,"Aktif",TPA!$BA:$BA,J$2)</f>
        <v>1</v>
      </c>
      <c r="J12" s="66">
        <f>COUNTIFS(TPA!$AD:$AD,$B12,TPA!$C:$C,"Aktif",TPA!$BA:$BA,K$2)</f>
        <v>3</v>
      </c>
      <c r="K12" s="67">
        <f>COUNTIFS(TPA!$AD:$AD,$B12,TPA!$C:$C,"Aktif",TPA!$AS:$AS,L$2)</f>
        <v>0</v>
      </c>
      <c r="L12" s="67">
        <f>COUNTIFS(TPA!$AD:$AD,$B12,TPA!$C:$C,"Aktif",TPA!$AS:$AS,M$2)</f>
        <v>0</v>
      </c>
      <c r="M12" s="67">
        <f>COUNTIFS(TPA!$AD:$AD,$B12,TPA!$C:$C,"Aktif",TPA!$AS:$AS,N$2)</f>
        <v>0</v>
      </c>
      <c r="N12" s="67">
        <f>COUNTIFS(TPA!$AD:$AD,$B12,TPA!$C:$C,"Aktif",TPA!$AS:$AS,O$2)</f>
        <v>0</v>
      </c>
      <c r="O12" s="67">
        <f>COUNTIFS(TPA!$AD:$AD,$B12,TPA!$C:$C,"Aktif",TPA!$AS:$AS,P$2)</f>
        <v>0</v>
      </c>
      <c r="P12" s="67">
        <f>COUNTIFS(TPA!$AD:$AD,$B12,TPA!$C:$C,"Aktif",TPA!$AS:$AS,Q$2)</f>
        <v>3</v>
      </c>
      <c r="Q12" s="67">
        <f>COUNTIFS(TPA!$AD:$AD,$B12,TPA!$C:$C,"Aktif",TPA!$AS:$AS,R$2)</f>
        <v>1</v>
      </c>
      <c r="R12" s="67">
        <f>COUNTIFS(TPA!$AD:$AD,$B12,TPA!$C:$C,"Aktif",TPA!$AS:$AS,S$2)</f>
        <v>0</v>
      </c>
      <c r="S12">
        <f t="shared" si="2"/>
        <v>4</v>
      </c>
    </row>
    <row r="13" spans="1:29">
      <c r="A13" s="68">
        <v>4</v>
      </c>
      <c r="B13" s="69" t="s">
        <v>2152</v>
      </c>
      <c r="C13" s="68">
        <f>COUNTIFS(TPA!AD:AD,B13,TPA!C:C,"Aktif")</f>
        <v>2</v>
      </c>
      <c r="D13" s="64">
        <f>COUNTIFS(TPA!$AD:$AD,'Reporting 2'!$B13,TPA!$F:$F,D$2,TPA!$C:$C,"Aktif")</f>
        <v>0</v>
      </c>
      <c r="E13" s="64">
        <f>COUNTIFS(TPA!$AD:$AD,'Reporting 2'!$B13,TPA!$F:$F,E$2,TPA!$C:$C,"Aktif")</f>
        <v>2</v>
      </c>
      <c r="F13" s="64">
        <f>COUNTIFS(TPA!$AD:$AD,'Reporting 2'!$B13,TPA!$F:$F,F$9,TPA!$C:$C,"Aktif")</f>
        <v>0</v>
      </c>
      <c r="G13" s="64">
        <f>COUNTIFS(TPA!$AD:$AD,'Reporting 2'!$B13,TPA!$F:$F,H$2,TPA!$C:$C,"Aktif")</f>
        <v>0</v>
      </c>
      <c r="H13" s="64">
        <f>COUNTIFS(TPA!$AD:$AD,'Reporting 2'!$B13,TPA!$F:$F,I$2,TPA!$C:$C,"Aktif")</f>
        <v>0</v>
      </c>
      <c r="I13" s="66">
        <f>COUNTIFS(TPA!$AD:$AD,$B13,TPA!$C:$C,"Aktif",TPA!$BA:$BA,J$2)</f>
        <v>1</v>
      </c>
      <c r="J13" s="66">
        <f>COUNTIFS(TPA!$AD:$AD,$B13,TPA!$C:$C,"Aktif",TPA!$BA:$BA,K$2)</f>
        <v>1</v>
      </c>
      <c r="K13" s="67">
        <f>COUNTIFS(TPA!$AD:$AD,$B13,TPA!$C:$C,"Aktif",TPA!$AS:$AS,L$2)</f>
        <v>0</v>
      </c>
      <c r="L13" s="67">
        <f>COUNTIFS(TPA!$AD:$AD,$B13,TPA!$C:$C,"Aktif",TPA!$AS:$AS,M$2)</f>
        <v>0</v>
      </c>
      <c r="M13" s="67">
        <f>COUNTIFS(TPA!$AD:$AD,$B13,TPA!$C:$C,"Aktif",TPA!$AS:$AS,N$2)</f>
        <v>0</v>
      </c>
      <c r="N13" s="67">
        <f>COUNTIFS(TPA!$AD:$AD,$B13,TPA!$C:$C,"Aktif",TPA!$AS:$AS,O$2)</f>
        <v>0</v>
      </c>
      <c r="O13" s="67">
        <f>COUNTIFS(TPA!$AD:$AD,$B13,TPA!$C:$C,"Aktif",TPA!$AS:$AS,P$2)</f>
        <v>0</v>
      </c>
      <c r="P13" s="67">
        <f>COUNTIFS(TPA!$AD:$AD,$B13,TPA!$C:$C,"Aktif",TPA!$AS:$AS,Q$2)</f>
        <v>2</v>
      </c>
      <c r="Q13" s="67">
        <f>COUNTIFS(TPA!$AD:$AD,$B13,TPA!$C:$C,"Aktif",TPA!$AS:$AS,R$2)</f>
        <v>0</v>
      </c>
      <c r="R13" s="67">
        <f>COUNTIFS(TPA!$AD:$AD,$B13,TPA!$C:$C,"Aktif",TPA!$AS:$AS,S$2)</f>
        <v>0</v>
      </c>
      <c r="S13">
        <f t="shared" si="2"/>
        <v>2</v>
      </c>
    </row>
    <row r="14" spans="1:29">
      <c r="A14" s="68">
        <v>5</v>
      </c>
      <c r="B14" s="69" t="s">
        <v>2153</v>
      </c>
      <c r="C14" s="68">
        <f>COUNTIFS(TPA!AD:AD,B14,TPA!C:C,"Aktif")</f>
        <v>6</v>
      </c>
      <c r="D14" s="64">
        <f>COUNTIFS(TPA!$AD:$AD,'Reporting 2'!$B14,TPA!$F:$F,D$2,TPA!$C:$C,"Aktif")</f>
        <v>5</v>
      </c>
      <c r="E14" s="64">
        <f>COUNTIFS(TPA!$AD:$AD,'Reporting 2'!$B14,TPA!$F:$F,E$2,TPA!$C:$C,"Aktif")</f>
        <v>0</v>
      </c>
      <c r="F14" s="64">
        <f>COUNTIFS(TPA!$AD:$AD,'Reporting 2'!$B14,TPA!$F:$F,F$9,TPA!$C:$C,"Aktif")</f>
        <v>0</v>
      </c>
      <c r="G14" s="64">
        <f>COUNTIFS(TPA!$AD:$AD,'Reporting 2'!$B14,TPA!$F:$F,H$2,TPA!$C:$C,"Aktif")</f>
        <v>1</v>
      </c>
      <c r="H14" s="64">
        <f>COUNTIFS(TPA!$AD:$AD,'Reporting 2'!$B14,TPA!$F:$F,I$2,TPA!$C:$C,"Aktif")</f>
        <v>0</v>
      </c>
      <c r="I14" s="66">
        <f>COUNTIFS(TPA!$AD:$AD,$B14,TPA!$C:$C,"Aktif",TPA!$BA:$BA,J$2)</f>
        <v>2</v>
      </c>
      <c r="J14" s="66">
        <f>COUNTIFS(TPA!$AD:$AD,$B14,TPA!$C:$C,"Aktif",TPA!$BA:$BA,K$2)</f>
        <v>4</v>
      </c>
      <c r="K14" s="67">
        <f>COUNTIFS(TPA!$AD:$AD,$B14,TPA!$C:$C,"Aktif",TPA!$AS:$AS,L$2)</f>
        <v>0</v>
      </c>
      <c r="L14" s="67">
        <f>COUNTIFS(TPA!$AD:$AD,$B14,TPA!$C:$C,"Aktif",TPA!$AS:$AS,M$2)</f>
        <v>0</v>
      </c>
      <c r="M14" s="67">
        <f>COUNTIFS(TPA!$AD:$AD,$B14,TPA!$C:$C,"Aktif",TPA!$AS:$AS,N$2)</f>
        <v>0</v>
      </c>
      <c r="N14" s="67">
        <f>COUNTIFS(TPA!$AD:$AD,$B14,TPA!$C:$C,"Aktif",TPA!$AS:$AS,O$2)</f>
        <v>2</v>
      </c>
      <c r="O14" s="67">
        <f>COUNTIFS(TPA!$AD:$AD,$B14,TPA!$C:$C,"Aktif",TPA!$AS:$AS,P$2)</f>
        <v>1</v>
      </c>
      <c r="P14" s="67">
        <f>COUNTIFS(TPA!$AD:$AD,$B14,TPA!$C:$C,"Aktif",TPA!$AS:$AS,Q$2)</f>
        <v>3</v>
      </c>
      <c r="Q14" s="67">
        <f>COUNTIFS(TPA!$AD:$AD,$B14,TPA!$C:$C,"Aktif",TPA!$AS:$AS,R$2)</f>
        <v>0</v>
      </c>
      <c r="R14" s="67">
        <f>COUNTIFS(TPA!$AD:$AD,$B14,TPA!$C:$C,"Aktif",TPA!$AS:$AS,S$2)</f>
        <v>0</v>
      </c>
      <c r="S14">
        <f t="shared" si="2"/>
        <v>5</v>
      </c>
    </row>
    <row r="15" spans="1:29">
      <c r="A15" s="68">
        <v>6</v>
      </c>
      <c r="B15" s="69" t="s">
        <v>1830</v>
      </c>
      <c r="C15" s="68">
        <f>COUNTIFS(TPA!AD:AD,B15,TPA!C:C,"Aktif")</f>
        <v>3</v>
      </c>
      <c r="D15" s="64">
        <f>COUNTIFS(TPA!$AD:$AD,'Reporting 2'!$B15,TPA!$F:$F,D$2,TPA!$C:$C,"Aktif")</f>
        <v>3</v>
      </c>
      <c r="E15" s="64">
        <f>COUNTIFS(TPA!$AD:$AD,'Reporting 2'!$B15,TPA!$F:$F,E$2,TPA!$C:$C,"Aktif")</f>
        <v>0</v>
      </c>
      <c r="F15" s="64">
        <f>COUNTIFS(TPA!$AD:$AD,'Reporting 2'!$B15,TPA!$F:$F,F$9,TPA!$C:$C,"Aktif")</f>
        <v>0</v>
      </c>
      <c r="G15" s="64">
        <f>COUNTIFS(TPA!$AD:$AD,'Reporting 2'!$B15,TPA!$F:$F,H$2,TPA!$C:$C,"Aktif")</f>
        <v>0</v>
      </c>
      <c r="H15" s="64">
        <f>COUNTIFS(TPA!$AD:$AD,'Reporting 2'!$B15,TPA!$F:$F,I$2,TPA!$C:$C,"Aktif")</f>
        <v>0</v>
      </c>
      <c r="I15" s="66">
        <f>COUNTIFS(TPA!$AD:$AD,$B15,TPA!$C:$C,"Aktif",TPA!$BA:$BA,J$2)</f>
        <v>0</v>
      </c>
      <c r="J15" s="66">
        <f>COUNTIFS(TPA!$AD:$AD,$B15,TPA!$C:$C,"Aktif",TPA!$BA:$BA,K$2)</f>
        <v>3</v>
      </c>
      <c r="K15" s="67">
        <f>COUNTIFS(TPA!$AD:$AD,$B15,TPA!$C:$C,"Aktif",TPA!$AS:$AS,L$2)</f>
        <v>0</v>
      </c>
      <c r="L15" s="67">
        <f>COUNTIFS(TPA!$AD:$AD,$B15,TPA!$C:$C,"Aktif",TPA!$AS:$AS,M$2)</f>
        <v>0</v>
      </c>
      <c r="M15" s="67">
        <f>COUNTIFS(TPA!$AD:$AD,$B15,TPA!$C:$C,"Aktif",TPA!$AS:$AS,N$2)</f>
        <v>0</v>
      </c>
      <c r="N15" s="67">
        <f>COUNTIFS(TPA!$AD:$AD,$B15,TPA!$C:$C,"Aktif",TPA!$AS:$AS,O$2)</f>
        <v>0</v>
      </c>
      <c r="O15" s="67">
        <f>COUNTIFS(TPA!$AD:$AD,$B15,TPA!$C:$C,"Aktif",TPA!$AS:$AS,P$2)</f>
        <v>0</v>
      </c>
      <c r="P15" s="67">
        <f>COUNTIFS(TPA!$AD:$AD,$B15,TPA!$C:$C,"Aktif",TPA!$AS:$AS,Q$2)</f>
        <v>3</v>
      </c>
      <c r="Q15" s="67">
        <f>COUNTIFS(TPA!$AD:$AD,$B15,TPA!$C:$C,"Aktif",TPA!$AS:$AS,R$2)</f>
        <v>0</v>
      </c>
      <c r="R15" s="67">
        <f>COUNTIFS(TPA!$AD:$AD,$B15,TPA!$C:$C,"Aktif",TPA!$AS:$AS,S$2)</f>
        <v>0</v>
      </c>
      <c r="S15">
        <f t="shared" si="2"/>
        <v>3</v>
      </c>
    </row>
    <row r="16" spans="1:29">
      <c r="A16" s="68">
        <v>7</v>
      </c>
      <c r="B16" s="69" t="s">
        <v>582</v>
      </c>
      <c r="C16" s="68">
        <f>COUNTIFS(TPA!AD:AD,B16,TPA!C:C,"Aktif")</f>
        <v>4</v>
      </c>
      <c r="D16" s="64">
        <f>COUNTIFS(TPA!$AD:$AD,'Reporting 2'!$B16,TPA!$F:$F,D$2,TPA!$C:$C,"Aktif")</f>
        <v>3</v>
      </c>
      <c r="E16" s="64">
        <f>COUNTIFS(TPA!$AD:$AD,'Reporting 2'!$B16,TPA!$F:$F,E$2,TPA!$C:$C,"Aktif")</f>
        <v>1</v>
      </c>
      <c r="F16" s="64">
        <f>COUNTIFS(TPA!$AD:$AD,'Reporting 2'!$B16,TPA!$F:$F,F$9,TPA!$C:$C,"Aktif")</f>
        <v>0</v>
      </c>
      <c r="G16" s="64">
        <f>COUNTIFS(TPA!$AD:$AD,'Reporting 2'!$B16,TPA!$F:$F,H$2,TPA!$C:$C,"Aktif")</f>
        <v>0</v>
      </c>
      <c r="H16" s="64">
        <f>COUNTIFS(TPA!$AD:$AD,'Reporting 2'!$B16,TPA!$F:$F,I$2,TPA!$C:$C,"Aktif")</f>
        <v>0</v>
      </c>
      <c r="I16" s="66">
        <f>COUNTIFS(TPA!$AD:$AD,$B16,TPA!$C:$C,"Aktif",TPA!$BA:$BA,J$2)</f>
        <v>0</v>
      </c>
      <c r="J16" s="66">
        <f>COUNTIFS(TPA!$AD:$AD,$B16,TPA!$C:$C,"Aktif",TPA!$BA:$BA,K$2)</f>
        <v>4</v>
      </c>
      <c r="K16" s="67">
        <f>COUNTIFS(TPA!$AD:$AD,$B16,TPA!$C:$C,"Aktif",TPA!$AS:$AS,L$2)</f>
        <v>0</v>
      </c>
      <c r="L16" s="67">
        <f>COUNTIFS(TPA!$AD:$AD,$B16,TPA!$C:$C,"Aktif",TPA!$AS:$AS,M$2)</f>
        <v>0</v>
      </c>
      <c r="M16" s="67">
        <f>COUNTIFS(TPA!$AD:$AD,$B16,TPA!$C:$C,"Aktif",TPA!$AS:$AS,N$2)</f>
        <v>0</v>
      </c>
      <c r="N16" s="67">
        <f>COUNTIFS(TPA!$AD:$AD,$B16,TPA!$C:$C,"Aktif",TPA!$AS:$AS,O$2)</f>
        <v>0</v>
      </c>
      <c r="O16" s="67">
        <f>COUNTIFS(TPA!$AD:$AD,$B16,TPA!$C:$C,"Aktif",TPA!$AS:$AS,P$2)</f>
        <v>0</v>
      </c>
      <c r="P16" s="67">
        <f>COUNTIFS(TPA!$AD:$AD,$B16,TPA!$C:$C,"Aktif",TPA!$AS:$AS,Q$2)</f>
        <v>4</v>
      </c>
      <c r="Q16" s="67">
        <f>COUNTIFS(TPA!$AD:$AD,$B16,TPA!$C:$C,"Aktif",TPA!$AS:$AS,R$2)</f>
        <v>0</v>
      </c>
      <c r="R16" s="67">
        <f>COUNTIFS(TPA!$AD:$AD,$B16,TPA!$C:$C,"Aktif",TPA!$AS:$AS,S$2)</f>
        <v>0</v>
      </c>
      <c r="S16">
        <f t="shared" si="2"/>
        <v>4</v>
      </c>
    </row>
    <row r="17" spans="1:19">
      <c r="A17" s="68">
        <v>8</v>
      </c>
      <c r="B17" s="69" t="s">
        <v>1863</v>
      </c>
      <c r="C17" s="68">
        <f>COUNTIFS(TPA!AD:AD,B17,TPA!C:C,"Aktif")</f>
        <v>3</v>
      </c>
      <c r="D17" s="64">
        <f>COUNTIFS(TPA!$AD:$AD,'Reporting 2'!$B17,TPA!$F:$F,D$2,TPA!$C:$C,"Aktif")</f>
        <v>1</v>
      </c>
      <c r="E17" s="64">
        <f>COUNTIFS(TPA!$AD:$AD,'Reporting 2'!$B17,TPA!$F:$F,E$2,TPA!$C:$C,"Aktif")</f>
        <v>0</v>
      </c>
      <c r="F17" s="64">
        <f>COUNTIFS(TPA!$AD:$AD,'Reporting 2'!$B17,TPA!$F:$F,F$9,TPA!$C:$C,"Aktif")</f>
        <v>0</v>
      </c>
      <c r="G17" s="64">
        <f>COUNTIFS(TPA!$AD:$AD,'Reporting 2'!$B17,TPA!$F:$F,H$2,TPA!$C:$C,"Aktif")</f>
        <v>2</v>
      </c>
      <c r="H17" s="64">
        <f>COUNTIFS(TPA!$AD:$AD,'Reporting 2'!$B17,TPA!$F:$F,I$2,TPA!$C:$C,"Aktif")</f>
        <v>0</v>
      </c>
      <c r="I17" s="66">
        <f>COUNTIFS(TPA!$AD:$AD,$B17,TPA!$C:$C,"Aktif",TPA!$BA:$BA,J$2)</f>
        <v>3</v>
      </c>
      <c r="J17" s="66">
        <f>COUNTIFS(TPA!$AD:$AD,$B17,TPA!$C:$C,"Aktif",TPA!$BA:$BA,K$2)</f>
        <v>0</v>
      </c>
      <c r="K17" s="67">
        <f>COUNTIFS(TPA!$AD:$AD,$B17,TPA!$C:$C,"Aktif",TPA!$AS:$AS,L$2)</f>
        <v>0</v>
      </c>
      <c r="L17" s="67">
        <f>COUNTIFS(TPA!$AD:$AD,$B17,TPA!$C:$C,"Aktif",TPA!$AS:$AS,M$2)</f>
        <v>0</v>
      </c>
      <c r="M17" s="67">
        <f>COUNTIFS(TPA!$AD:$AD,$B17,TPA!$C:$C,"Aktif",TPA!$AS:$AS,N$2)</f>
        <v>0</v>
      </c>
      <c r="N17" s="67">
        <f>COUNTIFS(TPA!$AD:$AD,$B17,TPA!$C:$C,"Aktif",TPA!$AS:$AS,O$2)</f>
        <v>0</v>
      </c>
      <c r="O17" s="67">
        <f>COUNTIFS(TPA!$AD:$AD,$B17,TPA!$C:$C,"Aktif",TPA!$AS:$AS,P$2)</f>
        <v>0</v>
      </c>
      <c r="P17" s="67">
        <f>COUNTIFS(TPA!$AD:$AD,$B17,TPA!$C:$C,"Aktif",TPA!$AS:$AS,Q$2)</f>
        <v>3</v>
      </c>
      <c r="Q17" s="67">
        <f>COUNTIFS(TPA!$AD:$AD,$B17,TPA!$C:$C,"Aktif",TPA!$AS:$AS,R$2)</f>
        <v>0</v>
      </c>
      <c r="R17" s="67">
        <f>COUNTIFS(TPA!$AD:$AD,$B17,TPA!$C:$C,"Aktif",TPA!$AS:$AS,S$2)</f>
        <v>0</v>
      </c>
      <c r="S17">
        <f t="shared" si="2"/>
        <v>1</v>
      </c>
    </row>
    <row r="18" spans="1:19">
      <c r="A18" s="68">
        <v>9</v>
      </c>
      <c r="B18" s="69" t="s">
        <v>2154</v>
      </c>
      <c r="C18" s="68">
        <f>COUNTIFS(TPA!AD:AD,B18,TPA!C:C,"Aktif")</f>
        <v>5</v>
      </c>
      <c r="D18" s="64">
        <f>COUNTIFS(TPA!$AD:$AD,'Reporting 2'!$B18,TPA!$F:$F,D$2,TPA!$C:$C,"Aktif")</f>
        <v>4</v>
      </c>
      <c r="E18" s="64">
        <f>COUNTIFS(TPA!$AD:$AD,'Reporting 2'!$B18,TPA!$F:$F,E$2,TPA!$C:$C,"Aktif")</f>
        <v>1</v>
      </c>
      <c r="F18" s="64">
        <f>COUNTIFS(TPA!$AD:$AD,'Reporting 2'!$B18,TPA!$F:$F,F$9,TPA!$C:$C,"Aktif")</f>
        <v>0</v>
      </c>
      <c r="G18" s="64">
        <f>COUNTIFS(TPA!$AD:$AD,'Reporting 2'!$B18,TPA!$F:$F,H$2,TPA!$C:$C,"Aktif")</f>
        <v>0</v>
      </c>
      <c r="H18" s="64">
        <f>COUNTIFS(TPA!$AD:$AD,'Reporting 2'!$B18,TPA!$F:$F,I$2,TPA!$C:$C,"Aktif")</f>
        <v>0</v>
      </c>
      <c r="I18" s="66">
        <f>COUNTIFS(TPA!$AD:$AD,$B18,TPA!$C:$C,"Aktif",TPA!$BA:$BA,J$2)</f>
        <v>5</v>
      </c>
      <c r="J18" s="66">
        <f>COUNTIFS(TPA!$AD:$AD,$B18,TPA!$C:$C,"Aktif",TPA!$BA:$BA,K$2)</f>
        <v>0</v>
      </c>
      <c r="K18" s="67">
        <f>COUNTIFS(TPA!$AD:$AD,$B18,TPA!$C:$C,"Aktif",TPA!$AS:$AS,L$2)</f>
        <v>0</v>
      </c>
      <c r="L18" s="67">
        <f>COUNTIFS(TPA!$AD:$AD,$B18,TPA!$C:$C,"Aktif",TPA!$AS:$AS,M$2)</f>
        <v>0</v>
      </c>
      <c r="M18" s="67">
        <f>COUNTIFS(TPA!$AD:$AD,$B18,TPA!$C:$C,"Aktif",TPA!$AS:$AS,N$2)</f>
        <v>0</v>
      </c>
      <c r="N18" s="67">
        <f>COUNTIFS(TPA!$AD:$AD,$B18,TPA!$C:$C,"Aktif",TPA!$AS:$AS,O$2)</f>
        <v>0</v>
      </c>
      <c r="O18" s="67">
        <f>COUNTIFS(TPA!$AD:$AD,$B18,TPA!$C:$C,"Aktif",TPA!$AS:$AS,P$2)</f>
        <v>1</v>
      </c>
      <c r="P18" s="67">
        <f>COUNTIFS(TPA!$AD:$AD,$B18,TPA!$C:$C,"Aktif",TPA!$AS:$AS,Q$2)</f>
        <v>4</v>
      </c>
      <c r="Q18" s="67">
        <f>COUNTIFS(TPA!$AD:$AD,$B18,TPA!$C:$C,"Aktif",TPA!$AS:$AS,R$2)</f>
        <v>0</v>
      </c>
      <c r="R18" s="67">
        <f>COUNTIFS(TPA!$AD:$AD,$B18,TPA!$C:$C,"Aktif",TPA!$AS:$AS,S$2)</f>
        <v>0</v>
      </c>
      <c r="S18">
        <f t="shared" si="2"/>
        <v>5</v>
      </c>
    </row>
    <row r="19" spans="1:19">
      <c r="A19" s="68">
        <v>10</v>
      </c>
      <c r="B19" s="69" t="s">
        <v>1598</v>
      </c>
      <c r="C19" s="68">
        <f>COUNTIFS(TPA!AD:AD,B19,TPA!C:C,"Aktif")</f>
        <v>7</v>
      </c>
      <c r="D19" s="64">
        <f>COUNTIFS(TPA!$AD:$AD,'Reporting 2'!$B19,TPA!$F:$F,D$2,TPA!$C:$C,"Aktif")</f>
        <v>1</v>
      </c>
      <c r="E19" s="64">
        <f>COUNTIFS(TPA!$AD:$AD,'Reporting 2'!$B19,TPA!$F:$F,E$2,TPA!$C:$C,"Aktif")</f>
        <v>2</v>
      </c>
      <c r="F19" s="64">
        <f>COUNTIFS(TPA!$AD:$AD,'Reporting 2'!$B19,TPA!$F:$F,F$9,TPA!$C:$C,"Aktif")</f>
        <v>0</v>
      </c>
      <c r="G19" s="64">
        <f>COUNTIFS(TPA!$AD:$AD,'Reporting 2'!$B19,TPA!$F:$F,H$2,TPA!$C:$C,"Aktif")</f>
        <v>3</v>
      </c>
      <c r="H19" s="64">
        <f>COUNTIFS(TPA!$AD:$AD,'Reporting 2'!$B19,TPA!$F:$F,I$2,TPA!$C:$C,"Aktif")</f>
        <v>1</v>
      </c>
      <c r="I19" s="66">
        <f>COUNTIFS(TPA!$AD:$AD,$B19,TPA!$C:$C,"Aktif",TPA!$BA:$BA,J$2)</f>
        <v>3</v>
      </c>
      <c r="J19" s="66">
        <f>COUNTIFS(TPA!$AD:$AD,$B19,TPA!$C:$C,"Aktif",TPA!$BA:$BA,K$2)</f>
        <v>4</v>
      </c>
      <c r="K19" s="67">
        <f>COUNTIFS(TPA!$AD:$AD,$B19,TPA!$C:$C,"Aktif",TPA!$AS:$AS,L$2)</f>
        <v>0</v>
      </c>
      <c r="L19" s="67">
        <f>COUNTIFS(TPA!$AD:$AD,$B19,TPA!$C:$C,"Aktif",TPA!$AS:$AS,M$2)</f>
        <v>1</v>
      </c>
      <c r="M19" s="67">
        <f>COUNTIFS(TPA!$AD:$AD,$B19,TPA!$C:$C,"Aktif",TPA!$AS:$AS,N$2)</f>
        <v>0</v>
      </c>
      <c r="N19" s="67">
        <f>COUNTIFS(TPA!$AD:$AD,$B19,TPA!$C:$C,"Aktif",TPA!$AS:$AS,O$2)</f>
        <v>0</v>
      </c>
      <c r="O19" s="67">
        <f>COUNTIFS(TPA!$AD:$AD,$B19,TPA!$C:$C,"Aktif",TPA!$AS:$AS,P$2)</f>
        <v>0</v>
      </c>
      <c r="P19" s="67">
        <f>COUNTIFS(TPA!$AD:$AD,$B19,TPA!$C:$C,"Aktif",TPA!$AS:$AS,Q$2)</f>
        <v>6</v>
      </c>
      <c r="Q19" s="67">
        <f>COUNTIFS(TPA!$AD:$AD,$B19,TPA!$C:$C,"Aktif",TPA!$AS:$AS,R$2)</f>
        <v>0</v>
      </c>
      <c r="R19" s="67">
        <f>COUNTIFS(TPA!$AD:$AD,$B19,TPA!$C:$C,"Aktif",TPA!$AS:$AS,S$2)</f>
        <v>0</v>
      </c>
      <c r="S19">
        <f t="shared" si="2"/>
        <v>3</v>
      </c>
    </row>
    <row r="20" spans="1:19">
      <c r="A20" s="68">
        <v>11</v>
      </c>
      <c r="B20" s="69" t="s">
        <v>1668</v>
      </c>
      <c r="C20" s="68">
        <f>COUNTIFS(TPA!AD:AD,B20,TPA!C:C,"Aktif")</f>
        <v>5</v>
      </c>
      <c r="D20" s="64">
        <f>COUNTIFS(TPA!$AD:$AD,'Reporting 2'!$B20,TPA!$F:$F,D$2,TPA!$C:$C,"Aktif")</f>
        <v>4</v>
      </c>
      <c r="E20" s="64">
        <f>COUNTIFS(TPA!$AD:$AD,'Reporting 2'!$B20,TPA!$F:$F,E$2,TPA!$C:$C,"Aktif")</f>
        <v>0</v>
      </c>
      <c r="F20" s="64">
        <f>COUNTIFS(TPA!$AD:$AD,'Reporting 2'!$B20,TPA!$F:$F,F$9,TPA!$C:$C,"Aktif")</f>
        <v>0</v>
      </c>
      <c r="G20" s="64">
        <f>COUNTIFS(TPA!$AD:$AD,'Reporting 2'!$B20,TPA!$F:$F,H$2,TPA!$C:$C,"Aktif")</f>
        <v>1</v>
      </c>
      <c r="H20" s="64">
        <f>COUNTIFS(TPA!$AD:$AD,'Reporting 2'!$B20,TPA!$F:$F,I$2,TPA!$C:$C,"Aktif")</f>
        <v>0</v>
      </c>
      <c r="I20" s="66">
        <f>COUNTIFS(TPA!$AD:$AD,$B20,TPA!$C:$C,"Aktif",TPA!$BA:$BA,J$2)</f>
        <v>2</v>
      </c>
      <c r="J20" s="66">
        <f>COUNTIFS(TPA!$AD:$AD,$B20,TPA!$C:$C,"Aktif",TPA!$BA:$BA,K$2)</f>
        <v>3</v>
      </c>
      <c r="K20" s="67">
        <f>COUNTIFS(TPA!$AD:$AD,$B20,TPA!$C:$C,"Aktif",TPA!$AS:$AS,L$2)</f>
        <v>0</v>
      </c>
      <c r="L20" s="67">
        <f>COUNTIFS(TPA!$AD:$AD,$B20,TPA!$C:$C,"Aktif",TPA!$AS:$AS,M$2)</f>
        <v>0</v>
      </c>
      <c r="M20" s="67">
        <f>COUNTIFS(TPA!$AD:$AD,$B20,TPA!$C:$C,"Aktif",TPA!$AS:$AS,N$2)</f>
        <v>0</v>
      </c>
      <c r="N20" s="67">
        <f>COUNTIFS(TPA!$AD:$AD,$B20,TPA!$C:$C,"Aktif",TPA!$AS:$AS,O$2)</f>
        <v>0</v>
      </c>
      <c r="O20" s="67">
        <f>COUNTIFS(TPA!$AD:$AD,$B20,TPA!$C:$C,"Aktif",TPA!$AS:$AS,P$2)</f>
        <v>1</v>
      </c>
      <c r="P20" s="67">
        <f>COUNTIFS(TPA!$AD:$AD,$B20,TPA!$C:$C,"Aktif",TPA!$AS:$AS,Q$2)</f>
        <v>3</v>
      </c>
      <c r="Q20" s="67">
        <f>COUNTIFS(TPA!$AD:$AD,$B20,TPA!$C:$C,"Aktif",TPA!$AS:$AS,R$2)</f>
        <v>1</v>
      </c>
      <c r="R20" s="67">
        <f>COUNTIFS(TPA!$AD:$AD,$B20,TPA!$C:$C,"Aktif",TPA!$AS:$AS,S$2)</f>
        <v>0</v>
      </c>
      <c r="S20">
        <f t="shared" si="2"/>
        <v>4</v>
      </c>
    </row>
    <row r="21" spans="1:19">
      <c r="A21" s="68">
        <v>12</v>
      </c>
      <c r="B21" s="69" t="s">
        <v>1853</v>
      </c>
      <c r="C21" s="68">
        <f>COUNTIFS(TPA!AD:AD,B21,TPA!C:C,"Aktif")</f>
        <v>2</v>
      </c>
      <c r="D21" s="64">
        <f>COUNTIFS(TPA!$AD:$AD,'Reporting 2'!$B21,TPA!$F:$F,D$2,TPA!$C:$C,"Aktif")</f>
        <v>0</v>
      </c>
      <c r="E21" s="64">
        <f>COUNTIFS(TPA!$AD:$AD,'Reporting 2'!$B21,TPA!$F:$F,E$2,TPA!$C:$C,"Aktif")</f>
        <v>1</v>
      </c>
      <c r="F21" s="64">
        <f>COUNTIFS(TPA!$AD:$AD,'Reporting 2'!$B21,TPA!$F:$F,F$9,TPA!$C:$C,"Aktif")</f>
        <v>0</v>
      </c>
      <c r="G21" s="64">
        <f>COUNTIFS(TPA!$AD:$AD,'Reporting 2'!$B21,TPA!$F:$F,H$2,TPA!$C:$C,"Aktif")</f>
        <v>1</v>
      </c>
      <c r="H21" s="64">
        <f>COUNTIFS(TPA!$AD:$AD,'Reporting 2'!$B21,TPA!$F:$F,I$2,TPA!$C:$C,"Aktif")</f>
        <v>0</v>
      </c>
      <c r="I21" s="66">
        <f>COUNTIFS(TPA!$AD:$AD,$B21,TPA!$C:$C,"Aktif",TPA!$BA:$BA,J$2)</f>
        <v>0</v>
      </c>
      <c r="J21" s="66">
        <f>COUNTIFS(TPA!$AD:$AD,$B21,TPA!$C:$C,"Aktif",TPA!$BA:$BA,K$2)</f>
        <v>2</v>
      </c>
      <c r="K21" s="67">
        <f>COUNTIFS(TPA!$AD:$AD,$B21,TPA!$C:$C,"Aktif",TPA!$AS:$AS,L$2)</f>
        <v>0</v>
      </c>
      <c r="L21" s="67">
        <f>COUNTIFS(TPA!$AD:$AD,$B21,TPA!$C:$C,"Aktif",TPA!$AS:$AS,M$2)</f>
        <v>0</v>
      </c>
      <c r="M21" s="67">
        <f>COUNTIFS(TPA!$AD:$AD,$B21,TPA!$C:$C,"Aktif",TPA!$AS:$AS,N$2)</f>
        <v>0</v>
      </c>
      <c r="N21" s="67">
        <f>COUNTIFS(TPA!$AD:$AD,$B21,TPA!$C:$C,"Aktif",TPA!$AS:$AS,O$2)</f>
        <v>0</v>
      </c>
      <c r="O21" s="67">
        <f>COUNTIFS(TPA!$AD:$AD,$B21,TPA!$C:$C,"Aktif",TPA!$AS:$AS,P$2)</f>
        <v>0</v>
      </c>
      <c r="P21" s="67">
        <f>COUNTIFS(TPA!$AD:$AD,$B21,TPA!$C:$C,"Aktif",TPA!$AS:$AS,Q$2)</f>
        <v>2</v>
      </c>
      <c r="Q21" s="67">
        <f>COUNTIFS(TPA!$AD:$AD,$B21,TPA!$C:$C,"Aktif",TPA!$AS:$AS,R$2)</f>
        <v>0</v>
      </c>
      <c r="R21" s="67">
        <f>COUNTIFS(TPA!$AD:$AD,$B21,TPA!$C:$C,"Aktif",TPA!$AS:$AS,S$2)</f>
        <v>0</v>
      </c>
      <c r="S21">
        <f t="shared" si="2"/>
        <v>1</v>
      </c>
    </row>
    <row r="22" spans="1:19">
      <c r="A22" s="70"/>
      <c r="B22" s="70" t="s">
        <v>2018</v>
      </c>
      <c r="C22" s="70">
        <f>SUM(C10:C21)</f>
        <v>49</v>
      </c>
      <c r="D22" s="65">
        <f t="shared" ref="D22:H22" si="3">SUM(D10:D21)</f>
        <v>30</v>
      </c>
      <c r="E22" s="65">
        <f t="shared" si="3"/>
        <v>9</v>
      </c>
      <c r="F22" s="65">
        <f t="shared" si="3"/>
        <v>0</v>
      </c>
      <c r="G22" s="65">
        <f t="shared" si="3"/>
        <v>9</v>
      </c>
      <c r="H22" s="65">
        <f t="shared" si="3"/>
        <v>1</v>
      </c>
      <c r="I22" s="71">
        <f t="shared" ref="I22" si="4">SUM(I10:I21)</f>
        <v>20</v>
      </c>
      <c r="J22" s="71">
        <f t="shared" ref="J22" si="5">SUM(J10:J21)</f>
        <v>29</v>
      </c>
      <c r="K22" s="72">
        <f t="shared" ref="K22" si="6">SUM(K10:K21)</f>
        <v>1</v>
      </c>
      <c r="L22" s="72">
        <f t="shared" ref="L22" si="7">SUM(L10:L21)</f>
        <v>1</v>
      </c>
      <c r="M22" s="72">
        <f t="shared" ref="M22" si="8">SUM(M10:M21)</f>
        <v>0</v>
      </c>
      <c r="N22" s="72">
        <f t="shared" ref="N22" si="9">SUM(N10:N21)</f>
        <v>3</v>
      </c>
      <c r="O22" s="72">
        <f t="shared" ref="O22" si="10">SUM(O10:O21)</f>
        <v>4</v>
      </c>
      <c r="P22" s="72">
        <f t="shared" ref="P22" si="11">SUM(P10:P21)</f>
        <v>38</v>
      </c>
      <c r="Q22" s="72">
        <f t="shared" ref="Q22" si="12">SUM(Q10:Q21)</f>
        <v>2</v>
      </c>
      <c r="R22" s="72">
        <f t="shared" ref="R22" si="13">SUM(R10:R21)</f>
        <v>0</v>
      </c>
      <c r="S22">
        <f>SUM(S10:S21)</f>
        <v>39</v>
      </c>
    </row>
    <row r="25" spans="1:19">
      <c r="B25" s="472" t="s">
        <v>1541</v>
      </c>
      <c r="C25" s="472" t="s">
        <v>2147</v>
      </c>
      <c r="D25" s="472"/>
      <c r="E25" s="472"/>
      <c r="F25" s="472"/>
      <c r="G25" s="472"/>
    </row>
    <row r="26" spans="1:19">
      <c r="B26" s="472"/>
      <c r="C26" s="30" t="s">
        <v>2115</v>
      </c>
      <c r="D26" s="30" t="s">
        <v>2117</v>
      </c>
      <c r="E26" s="30" t="s">
        <v>2118</v>
      </c>
      <c r="F26" s="27" t="s">
        <v>1925</v>
      </c>
      <c r="G26" s="30" t="s">
        <v>2148</v>
      </c>
    </row>
    <row r="27" spans="1:19">
      <c r="B27" s="8" t="s">
        <v>21</v>
      </c>
      <c r="C27" s="8">
        <f>COUNTIFS('Data Pegawai'!$J:$J,'Reporting 2'!D$2,'Data Pegawai'!$D:$D,'Reporting 2'!$B$3,'Data Pegawai'!$C:$C,"Aktif")</f>
        <v>59</v>
      </c>
      <c r="D27" s="8">
        <f>COUNTIFS('Data Pegawai'!$J:$J,'Reporting 2'!E$2,'Data Pegawai'!$D:$D,'Reporting 2'!$B$3,'Data Pegawai'!$C:$C,"Aktif")</f>
        <v>53</v>
      </c>
      <c r="E27" s="8">
        <f>COUNTIFS('Data Pegawai'!$J:$J,'Reporting 2'!G$2,'Data Pegawai'!$D:$D,'Reporting 2'!$B$3,'Data Pegawai'!$C:$C,"Aktif")</f>
        <v>2</v>
      </c>
      <c r="F27" s="8">
        <f>COUNTIFS('Data Pegawai'!$J:$J,'Reporting 2'!H$2,'Data Pegawai'!$D:$D,'Reporting 2'!$B$3,'Data Pegawai'!$C:$C,"Aktif")</f>
        <v>0</v>
      </c>
      <c r="G27" s="8">
        <f>COUNTIFS('Data Pegawai'!$J:$J,'Reporting 2'!I$2,'Data Pegawai'!$D:$D,'Reporting 2'!$B$3,'Data Pegawai'!$C:$C,"Aktif")</f>
        <v>0</v>
      </c>
    </row>
    <row r="28" spans="1:19">
      <c r="B28" s="8" t="s">
        <v>573</v>
      </c>
      <c r="C28" s="8">
        <f>COUNTIFS('Data Pegawai'!$J:$J,'Reporting 2'!D$2,'Data Pegawai'!$D:$D,'Reporting 2'!$B$4,'Data Pegawai'!$C:$C,"Aktif")</f>
        <v>30</v>
      </c>
      <c r="D28" s="8">
        <f>COUNTIFS('Data Pegawai'!$J:$J,'Reporting 2'!E$2,'Data Pegawai'!$D:$D,'Reporting 2'!$B$4,'Data Pegawai'!$C:$C,"Aktif")</f>
        <v>9</v>
      </c>
      <c r="E28" s="8">
        <f>COUNTIFS('Data Pegawai'!$J:$J,'Reporting 2'!G$2,'Data Pegawai'!$D:$D,'Reporting 2'!$B$4,'Data Pegawai'!$C:$C,"Aktif")</f>
        <v>0</v>
      </c>
      <c r="F28" s="8">
        <f>COUNTIFS('Data Pegawai'!$J:$J,'Reporting 2'!H$2,'Data Pegawai'!$D:$D,'Reporting 2'!$B$4,'Data Pegawai'!$C:$C,"Aktif")</f>
        <v>7</v>
      </c>
      <c r="G28" s="8">
        <f>COUNTIFS('Data Pegawai'!$J:$J,'Reporting 2'!I$2,'Data Pegawai'!$D:$D,'Reporting 2'!$B$4,'Data Pegawai'!$C:$C,"Aktif")</f>
        <v>1</v>
      </c>
    </row>
    <row r="29" spans="1:19">
      <c r="B29" s="326" t="s">
        <v>2018</v>
      </c>
      <c r="C29" s="8">
        <f>SUM(C27:C28)</f>
        <v>89</v>
      </c>
      <c r="D29" s="8">
        <f t="shared" ref="D29:G29" si="14">SUM(D27:D28)</f>
        <v>62</v>
      </c>
      <c r="E29" s="8">
        <f t="shared" si="14"/>
        <v>2</v>
      </c>
      <c r="F29" s="8">
        <f t="shared" si="14"/>
        <v>7</v>
      </c>
      <c r="G29" s="8">
        <f t="shared" si="14"/>
        <v>1</v>
      </c>
    </row>
    <row r="31" spans="1:19">
      <c r="B31" s="472" t="s">
        <v>1541</v>
      </c>
      <c r="C31" s="473" t="s">
        <v>760</v>
      </c>
      <c r="D31" s="473"/>
      <c r="E31" s="473"/>
      <c r="F31" s="473"/>
      <c r="G31" s="473"/>
      <c r="H31" s="473"/>
      <c r="I31" s="473"/>
      <c r="J31" s="473"/>
    </row>
    <row r="32" spans="1:19">
      <c r="B32" s="472"/>
      <c r="C32" s="326" t="s">
        <v>1929</v>
      </c>
      <c r="D32" s="326" t="s">
        <v>1939</v>
      </c>
      <c r="E32" s="326" t="s">
        <v>2149</v>
      </c>
      <c r="F32" s="326" t="s">
        <v>1750</v>
      </c>
      <c r="G32" s="326" t="s">
        <v>1695</v>
      </c>
      <c r="H32" s="326" t="s">
        <v>1599</v>
      </c>
      <c r="I32" s="326" t="s">
        <v>854</v>
      </c>
      <c r="J32" s="326" t="s">
        <v>879</v>
      </c>
    </row>
    <row r="33" spans="2:10">
      <c r="B33" s="8" t="s">
        <v>21</v>
      </c>
      <c r="C33" s="8">
        <f>COUNTIFS('Data Pegawai'!$C:$C,"Aktif",'Data Pegawai'!$M:$M,L$2,'Data Pegawai'!$D:$D,$B3)</f>
        <v>0</v>
      </c>
      <c r="D33" s="8">
        <f>COUNTIFS('Data Pegawai'!$C:$C,"Aktif",'Data Pegawai'!$M:$M,M$2,'Data Pegawai'!$D:$D,$B3)</f>
        <v>0</v>
      </c>
      <c r="E33" s="8">
        <f>COUNTIFS('Data Pegawai'!$C:$C,"Aktif",'Data Pegawai'!$M:$M,N$2,'Data Pegawai'!$D:$D,$B3)</f>
        <v>0</v>
      </c>
      <c r="F33" s="8">
        <f>COUNTIFS('Data Pegawai'!$C:$C,"Aktif",'Data Pegawai'!$M:$M,O$2,'Data Pegawai'!$D:$D,$B3)</f>
        <v>0</v>
      </c>
      <c r="G33" s="8">
        <f>COUNTIFS('Data Pegawai'!$C:$C,"Aktif",'Data Pegawai'!$M:$M,P$2,'Data Pegawai'!$D:$D,$B3)</f>
        <v>0</v>
      </c>
      <c r="H33" s="8">
        <f>COUNTIFS('Data Pegawai'!$C:$C,"Aktif",'Data Pegawai'!$M:$M,Q$2,'Data Pegawai'!$D:$D,$B3)</f>
        <v>0</v>
      </c>
      <c r="I33" s="8">
        <f>COUNTIFS('Data Pegawai'!$C:$C,"Aktif",'Data Pegawai'!$M:$M,R$2,'Data Pegawai'!$D:$D,$B3)</f>
        <v>89</v>
      </c>
      <c r="J33" s="8">
        <f>COUNTIFS('Data Pegawai'!$C:$C,"Aktif",'Data Pegawai'!$M:$M,S$2,'Data Pegawai'!$D:$D,$B3)</f>
        <v>25</v>
      </c>
    </row>
    <row r="34" spans="2:10">
      <c r="B34" s="8" t="s">
        <v>573</v>
      </c>
      <c r="C34" s="8">
        <f>COUNTIFS('Data Pegawai'!$C:$C,"Aktif",'Data Pegawai'!$M:$M,L$2,'Data Pegawai'!$D:$D,$B4)</f>
        <v>1</v>
      </c>
      <c r="D34" s="8">
        <f>COUNTIFS('Data Pegawai'!$C:$C,"Aktif",'Data Pegawai'!$M:$M,M$2,'Data Pegawai'!$D:$D,$B4)</f>
        <v>1</v>
      </c>
      <c r="E34" s="8">
        <f>COUNTIFS('Data Pegawai'!$C:$C,"Aktif",'Data Pegawai'!$M:$M,N$2,'Data Pegawai'!$D:$D,$B4)</f>
        <v>0</v>
      </c>
      <c r="F34" s="8">
        <f>COUNTIFS('Data Pegawai'!$C:$C,"Aktif",'Data Pegawai'!$M:$M,O$2,'Data Pegawai'!$D:$D,$B4)</f>
        <v>3</v>
      </c>
      <c r="G34" s="8">
        <f>COUNTIFS('Data Pegawai'!$C:$C,"Aktif",'Data Pegawai'!$M:$M,P$2,'Data Pegawai'!$D:$D,$B4)</f>
        <v>4</v>
      </c>
      <c r="H34" s="8">
        <f>COUNTIFS('Data Pegawai'!$C:$C,"Aktif",'Data Pegawai'!$M:$M,Q$2,'Data Pegawai'!$D:$D,$B4)</f>
        <v>36</v>
      </c>
      <c r="I34" s="8">
        <f>COUNTIFS('Data Pegawai'!$C:$C,"Aktif",'Data Pegawai'!$M:$M,R$2,'Data Pegawai'!$D:$D,$B4)</f>
        <v>2</v>
      </c>
      <c r="J34" s="8">
        <f>COUNTIFS('Data Pegawai'!$C:$C,"Aktif",'Data Pegawai'!$M:$M,S$2,'Data Pegawai'!$D:$D,$B4)</f>
        <v>0</v>
      </c>
    </row>
    <row r="35" spans="2:10">
      <c r="B35" s="326" t="s">
        <v>2018</v>
      </c>
      <c r="C35" s="8">
        <f>SUM(C33:C34)</f>
        <v>1</v>
      </c>
      <c r="D35" s="8">
        <f t="shared" ref="D35:J35" si="15">SUM(D33:D34)</f>
        <v>1</v>
      </c>
      <c r="E35" s="8">
        <f t="shared" si="15"/>
        <v>0</v>
      </c>
      <c r="F35" s="8">
        <f t="shared" si="15"/>
        <v>3</v>
      </c>
      <c r="G35" s="8">
        <f t="shared" si="15"/>
        <v>4</v>
      </c>
      <c r="H35" s="8">
        <f t="shared" si="15"/>
        <v>36</v>
      </c>
      <c r="I35" s="8">
        <f t="shared" si="15"/>
        <v>91</v>
      </c>
      <c r="J35" s="8">
        <f t="shared" si="15"/>
        <v>25</v>
      </c>
    </row>
    <row r="59" spans="1:21">
      <c r="A59" s="477" t="s">
        <v>0</v>
      </c>
      <c r="B59" s="477" t="s">
        <v>2150</v>
      </c>
      <c r="C59" s="488" t="s">
        <v>2155</v>
      </c>
      <c r="D59" s="488" t="s">
        <v>2156</v>
      </c>
      <c r="E59" s="487" t="s">
        <v>2147</v>
      </c>
      <c r="F59" s="487"/>
      <c r="G59" s="487"/>
      <c r="H59" s="487"/>
      <c r="I59" s="487"/>
      <c r="J59" s="487"/>
      <c r="K59" s="483" t="s">
        <v>811</v>
      </c>
      <c r="L59" s="483"/>
      <c r="M59" s="474" t="s">
        <v>760</v>
      </c>
      <c r="N59" s="474"/>
      <c r="O59" s="474"/>
      <c r="P59" s="474"/>
      <c r="Q59" s="474"/>
      <c r="R59" s="474"/>
      <c r="S59" s="474"/>
      <c r="T59" s="474"/>
    </row>
    <row r="60" spans="1:21">
      <c r="A60" s="478"/>
      <c r="B60" s="478"/>
      <c r="C60" s="478"/>
      <c r="D60" s="478"/>
      <c r="E60" s="339" t="s">
        <v>2157</v>
      </c>
      <c r="F60" s="339" t="s">
        <v>2115</v>
      </c>
      <c r="G60" s="339" t="s">
        <v>2116</v>
      </c>
      <c r="H60" s="339" t="s">
        <v>2117</v>
      </c>
      <c r="I60" s="340" t="s">
        <v>1925</v>
      </c>
      <c r="J60" s="339" t="s">
        <v>2148</v>
      </c>
      <c r="K60" s="61" t="s">
        <v>775</v>
      </c>
      <c r="L60" s="62" t="s">
        <v>1603</v>
      </c>
      <c r="M60" s="63" t="s">
        <v>1929</v>
      </c>
      <c r="N60" s="63" t="s">
        <v>1939</v>
      </c>
      <c r="O60" s="63" t="s">
        <v>2149</v>
      </c>
      <c r="P60" s="63" t="s">
        <v>1750</v>
      </c>
      <c r="Q60" s="63" t="s">
        <v>1695</v>
      </c>
      <c r="R60" s="63" t="s">
        <v>1599</v>
      </c>
      <c r="S60" s="63" t="s">
        <v>854</v>
      </c>
      <c r="T60" s="63" t="s">
        <v>879</v>
      </c>
    </row>
    <row r="61" spans="1:21">
      <c r="A61" s="68">
        <v>1</v>
      </c>
      <c r="B61" s="69" t="s">
        <v>1881</v>
      </c>
      <c r="C61" s="68">
        <f t="shared" ref="C61:C72" si="16">SUM(E61:J61)</f>
        <v>7</v>
      </c>
      <c r="D61" s="68">
        <f>SUM(F61:J61)</f>
        <v>7</v>
      </c>
      <c r="E61" s="64">
        <f>COUNTIFS(TPA!$AD:$AD,'Reporting 2'!$B61,TPA!$F:$F,C$2,TPA!$C:$C,"Aktif")</f>
        <v>0</v>
      </c>
      <c r="F61" s="64">
        <f>COUNTIFS(TPA!$AD:$AD,'Reporting 2'!$B61,TPA!$F:$F,D$2,TPA!$C:$C,"Aktif")</f>
        <v>6</v>
      </c>
      <c r="G61" s="64">
        <f>COUNTIFS(TPA!$AD:$AD,'Reporting 2'!$B61,TPA!$F:$F,F$9,TPA!$C:$C,"Aktif")</f>
        <v>0</v>
      </c>
      <c r="H61" s="64">
        <f>COUNTIFS(TPA!$AD:$AD,'Reporting 2'!$B61,TPA!$F:$F,E$2,TPA!$C:$C,"Aktif")</f>
        <v>0</v>
      </c>
      <c r="I61" s="64">
        <f>COUNTIFS(TPA!$AD:$AD,'Reporting 2'!$B61,TPA!$F:$F,H$2,TPA!$C:$C,"Aktif")</f>
        <v>1</v>
      </c>
      <c r="J61" s="64">
        <f>COUNTIFS(TPA!$AD:$AD,'Reporting 2'!$B61,TPA!$F:$F,I$2,TPA!$C:$C,"Aktif")</f>
        <v>0</v>
      </c>
      <c r="K61" s="66">
        <f>COUNTIFS(TPA!$AD:$AD,$B61,TPA!$C:$C,"Aktif",TPA!$BA:$BA,J$2)</f>
        <v>2</v>
      </c>
      <c r="L61" s="66">
        <f>COUNTIFS(TPA!$AD:$AD,$B61,TPA!$C:$C,"Aktif",TPA!$BA:$BA,K$2)</f>
        <v>5</v>
      </c>
      <c r="M61" s="67">
        <f>COUNTIFS(TPA!$AD:$AD,$B61,TPA!$C:$C,"Aktif",TPA!$AS:$AS,L$2)</f>
        <v>1</v>
      </c>
      <c r="N61" s="67">
        <f>COUNTIFS(TPA!$AD:$AD,$B61,TPA!$C:$C,"Aktif",TPA!$AS:$AS,M$2)</f>
        <v>0</v>
      </c>
      <c r="O61" s="67">
        <f>COUNTIFS(TPA!$AD:$AD,$B61,TPA!$C:$C,"Aktif",TPA!$AS:$AS,N$2)</f>
        <v>0</v>
      </c>
      <c r="P61" s="67">
        <f>COUNTIFS(TPA!$AD:$AD,$B61,TPA!$C:$C,"Aktif",TPA!$AS:$AS,O$2)</f>
        <v>1</v>
      </c>
      <c r="Q61" s="67">
        <f>COUNTIFS(TPA!$AD:$AD,$B61,TPA!$C:$C,"Aktif",TPA!$AS:$AS,P$2)</f>
        <v>1</v>
      </c>
      <c r="R61" s="67">
        <f>COUNTIFS(TPA!$AD:$AD,$B61,TPA!$C:$C,"Aktif",TPA!$AS:$AS,Q$2)</f>
        <v>4</v>
      </c>
      <c r="S61" s="67">
        <f>COUNTIFS(TPA!$AD:$AD,$B61,TPA!$C:$C,"Aktif",TPA!$AS:$AS,R$2)</f>
        <v>0</v>
      </c>
      <c r="T61" s="67">
        <f>COUNTIFS(TPA!$AD:$AD,$B61,TPA!$C:$C,"Aktif",TPA!$AS:$AS,S$2)</f>
        <v>0</v>
      </c>
      <c r="U61">
        <f t="shared" ref="U61:U72" si="17">SUM(F61:H61)</f>
        <v>6</v>
      </c>
    </row>
    <row r="62" spans="1:21">
      <c r="A62" s="68">
        <v>2</v>
      </c>
      <c r="B62" s="69" t="s">
        <v>2151</v>
      </c>
      <c r="C62" s="68">
        <f t="shared" si="16"/>
        <v>3</v>
      </c>
      <c r="D62" s="68">
        <f t="shared" ref="D62:D72" si="18">SUM(F62:J62)</f>
        <v>1</v>
      </c>
      <c r="E62" s="64">
        <v>2</v>
      </c>
      <c r="F62" s="64">
        <f>COUNTIFS(TPA!$AD:$AD,'Reporting 2'!$B62,TPA!$F:$F,D$2,TPA!$C:$C,"Aktif")</f>
        <v>1</v>
      </c>
      <c r="G62" s="64">
        <f>COUNTIFS(TPA!$AD:$AD,'Reporting 2'!$B62,TPA!$F:$F,F$9,TPA!$C:$C,"Aktif")</f>
        <v>0</v>
      </c>
      <c r="H62" s="64">
        <f>COUNTIFS(TPA!$AD:$AD,'Reporting 2'!$B62,TPA!$F:$F,E$2,TPA!$C:$C,"Aktif")</f>
        <v>0</v>
      </c>
      <c r="I62" s="64">
        <f>COUNTIFS(TPA!$AD:$AD,'Reporting 2'!$B62,TPA!$F:$F,H$2,TPA!$C:$C,"Aktif")</f>
        <v>0</v>
      </c>
      <c r="J62" s="64">
        <f>COUNTIFS(TPA!$AD:$AD,'Reporting 2'!$B62,TPA!$F:$F,I$2,TPA!$C:$C,"Aktif")</f>
        <v>0</v>
      </c>
      <c r="K62" s="66">
        <f>COUNTIFS(TPA!$AD:$AD,$B62,TPA!$C:$C,"Aktif",TPA!$BA:$BA,J$2)</f>
        <v>1</v>
      </c>
      <c r="L62" s="66">
        <f>COUNTIFS(TPA!$AD:$AD,$B62,TPA!$C:$C,"Aktif",TPA!$BA:$BA,K$2)</f>
        <v>0</v>
      </c>
      <c r="M62" s="67">
        <f>COUNTIFS(TPA!$AD:$AD,$B62,TPA!$C:$C,"Aktif",TPA!$AS:$AS,L$2)</f>
        <v>0</v>
      </c>
      <c r="N62" s="67">
        <f>COUNTIFS(TPA!$AD:$AD,$B62,TPA!$C:$C,"Aktif",TPA!$AS:$AS,M$2)</f>
        <v>0</v>
      </c>
      <c r="O62" s="67">
        <f>COUNTIFS(TPA!$AD:$AD,$B62,TPA!$C:$C,"Aktif",TPA!$AS:$AS,N$2)</f>
        <v>0</v>
      </c>
      <c r="P62" s="67">
        <f>COUNTIFS(TPA!$AD:$AD,$B62,TPA!$C:$C,"Aktif",TPA!$AS:$AS,O$2)</f>
        <v>0</v>
      </c>
      <c r="Q62" s="67">
        <f>COUNTIFS(TPA!$AD:$AD,$B62,TPA!$C:$C,"Aktif",TPA!$AS:$AS,P$2)</f>
        <v>0</v>
      </c>
      <c r="R62" s="67">
        <f>COUNTIFS(TPA!$AD:$AD,$B62,TPA!$C:$C,"Aktif",TPA!$AS:$AS,Q$2)</f>
        <v>1</v>
      </c>
      <c r="S62" s="67">
        <f>COUNTIFS(TPA!$AD:$AD,$B62,TPA!$C:$C,"Aktif",TPA!$AS:$AS,R$2)</f>
        <v>0</v>
      </c>
      <c r="T62" s="67">
        <f>COUNTIFS(TPA!$AD:$AD,$B62,TPA!$C:$C,"Aktif",TPA!$AS:$AS,S$2)</f>
        <v>0</v>
      </c>
      <c r="U62">
        <f t="shared" si="17"/>
        <v>1</v>
      </c>
    </row>
    <row r="63" spans="1:21">
      <c r="A63" s="68">
        <v>3</v>
      </c>
      <c r="B63" s="69" t="s">
        <v>1629</v>
      </c>
      <c r="C63" s="68">
        <f t="shared" si="16"/>
        <v>7</v>
      </c>
      <c r="D63" s="68">
        <f t="shared" si="18"/>
        <v>4</v>
      </c>
      <c r="E63" s="64">
        <v>3</v>
      </c>
      <c r="F63" s="64">
        <f>COUNTIFS(TPA!$AD:$AD,'Reporting 2'!$B63,TPA!$F:$F,D$2,TPA!$C:$C,"Aktif")</f>
        <v>2</v>
      </c>
      <c r="G63" s="64">
        <f>COUNTIFS(TPA!$AD:$AD,'Reporting 2'!$B63,TPA!$F:$F,F$9,TPA!$C:$C,"Aktif")</f>
        <v>0</v>
      </c>
      <c r="H63" s="64">
        <f>COUNTIFS(TPA!$AD:$AD,'Reporting 2'!$B63,TPA!$F:$F,E$2,TPA!$C:$C,"Aktif")</f>
        <v>2</v>
      </c>
      <c r="I63" s="64">
        <f>COUNTIFS(TPA!$AD:$AD,'Reporting 2'!$B63,TPA!$F:$F,H$2,TPA!$C:$C,"Aktif")</f>
        <v>0</v>
      </c>
      <c r="J63" s="64">
        <f>COUNTIFS(TPA!$AD:$AD,'Reporting 2'!$B63,TPA!$F:$F,I$2,TPA!$C:$C,"Aktif")</f>
        <v>0</v>
      </c>
      <c r="K63" s="66">
        <f>COUNTIFS(TPA!$AD:$AD,$B63,TPA!$C:$C,"Aktif",TPA!$BA:$BA,J$2)</f>
        <v>1</v>
      </c>
      <c r="L63" s="66">
        <f>COUNTIFS(TPA!$AD:$AD,$B63,TPA!$C:$C,"Aktif",TPA!$BA:$BA,K$2)</f>
        <v>3</v>
      </c>
      <c r="M63" s="67">
        <f>COUNTIFS(TPA!$AD:$AD,$B63,TPA!$C:$C,"Aktif",TPA!$AS:$AS,L$2)</f>
        <v>0</v>
      </c>
      <c r="N63" s="67">
        <f>COUNTIFS(TPA!$AD:$AD,$B63,TPA!$C:$C,"Aktif",TPA!$AS:$AS,M$2)</f>
        <v>0</v>
      </c>
      <c r="O63" s="67">
        <f>COUNTIFS(TPA!$AD:$AD,$B63,TPA!$C:$C,"Aktif",TPA!$AS:$AS,N$2)</f>
        <v>0</v>
      </c>
      <c r="P63" s="67">
        <f>COUNTIFS(TPA!$AD:$AD,$B63,TPA!$C:$C,"Aktif",TPA!$AS:$AS,O$2)</f>
        <v>0</v>
      </c>
      <c r="Q63" s="67">
        <f>COUNTIFS(TPA!$AD:$AD,$B63,TPA!$C:$C,"Aktif",TPA!$AS:$AS,P$2)</f>
        <v>0</v>
      </c>
      <c r="R63" s="67">
        <f>COUNTIFS(TPA!$AD:$AD,$B63,TPA!$C:$C,"Aktif",TPA!$AS:$AS,Q$2)</f>
        <v>3</v>
      </c>
      <c r="S63" s="67">
        <f>COUNTIFS(TPA!$AD:$AD,$B63,TPA!$C:$C,"Aktif",TPA!$AS:$AS,R$2)</f>
        <v>1</v>
      </c>
      <c r="T63" s="67">
        <f>COUNTIFS(TPA!$AD:$AD,$B63,TPA!$C:$C,"Aktif",TPA!$AS:$AS,S$2)</f>
        <v>0</v>
      </c>
      <c r="U63">
        <f t="shared" si="17"/>
        <v>4</v>
      </c>
    </row>
    <row r="64" spans="1:21">
      <c r="A64" s="68">
        <v>4</v>
      </c>
      <c r="B64" s="69" t="s">
        <v>2152</v>
      </c>
      <c r="C64" s="68">
        <f t="shared" si="16"/>
        <v>4</v>
      </c>
      <c r="D64" s="68">
        <f t="shared" si="18"/>
        <v>2</v>
      </c>
      <c r="E64" s="64">
        <v>2</v>
      </c>
      <c r="F64" s="64">
        <f>COUNTIFS(TPA!$AD:$AD,'Reporting 2'!$B64,TPA!$F:$F,D$2,TPA!$C:$C,"Aktif")</f>
        <v>0</v>
      </c>
      <c r="G64" s="64">
        <f>COUNTIFS(TPA!$AD:$AD,'Reporting 2'!$B64,TPA!$F:$F,F$9,TPA!$C:$C,"Aktif")</f>
        <v>0</v>
      </c>
      <c r="H64" s="64">
        <f>COUNTIFS(TPA!$AD:$AD,'Reporting 2'!$B64,TPA!$F:$F,E$2,TPA!$C:$C,"Aktif")</f>
        <v>2</v>
      </c>
      <c r="I64" s="64">
        <f>COUNTIFS(TPA!$AD:$AD,'Reporting 2'!$B64,TPA!$F:$F,H$2,TPA!$C:$C,"Aktif")</f>
        <v>0</v>
      </c>
      <c r="J64" s="64">
        <f>COUNTIFS(TPA!$AD:$AD,'Reporting 2'!$B64,TPA!$F:$F,I$2,TPA!$C:$C,"Aktif")</f>
        <v>0</v>
      </c>
      <c r="K64" s="66">
        <f>COUNTIFS(TPA!$AD:$AD,$B64,TPA!$C:$C,"Aktif",TPA!$BA:$BA,J$2)</f>
        <v>1</v>
      </c>
      <c r="L64" s="66">
        <f>COUNTIFS(TPA!$AD:$AD,$B64,TPA!$C:$C,"Aktif",TPA!$BA:$BA,K$2)</f>
        <v>1</v>
      </c>
      <c r="M64" s="67">
        <f>COUNTIFS(TPA!$AD:$AD,$B64,TPA!$C:$C,"Aktif",TPA!$AS:$AS,L$2)</f>
        <v>0</v>
      </c>
      <c r="N64" s="67">
        <f>COUNTIFS(TPA!$AD:$AD,$B64,TPA!$C:$C,"Aktif",TPA!$AS:$AS,M$2)</f>
        <v>0</v>
      </c>
      <c r="O64" s="67">
        <f>COUNTIFS(TPA!$AD:$AD,$B64,TPA!$C:$C,"Aktif",TPA!$AS:$AS,N$2)</f>
        <v>0</v>
      </c>
      <c r="P64" s="67">
        <f>COUNTIFS(TPA!$AD:$AD,$B64,TPA!$C:$C,"Aktif",TPA!$AS:$AS,O$2)</f>
        <v>0</v>
      </c>
      <c r="Q64" s="67">
        <f>COUNTIFS(TPA!$AD:$AD,$B64,TPA!$C:$C,"Aktif",TPA!$AS:$AS,P$2)</f>
        <v>0</v>
      </c>
      <c r="R64" s="67">
        <f>COUNTIFS(TPA!$AD:$AD,$B64,TPA!$C:$C,"Aktif",TPA!$AS:$AS,Q$2)</f>
        <v>2</v>
      </c>
      <c r="S64" s="67">
        <f>COUNTIFS(TPA!$AD:$AD,$B64,TPA!$C:$C,"Aktif",TPA!$AS:$AS,R$2)</f>
        <v>0</v>
      </c>
      <c r="T64" s="67">
        <f>COUNTIFS(TPA!$AD:$AD,$B64,TPA!$C:$C,"Aktif",TPA!$AS:$AS,S$2)</f>
        <v>0</v>
      </c>
      <c r="U64">
        <f t="shared" si="17"/>
        <v>2</v>
      </c>
    </row>
    <row r="65" spans="1:21">
      <c r="A65" s="68">
        <v>5</v>
      </c>
      <c r="B65" s="69" t="s">
        <v>2153</v>
      </c>
      <c r="C65" s="68">
        <f t="shared" si="16"/>
        <v>8</v>
      </c>
      <c r="D65" s="68">
        <f t="shared" si="18"/>
        <v>6</v>
      </c>
      <c r="E65" s="64">
        <v>2</v>
      </c>
      <c r="F65" s="64">
        <f>COUNTIFS(TPA!$AD:$AD,'Reporting 2'!$B65,TPA!$F:$F,D$2,TPA!$C:$C,"Aktif")</f>
        <v>5</v>
      </c>
      <c r="G65" s="64">
        <f>COUNTIFS(TPA!$AD:$AD,'Reporting 2'!$B65,TPA!$F:$F,F$9,TPA!$C:$C,"Aktif")</f>
        <v>0</v>
      </c>
      <c r="H65" s="64">
        <f>COUNTIFS(TPA!$AD:$AD,'Reporting 2'!$B65,TPA!$F:$F,E$2,TPA!$C:$C,"Aktif")</f>
        <v>0</v>
      </c>
      <c r="I65" s="64">
        <f>COUNTIFS(TPA!$AD:$AD,'Reporting 2'!$B65,TPA!$F:$F,H$2,TPA!$C:$C,"Aktif")</f>
        <v>1</v>
      </c>
      <c r="J65" s="64">
        <f>COUNTIFS(TPA!$AD:$AD,'Reporting 2'!$B65,TPA!$F:$F,I$2,TPA!$C:$C,"Aktif")</f>
        <v>0</v>
      </c>
      <c r="K65" s="66">
        <f>COUNTIFS(TPA!$AD:$AD,$B65,TPA!$C:$C,"Aktif",TPA!$BA:$BA,J$2)</f>
        <v>2</v>
      </c>
      <c r="L65" s="66">
        <f>COUNTIFS(TPA!$AD:$AD,$B65,TPA!$C:$C,"Aktif",TPA!$BA:$BA,K$2)</f>
        <v>4</v>
      </c>
      <c r="M65" s="67">
        <f>COUNTIFS(TPA!$AD:$AD,$B65,TPA!$C:$C,"Aktif",TPA!$AS:$AS,L$2)</f>
        <v>0</v>
      </c>
      <c r="N65" s="67">
        <f>COUNTIFS(TPA!$AD:$AD,$B65,TPA!$C:$C,"Aktif",TPA!$AS:$AS,M$2)</f>
        <v>0</v>
      </c>
      <c r="O65" s="67">
        <f>COUNTIFS(TPA!$AD:$AD,$B65,TPA!$C:$C,"Aktif",TPA!$AS:$AS,N$2)</f>
        <v>0</v>
      </c>
      <c r="P65" s="67">
        <f>COUNTIFS(TPA!$AD:$AD,$B65,TPA!$C:$C,"Aktif",TPA!$AS:$AS,O$2)</f>
        <v>2</v>
      </c>
      <c r="Q65" s="67">
        <f>COUNTIFS(TPA!$AD:$AD,$B65,TPA!$C:$C,"Aktif",TPA!$AS:$AS,P$2)</f>
        <v>1</v>
      </c>
      <c r="R65" s="67">
        <f>COUNTIFS(TPA!$AD:$AD,$B65,TPA!$C:$C,"Aktif",TPA!$AS:$AS,Q$2)</f>
        <v>3</v>
      </c>
      <c r="S65" s="67">
        <f>COUNTIFS(TPA!$AD:$AD,$B65,TPA!$C:$C,"Aktif",TPA!$AS:$AS,R$2)</f>
        <v>0</v>
      </c>
      <c r="T65" s="67">
        <f>COUNTIFS(TPA!$AD:$AD,$B65,TPA!$C:$C,"Aktif",TPA!$AS:$AS,S$2)</f>
        <v>0</v>
      </c>
      <c r="U65">
        <f t="shared" si="17"/>
        <v>5</v>
      </c>
    </row>
    <row r="66" spans="1:21">
      <c r="A66" s="68">
        <v>6</v>
      </c>
      <c r="B66" s="69" t="s">
        <v>1830</v>
      </c>
      <c r="C66" s="68">
        <f t="shared" si="16"/>
        <v>4</v>
      </c>
      <c r="D66" s="68">
        <f t="shared" si="18"/>
        <v>3</v>
      </c>
      <c r="E66" s="64">
        <v>1</v>
      </c>
      <c r="F66" s="64">
        <f>COUNTIFS(TPA!$AD:$AD,'Reporting 2'!$B66,TPA!$F:$F,D$2,TPA!$C:$C,"Aktif")</f>
        <v>3</v>
      </c>
      <c r="G66" s="64">
        <f>COUNTIFS(TPA!$AD:$AD,'Reporting 2'!$B66,TPA!$F:$F,F$9,TPA!$C:$C,"Aktif")</f>
        <v>0</v>
      </c>
      <c r="H66" s="64">
        <f>COUNTIFS(TPA!$AD:$AD,'Reporting 2'!$B66,TPA!$F:$F,E$2,TPA!$C:$C,"Aktif")</f>
        <v>0</v>
      </c>
      <c r="I66" s="64">
        <f>COUNTIFS(TPA!$AD:$AD,'Reporting 2'!$B66,TPA!$F:$F,H$2,TPA!$C:$C,"Aktif")</f>
        <v>0</v>
      </c>
      <c r="J66" s="64">
        <f>COUNTIFS(TPA!$AD:$AD,'Reporting 2'!$B66,TPA!$F:$F,I$2,TPA!$C:$C,"Aktif")</f>
        <v>0</v>
      </c>
      <c r="K66" s="66">
        <f>COUNTIFS(TPA!$AD:$AD,$B66,TPA!$C:$C,"Aktif",TPA!$BA:$BA,J$2)</f>
        <v>0</v>
      </c>
      <c r="L66" s="66">
        <f>COUNTIFS(TPA!$AD:$AD,$B66,TPA!$C:$C,"Aktif",TPA!$BA:$BA,K$2)</f>
        <v>3</v>
      </c>
      <c r="M66" s="67">
        <f>COUNTIFS(TPA!$AD:$AD,$B66,TPA!$C:$C,"Aktif",TPA!$AS:$AS,L$2)</f>
        <v>0</v>
      </c>
      <c r="N66" s="67">
        <f>COUNTIFS(TPA!$AD:$AD,$B66,TPA!$C:$C,"Aktif",TPA!$AS:$AS,M$2)</f>
        <v>0</v>
      </c>
      <c r="O66" s="67">
        <f>COUNTIFS(TPA!$AD:$AD,$B66,TPA!$C:$C,"Aktif",TPA!$AS:$AS,N$2)</f>
        <v>0</v>
      </c>
      <c r="P66" s="67">
        <f>COUNTIFS(TPA!$AD:$AD,$B66,TPA!$C:$C,"Aktif",TPA!$AS:$AS,O$2)</f>
        <v>0</v>
      </c>
      <c r="Q66" s="67">
        <f>COUNTIFS(TPA!$AD:$AD,$B66,TPA!$C:$C,"Aktif",TPA!$AS:$AS,P$2)</f>
        <v>0</v>
      </c>
      <c r="R66" s="67">
        <f>COUNTIFS(TPA!$AD:$AD,$B66,TPA!$C:$C,"Aktif",TPA!$AS:$AS,Q$2)</f>
        <v>3</v>
      </c>
      <c r="S66" s="67">
        <f>COUNTIFS(TPA!$AD:$AD,$B66,TPA!$C:$C,"Aktif",TPA!$AS:$AS,R$2)</f>
        <v>0</v>
      </c>
      <c r="T66" s="67">
        <f>COUNTIFS(TPA!$AD:$AD,$B66,TPA!$C:$C,"Aktif",TPA!$AS:$AS,S$2)</f>
        <v>0</v>
      </c>
      <c r="U66">
        <f t="shared" si="17"/>
        <v>3</v>
      </c>
    </row>
    <row r="67" spans="1:21">
      <c r="A67" s="68">
        <v>7</v>
      </c>
      <c r="B67" s="69" t="s">
        <v>582</v>
      </c>
      <c r="C67" s="68">
        <f t="shared" si="16"/>
        <v>4</v>
      </c>
      <c r="D67" s="68">
        <f t="shared" si="18"/>
        <v>4</v>
      </c>
      <c r="E67" s="64">
        <f>COUNTIFS(TPA!$AD:$AD,'Reporting 2'!$B67,TPA!$F:$F,C$2,TPA!$C:$C,"Aktif")</f>
        <v>0</v>
      </c>
      <c r="F67" s="64">
        <f>COUNTIFS(TPA!$AD:$AD,'Reporting 2'!$B67,TPA!$F:$F,D$2,TPA!$C:$C,"Aktif")</f>
        <v>3</v>
      </c>
      <c r="G67" s="64">
        <f>COUNTIFS(TPA!$AD:$AD,'Reporting 2'!$B67,TPA!$F:$F,F$9,TPA!$C:$C,"Aktif")</f>
        <v>0</v>
      </c>
      <c r="H67" s="64">
        <f>COUNTIFS(TPA!$AD:$AD,'Reporting 2'!$B67,TPA!$F:$F,E$2,TPA!$C:$C,"Aktif")</f>
        <v>1</v>
      </c>
      <c r="I67" s="64">
        <f>COUNTIFS(TPA!$AD:$AD,'Reporting 2'!$B67,TPA!$F:$F,H$2,TPA!$C:$C,"Aktif")</f>
        <v>0</v>
      </c>
      <c r="J67" s="64">
        <f>COUNTIFS(TPA!$AD:$AD,'Reporting 2'!$B67,TPA!$F:$F,I$2,TPA!$C:$C,"Aktif")</f>
        <v>0</v>
      </c>
      <c r="K67" s="66">
        <f>COUNTIFS(TPA!$AD:$AD,$B67,TPA!$C:$C,"Aktif",TPA!$BA:$BA,J$2)</f>
        <v>0</v>
      </c>
      <c r="L67" s="66">
        <f>COUNTIFS(TPA!$AD:$AD,$B67,TPA!$C:$C,"Aktif",TPA!$BA:$BA,K$2)</f>
        <v>4</v>
      </c>
      <c r="M67" s="67">
        <f>COUNTIFS(TPA!$AD:$AD,$B67,TPA!$C:$C,"Aktif",TPA!$AS:$AS,L$2)</f>
        <v>0</v>
      </c>
      <c r="N67" s="67">
        <f>COUNTIFS(TPA!$AD:$AD,$B67,TPA!$C:$C,"Aktif",TPA!$AS:$AS,M$2)</f>
        <v>0</v>
      </c>
      <c r="O67" s="67">
        <f>COUNTIFS(TPA!$AD:$AD,$B67,TPA!$C:$C,"Aktif",TPA!$AS:$AS,N$2)</f>
        <v>0</v>
      </c>
      <c r="P67" s="67">
        <f>COUNTIFS(TPA!$AD:$AD,$B67,TPA!$C:$C,"Aktif",TPA!$AS:$AS,O$2)</f>
        <v>0</v>
      </c>
      <c r="Q67" s="67">
        <f>COUNTIFS(TPA!$AD:$AD,$B67,TPA!$C:$C,"Aktif",TPA!$AS:$AS,P$2)</f>
        <v>0</v>
      </c>
      <c r="R67" s="67">
        <f>COUNTIFS(TPA!$AD:$AD,$B67,TPA!$C:$C,"Aktif",TPA!$AS:$AS,Q$2)</f>
        <v>4</v>
      </c>
      <c r="S67" s="67">
        <f>COUNTIFS(TPA!$AD:$AD,$B67,TPA!$C:$C,"Aktif",TPA!$AS:$AS,R$2)</f>
        <v>0</v>
      </c>
      <c r="T67" s="67">
        <f>COUNTIFS(TPA!$AD:$AD,$B67,TPA!$C:$C,"Aktif",TPA!$AS:$AS,S$2)</f>
        <v>0</v>
      </c>
      <c r="U67">
        <f t="shared" si="17"/>
        <v>4</v>
      </c>
    </row>
    <row r="68" spans="1:21">
      <c r="A68" s="68">
        <v>8</v>
      </c>
      <c r="B68" s="69" t="s">
        <v>1863</v>
      </c>
      <c r="C68" s="68">
        <f t="shared" si="16"/>
        <v>4</v>
      </c>
      <c r="D68" s="68">
        <f t="shared" si="18"/>
        <v>3</v>
      </c>
      <c r="E68" s="64">
        <v>1</v>
      </c>
      <c r="F68" s="64">
        <f>COUNTIFS(TPA!$AD:$AD,'Reporting 2'!$B68,TPA!$F:$F,D$2,TPA!$C:$C,"Aktif")</f>
        <v>1</v>
      </c>
      <c r="G68" s="64">
        <f>COUNTIFS(TPA!$AD:$AD,'Reporting 2'!$B68,TPA!$F:$F,F$9,TPA!$C:$C,"Aktif")</f>
        <v>0</v>
      </c>
      <c r="H68" s="64">
        <f>COUNTIFS(TPA!$AD:$AD,'Reporting 2'!$B68,TPA!$F:$F,E$2,TPA!$C:$C,"Aktif")</f>
        <v>0</v>
      </c>
      <c r="I68" s="64">
        <f>COUNTIFS(TPA!$AD:$AD,'Reporting 2'!$B68,TPA!$F:$F,H$2,TPA!$C:$C,"Aktif")</f>
        <v>2</v>
      </c>
      <c r="J68" s="64">
        <f>COUNTIFS(TPA!$AD:$AD,'Reporting 2'!$B68,TPA!$F:$F,I$2,TPA!$C:$C,"Aktif")</f>
        <v>0</v>
      </c>
      <c r="K68" s="66">
        <f>COUNTIFS(TPA!$AD:$AD,$B68,TPA!$C:$C,"Aktif",TPA!$BA:$BA,J$2)</f>
        <v>3</v>
      </c>
      <c r="L68" s="66">
        <f>COUNTIFS(TPA!$AD:$AD,$B68,TPA!$C:$C,"Aktif",TPA!$BA:$BA,K$2)</f>
        <v>0</v>
      </c>
      <c r="M68" s="67">
        <f>COUNTIFS(TPA!$AD:$AD,$B68,TPA!$C:$C,"Aktif",TPA!$AS:$AS,L$2)</f>
        <v>0</v>
      </c>
      <c r="N68" s="67">
        <f>COUNTIFS(TPA!$AD:$AD,$B68,TPA!$C:$C,"Aktif",TPA!$AS:$AS,M$2)</f>
        <v>0</v>
      </c>
      <c r="O68" s="67">
        <f>COUNTIFS(TPA!$AD:$AD,$B68,TPA!$C:$C,"Aktif",TPA!$AS:$AS,N$2)</f>
        <v>0</v>
      </c>
      <c r="P68" s="67">
        <f>COUNTIFS(TPA!$AD:$AD,$B68,TPA!$C:$C,"Aktif",TPA!$AS:$AS,O$2)</f>
        <v>0</v>
      </c>
      <c r="Q68" s="67">
        <f>COUNTIFS(TPA!$AD:$AD,$B68,TPA!$C:$C,"Aktif",TPA!$AS:$AS,P$2)</f>
        <v>0</v>
      </c>
      <c r="R68" s="67">
        <f>COUNTIFS(TPA!$AD:$AD,$B68,TPA!$C:$C,"Aktif",TPA!$AS:$AS,Q$2)</f>
        <v>3</v>
      </c>
      <c r="S68" s="67">
        <f>COUNTIFS(TPA!$AD:$AD,$B68,TPA!$C:$C,"Aktif",TPA!$AS:$AS,R$2)</f>
        <v>0</v>
      </c>
      <c r="T68" s="67">
        <f>COUNTIFS(TPA!$AD:$AD,$B68,TPA!$C:$C,"Aktif",TPA!$AS:$AS,S$2)</f>
        <v>0</v>
      </c>
      <c r="U68">
        <f t="shared" si="17"/>
        <v>1</v>
      </c>
    </row>
    <row r="69" spans="1:21">
      <c r="A69" s="68">
        <v>9</v>
      </c>
      <c r="B69" s="69" t="s">
        <v>2154</v>
      </c>
      <c r="C69" s="68">
        <f t="shared" si="16"/>
        <v>5</v>
      </c>
      <c r="D69" s="68">
        <f t="shared" si="18"/>
        <v>5</v>
      </c>
      <c r="E69" s="64">
        <f>COUNTIFS(TPA!$AD:$AD,'Reporting 2'!$B69,TPA!$F:$F,C$2,TPA!$C:$C,"Aktif")</f>
        <v>0</v>
      </c>
      <c r="F69" s="64">
        <f>COUNTIFS(TPA!$AD:$AD,'Reporting 2'!$B69,TPA!$F:$F,D$2,TPA!$C:$C,"Aktif")</f>
        <v>4</v>
      </c>
      <c r="G69" s="64">
        <f>COUNTIFS(TPA!$AD:$AD,'Reporting 2'!$B69,TPA!$F:$F,F$9,TPA!$C:$C,"Aktif")</f>
        <v>0</v>
      </c>
      <c r="H69" s="64">
        <f>COUNTIFS(TPA!$AD:$AD,'Reporting 2'!$B69,TPA!$F:$F,E$2,TPA!$C:$C,"Aktif")</f>
        <v>1</v>
      </c>
      <c r="I69" s="64">
        <f>COUNTIFS(TPA!$AD:$AD,'Reporting 2'!$B69,TPA!$F:$F,H$2,TPA!$C:$C,"Aktif")</f>
        <v>0</v>
      </c>
      <c r="J69" s="64">
        <f>COUNTIFS(TPA!$AD:$AD,'Reporting 2'!$B69,TPA!$F:$F,I$2,TPA!$C:$C,"Aktif")</f>
        <v>0</v>
      </c>
      <c r="K69" s="66">
        <f>COUNTIFS(TPA!$AD:$AD,$B69,TPA!$C:$C,"Aktif",TPA!$BA:$BA,J$2)</f>
        <v>5</v>
      </c>
      <c r="L69" s="66">
        <f>COUNTIFS(TPA!$AD:$AD,$B69,TPA!$C:$C,"Aktif",TPA!$BA:$BA,K$2)</f>
        <v>0</v>
      </c>
      <c r="M69" s="67">
        <f>COUNTIFS(TPA!$AD:$AD,$B69,TPA!$C:$C,"Aktif",TPA!$AS:$AS,L$2)</f>
        <v>0</v>
      </c>
      <c r="N69" s="67">
        <f>COUNTIFS(TPA!$AD:$AD,$B69,TPA!$C:$C,"Aktif",TPA!$AS:$AS,M$2)</f>
        <v>0</v>
      </c>
      <c r="O69" s="67">
        <f>COUNTIFS(TPA!$AD:$AD,$B69,TPA!$C:$C,"Aktif",TPA!$AS:$AS,N$2)</f>
        <v>0</v>
      </c>
      <c r="P69" s="67">
        <f>COUNTIFS(TPA!$AD:$AD,$B69,TPA!$C:$C,"Aktif",TPA!$AS:$AS,O$2)</f>
        <v>0</v>
      </c>
      <c r="Q69" s="67">
        <f>COUNTIFS(TPA!$AD:$AD,$B69,TPA!$C:$C,"Aktif",TPA!$AS:$AS,P$2)</f>
        <v>1</v>
      </c>
      <c r="R69" s="67">
        <f>COUNTIFS(TPA!$AD:$AD,$B69,TPA!$C:$C,"Aktif",TPA!$AS:$AS,Q$2)</f>
        <v>4</v>
      </c>
      <c r="S69" s="67">
        <f>COUNTIFS(TPA!$AD:$AD,$B69,TPA!$C:$C,"Aktif",TPA!$AS:$AS,R$2)</f>
        <v>0</v>
      </c>
      <c r="T69" s="67">
        <f>COUNTIFS(TPA!$AD:$AD,$B69,TPA!$C:$C,"Aktif",TPA!$AS:$AS,S$2)</f>
        <v>0</v>
      </c>
      <c r="U69">
        <f t="shared" si="17"/>
        <v>5</v>
      </c>
    </row>
    <row r="70" spans="1:21">
      <c r="A70" s="68">
        <v>10</v>
      </c>
      <c r="B70" s="69" t="s">
        <v>1598</v>
      </c>
      <c r="C70" s="68">
        <f t="shared" si="16"/>
        <v>9</v>
      </c>
      <c r="D70" s="68">
        <f t="shared" si="18"/>
        <v>7</v>
      </c>
      <c r="E70" s="64">
        <v>2</v>
      </c>
      <c r="F70" s="64">
        <f>COUNTIFS(TPA!$AD:$AD,'Reporting 2'!$B70,TPA!$F:$F,D$2,TPA!$C:$C,"Aktif")</f>
        <v>1</v>
      </c>
      <c r="G70" s="64">
        <f>COUNTIFS(TPA!$AD:$AD,'Reporting 2'!$B70,TPA!$F:$F,F$9,TPA!$C:$C,"Aktif")</f>
        <v>0</v>
      </c>
      <c r="H70" s="64">
        <f>COUNTIFS(TPA!$AD:$AD,'Reporting 2'!$B70,TPA!$F:$F,E$2,TPA!$C:$C,"Aktif")</f>
        <v>2</v>
      </c>
      <c r="I70" s="64">
        <f>COUNTIFS(TPA!$AD:$AD,'Reporting 2'!$B70,TPA!$F:$F,H$2,TPA!$C:$C,"Aktif")</f>
        <v>3</v>
      </c>
      <c r="J70" s="64">
        <f>COUNTIFS(TPA!$AD:$AD,'Reporting 2'!$B70,TPA!$F:$F,I$2,TPA!$C:$C,"Aktif")</f>
        <v>1</v>
      </c>
      <c r="K70" s="66">
        <f>COUNTIFS(TPA!$AD:$AD,$B70,TPA!$C:$C,"Aktif",TPA!$BA:$BA,J$2)</f>
        <v>3</v>
      </c>
      <c r="L70" s="66">
        <f>COUNTIFS(TPA!$AD:$AD,$B70,TPA!$C:$C,"Aktif",TPA!$BA:$BA,K$2)</f>
        <v>4</v>
      </c>
      <c r="M70" s="67">
        <f>COUNTIFS(TPA!$AD:$AD,$B70,TPA!$C:$C,"Aktif",TPA!$AS:$AS,L$2)</f>
        <v>0</v>
      </c>
      <c r="N70" s="67">
        <f>COUNTIFS(TPA!$AD:$AD,$B70,TPA!$C:$C,"Aktif",TPA!$AS:$AS,M$2)</f>
        <v>1</v>
      </c>
      <c r="O70" s="67">
        <f>COUNTIFS(TPA!$AD:$AD,$B70,TPA!$C:$C,"Aktif",TPA!$AS:$AS,N$2)</f>
        <v>0</v>
      </c>
      <c r="P70" s="67">
        <f>COUNTIFS(TPA!$AD:$AD,$B70,TPA!$C:$C,"Aktif",TPA!$AS:$AS,O$2)</f>
        <v>0</v>
      </c>
      <c r="Q70" s="67">
        <f>COUNTIFS(TPA!$AD:$AD,$B70,TPA!$C:$C,"Aktif",TPA!$AS:$AS,P$2)</f>
        <v>0</v>
      </c>
      <c r="R70" s="67">
        <f>COUNTIFS(TPA!$AD:$AD,$B70,TPA!$C:$C,"Aktif",TPA!$AS:$AS,Q$2)</f>
        <v>6</v>
      </c>
      <c r="S70" s="67">
        <f>COUNTIFS(TPA!$AD:$AD,$B70,TPA!$C:$C,"Aktif",TPA!$AS:$AS,R$2)</f>
        <v>0</v>
      </c>
      <c r="T70" s="67">
        <f>COUNTIFS(TPA!$AD:$AD,$B70,TPA!$C:$C,"Aktif",TPA!$AS:$AS,S$2)</f>
        <v>0</v>
      </c>
      <c r="U70">
        <f t="shared" si="17"/>
        <v>3</v>
      </c>
    </row>
    <row r="71" spans="1:21">
      <c r="A71" s="68">
        <v>11</v>
      </c>
      <c r="B71" s="69" t="s">
        <v>1668</v>
      </c>
      <c r="C71" s="68">
        <f t="shared" si="16"/>
        <v>7</v>
      </c>
      <c r="D71" s="68">
        <f t="shared" si="18"/>
        <v>5</v>
      </c>
      <c r="E71" s="64">
        <v>2</v>
      </c>
      <c r="F71" s="64">
        <f>COUNTIFS(TPA!$AD:$AD,'Reporting 2'!$B71,TPA!$F:$F,D$2,TPA!$C:$C,"Aktif")</f>
        <v>4</v>
      </c>
      <c r="G71" s="64">
        <f>COUNTIFS(TPA!$AD:$AD,'Reporting 2'!$B71,TPA!$F:$F,F$9,TPA!$C:$C,"Aktif")</f>
        <v>0</v>
      </c>
      <c r="H71" s="64">
        <f>COUNTIFS(TPA!$AD:$AD,'Reporting 2'!$B71,TPA!$F:$F,E$2,TPA!$C:$C,"Aktif")</f>
        <v>0</v>
      </c>
      <c r="I71" s="64">
        <f>COUNTIFS(TPA!$AD:$AD,'Reporting 2'!$B71,TPA!$F:$F,H$2,TPA!$C:$C,"Aktif")</f>
        <v>1</v>
      </c>
      <c r="J71" s="64">
        <f>COUNTIFS(TPA!$AD:$AD,'Reporting 2'!$B71,TPA!$F:$F,I$2,TPA!$C:$C,"Aktif")</f>
        <v>0</v>
      </c>
      <c r="K71" s="66">
        <f>COUNTIFS(TPA!$AD:$AD,$B71,TPA!$C:$C,"Aktif",TPA!$BA:$BA,J$2)</f>
        <v>2</v>
      </c>
      <c r="L71" s="66">
        <f>COUNTIFS(TPA!$AD:$AD,$B71,TPA!$C:$C,"Aktif",TPA!$BA:$BA,K$2)</f>
        <v>3</v>
      </c>
      <c r="M71" s="67">
        <f>COUNTIFS(TPA!$AD:$AD,$B71,TPA!$C:$C,"Aktif",TPA!$AS:$AS,L$2)</f>
        <v>0</v>
      </c>
      <c r="N71" s="67">
        <f>COUNTIFS(TPA!$AD:$AD,$B71,TPA!$C:$C,"Aktif",TPA!$AS:$AS,M$2)</f>
        <v>0</v>
      </c>
      <c r="O71" s="67">
        <f>COUNTIFS(TPA!$AD:$AD,$B71,TPA!$C:$C,"Aktif",TPA!$AS:$AS,N$2)</f>
        <v>0</v>
      </c>
      <c r="P71" s="67">
        <f>COUNTIFS(TPA!$AD:$AD,$B71,TPA!$C:$C,"Aktif",TPA!$AS:$AS,O$2)</f>
        <v>0</v>
      </c>
      <c r="Q71" s="67">
        <f>COUNTIFS(TPA!$AD:$AD,$B71,TPA!$C:$C,"Aktif",TPA!$AS:$AS,P$2)</f>
        <v>1</v>
      </c>
      <c r="R71" s="67">
        <f>COUNTIFS(TPA!$AD:$AD,$B71,TPA!$C:$C,"Aktif",TPA!$AS:$AS,Q$2)</f>
        <v>3</v>
      </c>
      <c r="S71" s="67">
        <f>COUNTIFS(TPA!$AD:$AD,$B71,TPA!$C:$C,"Aktif",TPA!$AS:$AS,R$2)</f>
        <v>1</v>
      </c>
      <c r="T71" s="67">
        <f>COUNTIFS(TPA!$AD:$AD,$B71,TPA!$C:$C,"Aktif",TPA!$AS:$AS,S$2)</f>
        <v>0</v>
      </c>
      <c r="U71">
        <f t="shared" si="17"/>
        <v>4</v>
      </c>
    </row>
    <row r="72" spans="1:21">
      <c r="A72" s="68">
        <v>12</v>
      </c>
      <c r="B72" s="69" t="s">
        <v>1853</v>
      </c>
      <c r="C72" s="68">
        <f t="shared" si="16"/>
        <v>2</v>
      </c>
      <c r="D72" s="68">
        <f t="shared" si="18"/>
        <v>2</v>
      </c>
      <c r="E72" s="64">
        <f>COUNTIFS(TPA!$AD:$AD,'Reporting 2'!$B72,TPA!$F:$F,C$2,TPA!$C:$C,"Aktif")</f>
        <v>0</v>
      </c>
      <c r="F72" s="64">
        <f>COUNTIFS(TPA!$AD:$AD,'Reporting 2'!$B72,TPA!$F:$F,D$2,TPA!$C:$C,"Aktif")</f>
        <v>0</v>
      </c>
      <c r="G72" s="64">
        <f>COUNTIFS(TPA!$AD:$AD,'Reporting 2'!$B72,TPA!$F:$F,F$9,TPA!$C:$C,"Aktif")</f>
        <v>0</v>
      </c>
      <c r="H72" s="64">
        <f>COUNTIFS(TPA!$AD:$AD,'Reporting 2'!$B72,TPA!$F:$F,E$2,TPA!$C:$C,"Aktif")</f>
        <v>1</v>
      </c>
      <c r="I72" s="64">
        <f>COUNTIFS(TPA!$AD:$AD,'Reporting 2'!$B72,TPA!$F:$F,H$2,TPA!$C:$C,"Aktif")</f>
        <v>1</v>
      </c>
      <c r="J72" s="64">
        <f>COUNTIFS(TPA!$AD:$AD,'Reporting 2'!$B72,TPA!$F:$F,I$2,TPA!$C:$C,"Aktif")</f>
        <v>0</v>
      </c>
      <c r="K72" s="66">
        <f>COUNTIFS(TPA!$AD:$AD,$B72,TPA!$C:$C,"Aktif",TPA!$BA:$BA,J$2)</f>
        <v>0</v>
      </c>
      <c r="L72" s="66">
        <f>COUNTIFS(TPA!$AD:$AD,$B72,TPA!$C:$C,"Aktif",TPA!$BA:$BA,K$2)</f>
        <v>2</v>
      </c>
      <c r="M72" s="67">
        <f>COUNTIFS(TPA!$AD:$AD,$B72,TPA!$C:$C,"Aktif",TPA!$AS:$AS,L$2)</f>
        <v>0</v>
      </c>
      <c r="N72" s="67">
        <f>COUNTIFS(TPA!$AD:$AD,$B72,TPA!$C:$C,"Aktif",TPA!$AS:$AS,M$2)</f>
        <v>0</v>
      </c>
      <c r="O72" s="67">
        <f>COUNTIFS(TPA!$AD:$AD,$B72,TPA!$C:$C,"Aktif",TPA!$AS:$AS,N$2)</f>
        <v>0</v>
      </c>
      <c r="P72" s="67">
        <f>COUNTIFS(TPA!$AD:$AD,$B72,TPA!$C:$C,"Aktif",TPA!$AS:$AS,O$2)</f>
        <v>0</v>
      </c>
      <c r="Q72" s="67">
        <f>COUNTIFS(TPA!$AD:$AD,$B72,TPA!$C:$C,"Aktif",TPA!$AS:$AS,P$2)</f>
        <v>0</v>
      </c>
      <c r="R72" s="67">
        <f>COUNTIFS(TPA!$AD:$AD,$B72,TPA!$C:$C,"Aktif",TPA!$AS:$AS,Q$2)</f>
        <v>2</v>
      </c>
      <c r="S72" s="67">
        <f>COUNTIFS(TPA!$AD:$AD,$B72,TPA!$C:$C,"Aktif",TPA!$AS:$AS,R$2)</f>
        <v>0</v>
      </c>
      <c r="T72" s="67">
        <f>COUNTIFS(TPA!$AD:$AD,$B72,TPA!$C:$C,"Aktif",TPA!$AS:$AS,S$2)</f>
        <v>0</v>
      </c>
      <c r="U72">
        <f t="shared" si="17"/>
        <v>1</v>
      </c>
    </row>
    <row r="73" spans="1:21">
      <c r="A73" s="70"/>
      <c r="B73" s="70" t="s">
        <v>2018</v>
      </c>
      <c r="C73" s="70">
        <f>SUM(C61:C72)</f>
        <v>64</v>
      </c>
      <c r="D73" s="70">
        <f>SUM(D61:D72)</f>
        <v>49</v>
      </c>
      <c r="E73" s="65">
        <f t="shared" ref="E73" si="19">SUM(E61:E72)</f>
        <v>15</v>
      </c>
      <c r="F73" s="65">
        <f t="shared" ref="F73:T73" si="20">SUM(F61:F72)</f>
        <v>30</v>
      </c>
      <c r="G73" s="65">
        <f>SUM(G61:G72)</f>
        <v>0</v>
      </c>
      <c r="H73" s="65">
        <f>SUM(H61:H72)</f>
        <v>9</v>
      </c>
      <c r="I73" s="65">
        <f t="shared" si="20"/>
        <v>9</v>
      </c>
      <c r="J73" s="65">
        <f t="shared" si="20"/>
        <v>1</v>
      </c>
      <c r="K73" s="71">
        <f t="shared" si="20"/>
        <v>20</v>
      </c>
      <c r="L73" s="71">
        <f t="shared" si="20"/>
        <v>29</v>
      </c>
      <c r="M73" s="72">
        <f t="shared" si="20"/>
        <v>1</v>
      </c>
      <c r="N73" s="72">
        <f t="shared" si="20"/>
        <v>1</v>
      </c>
      <c r="O73" s="72">
        <f t="shared" si="20"/>
        <v>0</v>
      </c>
      <c r="P73" s="72">
        <f t="shared" si="20"/>
        <v>3</v>
      </c>
      <c r="Q73" s="72">
        <f t="shared" si="20"/>
        <v>4</v>
      </c>
      <c r="R73" s="72">
        <f t="shared" si="20"/>
        <v>38</v>
      </c>
      <c r="S73" s="72">
        <f t="shared" si="20"/>
        <v>2</v>
      </c>
      <c r="T73" s="72">
        <f t="shared" si="20"/>
        <v>0</v>
      </c>
      <c r="U73">
        <f>SUM(U61:U72)</f>
        <v>39</v>
      </c>
    </row>
  </sheetData>
  <mergeCells count="21">
    <mergeCell ref="M59:T59"/>
    <mergeCell ref="E59:J59"/>
    <mergeCell ref="D59:D60"/>
    <mergeCell ref="A59:A60"/>
    <mergeCell ref="B59:B60"/>
    <mergeCell ref="C59:C60"/>
    <mergeCell ref="K59:L59"/>
    <mergeCell ref="A1:A2"/>
    <mergeCell ref="B8:B9"/>
    <mergeCell ref="C8:C9"/>
    <mergeCell ref="D8:H8"/>
    <mergeCell ref="I8:J8"/>
    <mergeCell ref="A8:A9"/>
    <mergeCell ref="C1:C2"/>
    <mergeCell ref="B1:B2"/>
    <mergeCell ref="D1:I1"/>
    <mergeCell ref="B25:B26"/>
    <mergeCell ref="C25:G25"/>
    <mergeCell ref="B31:B32"/>
    <mergeCell ref="C31:J31"/>
    <mergeCell ref="K8:R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84C0-A77E-4E29-9506-F6C666CF415A}">
  <dimension ref="A1:AP26"/>
  <sheetViews>
    <sheetView topLeftCell="A9" workbookViewId="0">
      <selection activeCell="E9" sqref="E9"/>
    </sheetView>
  </sheetViews>
  <sheetFormatPr defaultColWidth="8.85546875" defaultRowHeight="15"/>
  <cols>
    <col min="1" max="1" width="36.42578125" bestFit="1" customWidth="1"/>
    <col min="2" max="2" width="5.140625" bestFit="1" customWidth="1"/>
    <col min="3" max="3" width="4.140625" bestFit="1" customWidth="1"/>
    <col min="4" max="4" width="7.85546875" bestFit="1" customWidth="1"/>
    <col min="5" max="6" width="4.140625" bestFit="1" customWidth="1"/>
    <col min="7" max="7" width="7.85546875" bestFit="1" customWidth="1"/>
    <col min="8" max="8" width="5.140625" bestFit="1" customWidth="1"/>
    <col min="9" max="9" width="4.140625" bestFit="1" customWidth="1"/>
    <col min="10" max="10" width="7.85546875" bestFit="1" customWidth="1"/>
    <col min="11" max="12" width="4.140625" bestFit="1" customWidth="1"/>
    <col min="13" max="13" width="7.85546875" bestFit="1" customWidth="1"/>
    <col min="14" max="14" width="5.140625" bestFit="1" customWidth="1"/>
    <col min="15" max="15" width="4.140625" bestFit="1" customWidth="1"/>
    <col min="16" max="16" width="7.85546875" bestFit="1" customWidth="1"/>
    <col min="17" max="18" width="4.140625" bestFit="1" customWidth="1"/>
    <col min="19" max="19" width="7.85546875" bestFit="1" customWidth="1"/>
    <col min="20" max="20" width="5.140625" bestFit="1" customWidth="1"/>
    <col min="21" max="22" width="4.140625" bestFit="1" customWidth="1"/>
    <col min="23" max="23" width="3" bestFit="1" customWidth="1"/>
    <col min="24" max="24" width="3.42578125" bestFit="1" customWidth="1"/>
    <col min="25" max="25" width="7.85546875" bestFit="1" customWidth="1"/>
    <col min="26" max="26" width="5.140625" bestFit="1" customWidth="1"/>
    <col min="27" max="29" width="4.140625" bestFit="1" customWidth="1"/>
    <col min="30" max="30" width="3.42578125" bestFit="1" customWidth="1"/>
    <col min="31" max="31" width="7.85546875" bestFit="1" customWidth="1"/>
    <col min="32" max="32" width="5.140625" bestFit="1" customWidth="1"/>
    <col min="33" max="35" width="4.140625" bestFit="1" customWidth="1"/>
    <col min="36" max="36" width="3.42578125" bestFit="1" customWidth="1"/>
    <col min="37" max="37" width="7.85546875" bestFit="1" customWidth="1"/>
  </cols>
  <sheetData>
    <row r="1" spans="1:42" ht="15.95">
      <c r="A1" s="369" t="s">
        <v>2158</v>
      </c>
      <c r="B1" s="360"/>
      <c r="C1" s="360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165"/>
      <c r="AM1" s="165"/>
      <c r="AN1" s="165"/>
      <c r="AO1" s="165"/>
      <c r="AP1" s="165"/>
    </row>
    <row r="2" spans="1:42">
      <c r="A2" s="496" t="s">
        <v>2159</v>
      </c>
      <c r="B2" s="489" t="s">
        <v>2160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90"/>
      <c r="AL2" s="165"/>
      <c r="AM2" s="165"/>
      <c r="AN2" s="165"/>
      <c r="AO2" s="165"/>
      <c r="AP2" s="165"/>
    </row>
    <row r="3" spans="1:42">
      <c r="A3" s="497"/>
      <c r="B3" s="489">
        <v>2020</v>
      </c>
      <c r="C3" s="489"/>
      <c r="D3" s="489"/>
      <c r="E3" s="489"/>
      <c r="F3" s="489"/>
      <c r="G3" s="490"/>
      <c r="H3" s="489">
        <v>2021</v>
      </c>
      <c r="I3" s="489"/>
      <c r="J3" s="489"/>
      <c r="K3" s="489"/>
      <c r="L3" s="489"/>
      <c r="M3" s="490"/>
      <c r="N3" s="489">
        <v>2022</v>
      </c>
      <c r="O3" s="489"/>
      <c r="P3" s="489"/>
      <c r="Q3" s="489"/>
      <c r="R3" s="489"/>
      <c r="S3" s="490"/>
      <c r="T3" s="489">
        <v>2023</v>
      </c>
      <c r="U3" s="489"/>
      <c r="V3" s="489"/>
      <c r="W3" s="489"/>
      <c r="X3" s="489"/>
      <c r="Y3" s="490"/>
      <c r="Z3" s="489">
        <v>2024</v>
      </c>
      <c r="AA3" s="489"/>
      <c r="AB3" s="489"/>
      <c r="AC3" s="489"/>
      <c r="AD3" s="489"/>
      <c r="AE3" s="490"/>
      <c r="AF3" s="489">
        <v>2025</v>
      </c>
      <c r="AG3" s="489"/>
      <c r="AH3" s="489"/>
      <c r="AI3" s="489"/>
      <c r="AJ3" s="489"/>
      <c r="AK3" s="490"/>
      <c r="AL3" s="491" t="s">
        <v>2161</v>
      </c>
      <c r="AM3" s="491"/>
      <c r="AN3" s="491"/>
      <c r="AO3" s="491"/>
      <c r="AP3" s="491"/>
    </row>
    <row r="4" spans="1:42" ht="15.95">
      <c r="A4" s="498"/>
      <c r="B4" s="362" t="s">
        <v>2162</v>
      </c>
      <c r="C4" s="362" t="s">
        <v>847</v>
      </c>
      <c r="D4" s="362" t="s">
        <v>775</v>
      </c>
      <c r="E4" s="362" t="s">
        <v>776</v>
      </c>
      <c r="F4" s="362" t="s">
        <v>1207</v>
      </c>
      <c r="G4" s="362" t="s">
        <v>2163</v>
      </c>
      <c r="H4" s="362" t="s">
        <v>2162</v>
      </c>
      <c r="I4" s="362" t="s">
        <v>847</v>
      </c>
      <c r="J4" s="362" t="s">
        <v>775</v>
      </c>
      <c r="K4" s="362" t="s">
        <v>776</v>
      </c>
      <c r="L4" s="362" t="s">
        <v>1207</v>
      </c>
      <c r="M4" s="362" t="s">
        <v>2163</v>
      </c>
      <c r="N4" s="362" t="s">
        <v>2162</v>
      </c>
      <c r="O4" s="362" t="s">
        <v>847</v>
      </c>
      <c r="P4" s="362" t="s">
        <v>775</v>
      </c>
      <c r="Q4" s="362" t="s">
        <v>776</v>
      </c>
      <c r="R4" s="362" t="s">
        <v>1207</v>
      </c>
      <c r="S4" s="362" t="s">
        <v>2163</v>
      </c>
      <c r="T4" s="363" t="s">
        <v>2162</v>
      </c>
      <c r="U4" s="362" t="s">
        <v>847</v>
      </c>
      <c r="V4" s="362" t="s">
        <v>775</v>
      </c>
      <c r="W4" s="362" t="s">
        <v>776</v>
      </c>
      <c r="X4" s="362" t="s">
        <v>1207</v>
      </c>
      <c r="Y4" s="362" t="s">
        <v>2163</v>
      </c>
      <c r="Z4" s="362" t="s">
        <v>2162</v>
      </c>
      <c r="AA4" s="362" t="s">
        <v>847</v>
      </c>
      <c r="AB4" s="362" t="s">
        <v>775</v>
      </c>
      <c r="AC4" s="362" t="s">
        <v>776</v>
      </c>
      <c r="AD4" s="362" t="s">
        <v>1207</v>
      </c>
      <c r="AE4" s="362" t="s">
        <v>2163</v>
      </c>
      <c r="AF4" s="362" t="s">
        <v>2162</v>
      </c>
      <c r="AG4" s="362" t="s">
        <v>847</v>
      </c>
      <c r="AH4" s="362" t="s">
        <v>775</v>
      </c>
      <c r="AI4" s="362" t="s">
        <v>776</v>
      </c>
      <c r="AJ4" s="362" t="s">
        <v>1207</v>
      </c>
      <c r="AK4" s="362" t="s">
        <v>2163</v>
      </c>
      <c r="AL4" s="165"/>
      <c r="AM4" s="165"/>
      <c r="AN4" s="165"/>
      <c r="AO4" s="165"/>
      <c r="AP4" s="165"/>
    </row>
    <row r="5" spans="1:42" ht="15.95">
      <c r="A5" s="370" t="s">
        <v>2164</v>
      </c>
      <c r="B5" s="364">
        <v>250</v>
      </c>
      <c r="C5" s="364">
        <v>292</v>
      </c>
      <c r="D5" s="364">
        <v>350</v>
      </c>
      <c r="E5" s="364">
        <v>36</v>
      </c>
      <c r="F5" s="364">
        <v>4</v>
      </c>
      <c r="G5" s="364">
        <v>932</v>
      </c>
      <c r="H5" s="364">
        <v>230</v>
      </c>
      <c r="I5" s="364">
        <v>295</v>
      </c>
      <c r="J5" s="364">
        <v>400</v>
      </c>
      <c r="K5" s="364">
        <v>43</v>
      </c>
      <c r="L5" s="364">
        <v>6</v>
      </c>
      <c r="M5" s="364">
        <v>974</v>
      </c>
      <c r="N5" s="364">
        <v>171</v>
      </c>
      <c r="O5" s="364">
        <v>315</v>
      </c>
      <c r="P5" s="364">
        <v>440</v>
      </c>
      <c r="Q5" s="364">
        <v>60</v>
      </c>
      <c r="R5" s="364">
        <v>5</v>
      </c>
      <c r="S5" s="365">
        <v>991</v>
      </c>
      <c r="T5" s="366">
        <v>185</v>
      </c>
      <c r="U5" s="364">
        <v>286</v>
      </c>
      <c r="V5" s="364">
        <v>474</v>
      </c>
      <c r="W5" s="364">
        <v>90</v>
      </c>
      <c r="X5" s="364">
        <v>14</v>
      </c>
      <c r="Y5" s="364">
        <v>1049</v>
      </c>
      <c r="Z5" s="364">
        <v>194</v>
      </c>
      <c r="AA5" s="364">
        <v>234</v>
      </c>
      <c r="AB5" s="364">
        <v>534</v>
      </c>
      <c r="AC5" s="364">
        <v>115</v>
      </c>
      <c r="AD5" s="364">
        <v>17</v>
      </c>
      <c r="AE5" s="364">
        <v>1094</v>
      </c>
      <c r="AF5" s="364">
        <v>202</v>
      </c>
      <c r="AG5" s="364">
        <v>228</v>
      </c>
      <c r="AH5" s="364">
        <v>587</v>
      </c>
      <c r="AI5" s="364">
        <v>129</v>
      </c>
      <c r="AJ5" s="364">
        <v>19</v>
      </c>
      <c r="AK5" s="364">
        <v>1165</v>
      </c>
      <c r="AL5" s="165"/>
      <c r="AM5" s="165"/>
      <c r="AN5" s="165"/>
      <c r="AO5" s="165"/>
      <c r="AP5" s="165"/>
    </row>
    <row r="6" spans="1:42" ht="15.95">
      <c r="A6" s="370" t="s">
        <v>2165</v>
      </c>
      <c r="B6" s="364" t="s">
        <v>30</v>
      </c>
      <c r="C6" s="364" t="s">
        <v>30</v>
      </c>
      <c r="D6" s="364" t="s">
        <v>30</v>
      </c>
      <c r="E6" s="364" t="s">
        <v>30</v>
      </c>
      <c r="F6" s="364" t="s">
        <v>30</v>
      </c>
      <c r="G6" s="364">
        <v>0</v>
      </c>
      <c r="H6" s="364" t="s">
        <v>30</v>
      </c>
      <c r="I6" s="364" t="s">
        <v>30</v>
      </c>
      <c r="J6" s="364" t="s">
        <v>30</v>
      </c>
      <c r="K6" s="364" t="s">
        <v>30</v>
      </c>
      <c r="L6" s="364" t="s">
        <v>30</v>
      </c>
      <c r="M6" s="364" t="s">
        <v>30</v>
      </c>
      <c r="N6" s="364" t="s">
        <v>30</v>
      </c>
      <c r="O6" s="364" t="s">
        <v>30</v>
      </c>
      <c r="P6" s="364" t="s">
        <v>30</v>
      </c>
      <c r="Q6" s="364" t="s">
        <v>30</v>
      </c>
      <c r="R6" s="364" t="s">
        <v>30</v>
      </c>
      <c r="S6" s="365" t="s">
        <v>30</v>
      </c>
      <c r="T6" s="367" t="s">
        <v>30</v>
      </c>
      <c r="U6" s="364" t="s">
        <v>30</v>
      </c>
      <c r="V6" s="364" t="s">
        <v>30</v>
      </c>
      <c r="W6" s="364" t="s">
        <v>30</v>
      </c>
      <c r="X6" s="364" t="s">
        <v>30</v>
      </c>
      <c r="Y6" s="364">
        <v>0</v>
      </c>
      <c r="Z6" s="364">
        <v>23</v>
      </c>
      <c r="AA6" s="364">
        <v>54</v>
      </c>
      <c r="AB6" s="364">
        <v>107</v>
      </c>
      <c r="AC6" s="364">
        <v>5</v>
      </c>
      <c r="AD6" s="364">
        <v>0</v>
      </c>
      <c r="AE6" s="364">
        <v>189</v>
      </c>
      <c r="AF6" s="364">
        <v>29</v>
      </c>
      <c r="AG6" s="364">
        <v>48</v>
      </c>
      <c r="AH6" s="364">
        <v>125</v>
      </c>
      <c r="AI6" s="364">
        <v>5</v>
      </c>
      <c r="AJ6" s="364">
        <v>0</v>
      </c>
      <c r="AK6" s="364">
        <v>207</v>
      </c>
      <c r="AL6" s="165"/>
      <c r="AM6" s="165"/>
      <c r="AN6" s="165"/>
      <c r="AO6" s="165"/>
      <c r="AP6" s="165"/>
    </row>
    <row r="7" spans="1:42" ht="15.95">
      <c r="A7" s="370" t="s">
        <v>2166</v>
      </c>
      <c r="B7" s="364" t="s">
        <v>30</v>
      </c>
      <c r="C7" s="364" t="s">
        <v>30</v>
      </c>
      <c r="D7" s="364" t="s">
        <v>30</v>
      </c>
      <c r="E7" s="364" t="s">
        <v>30</v>
      </c>
      <c r="F7" s="364" t="s">
        <v>30</v>
      </c>
      <c r="G7" s="364">
        <v>0</v>
      </c>
      <c r="H7" s="364" t="s">
        <v>30</v>
      </c>
      <c r="I7" s="364" t="s">
        <v>30</v>
      </c>
      <c r="J7" s="364" t="s">
        <v>30</v>
      </c>
      <c r="K7" s="364" t="s">
        <v>30</v>
      </c>
      <c r="L7" s="364" t="s">
        <v>30</v>
      </c>
      <c r="M7" s="364" t="s">
        <v>30</v>
      </c>
      <c r="N7" s="364" t="s">
        <v>30</v>
      </c>
      <c r="O7" s="364" t="s">
        <v>30</v>
      </c>
      <c r="P7" s="364" t="s">
        <v>30</v>
      </c>
      <c r="Q7" s="364" t="s">
        <v>30</v>
      </c>
      <c r="R7" s="364" t="s">
        <v>30</v>
      </c>
      <c r="S7" s="364" t="s">
        <v>30</v>
      </c>
      <c r="T7" s="364">
        <v>57</v>
      </c>
      <c r="U7" s="364">
        <v>40</v>
      </c>
      <c r="V7" s="364">
        <v>11</v>
      </c>
      <c r="W7" s="364">
        <v>2</v>
      </c>
      <c r="X7" s="364">
        <v>1</v>
      </c>
      <c r="Y7" s="364">
        <v>111</v>
      </c>
      <c r="Z7" s="364">
        <v>36</v>
      </c>
      <c r="AA7" s="364">
        <v>49</v>
      </c>
      <c r="AB7" s="364">
        <v>20</v>
      </c>
      <c r="AC7" s="364">
        <v>3</v>
      </c>
      <c r="AD7" s="364">
        <v>1</v>
      </c>
      <c r="AE7" s="364">
        <v>109</v>
      </c>
      <c r="AF7" s="364">
        <v>32</v>
      </c>
      <c r="AG7" s="364">
        <v>59</v>
      </c>
      <c r="AH7" s="364">
        <v>28</v>
      </c>
      <c r="AI7" s="364">
        <v>2</v>
      </c>
      <c r="AJ7" s="364">
        <v>0</v>
      </c>
      <c r="AK7" s="364">
        <v>121</v>
      </c>
      <c r="AL7" s="165"/>
      <c r="AM7" s="165"/>
      <c r="AN7" s="165"/>
      <c r="AO7" s="165"/>
      <c r="AP7" s="165"/>
    </row>
    <row r="8" spans="1:42" ht="15.95">
      <c r="A8" s="370" t="s">
        <v>2167</v>
      </c>
      <c r="B8" s="364" t="s">
        <v>30</v>
      </c>
      <c r="C8" s="364" t="s">
        <v>30</v>
      </c>
      <c r="D8" s="364" t="s">
        <v>30</v>
      </c>
      <c r="E8" s="364" t="s">
        <v>30</v>
      </c>
      <c r="F8" s="364" t="s">
        <v>30</v>
      </c>
      <c r="G8" s="364">
        <v>0</v>
      </c>
      <c r="H8" s="364" t="s">
        <v>30</v>
      </c>
      <c r="I8" s="364" t="s">
        <v>30</v>
      </c>
      <c r="J8" s="364" t="s">
        <v>30</v>
      </c>
      <c r="K8" s="364" t="s">
        <v>30</v>
      </c>
      <c r="L8" s="364" t="s">
        <v>30</v>
      </c>
      <c r="M8" s="364" t="s">
        <v>30</v>
      </c>
      <c r="N8" s="364" t="s">
        <v>30</v>
      </c>
      <c r="O8" s="364" t="s">
        <v>30</v>
      </c>
      <c r="P8" s="364" t="s">
        <v>30</v>
      </c>
      <c r="Q8" s="364" t="s">
        <v>30</v>
      </c>
      <c r="R8" s="364" t="s">
        <v>30</v>
      </c>
      <c r="S8" s="364" t="s">
        <v>30</v>
      </c>
      <c r="T8" s="364">
        <v>21</v>
      </c>
      <c r="U8" s="364">
        <v>15</v>
      </c>
      <c r="V8" s="364">
        <v>7</v>
      </c>
      <c r="W8" s="364">
        <v>0</v>
      </c>
      <c r="X8" s="364">
        <v>0</v>
      </c>
      <c r="Y8" s="364">
        <v>43</v>
      </c>
      <c r="Z8" s="364">
        <v>12</v>
      </c>
      <c r="AA8" s="364">
        <v>28</v>
      </c>
      <c r="AB8" s="364">
        <v>6</v>
      </c>
      <c r="AC8" s="364">
        <v>1</v>
      </c>
      <c r="AD8" s="364">
        <v>0</v>
      </c>
      <c r="AE8" s="364">
        <v>47</v>
      </c>
      <c r="AF8" s="364">
        <v>24</v>
      </c>
      <c r="AG8" s="364">
        <v>30</v>
      </c>
      <c r="AH8" s="364">
        <v>10</v>
      </c>
      <c r="AI8" s="364">
        <v>0</v>
      </c>
      <c r="AJ8" s="364">
        <v>0</v>
      </c>
      <c r="AK8" s="364">
        <v>64</v>
      </c>
      <c r="AL8" s="165"/>
      <c r="AM8" s="165"/>
      <c r="AN8" s="165"/>
      <c r="AO8" s="165"/>
      <c r="AP8" s="165"/>
    </row>
    <row r="9" spans="1:42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  <c r="AI9" s="361"/>
      <c r="AJ9" s="361"/>
      <c r="AK9" s="361"/>
      <c r="AL9" s="165"/>
      <c r="AM9" s="165"/>
      <c r="AN9" s="165"/>
      <c r="AO9" s="165"/>
      <c r="AP9" s="165"/>
    </row>
    <row r="10" spans="1:42" ht="15.95">
      <c r="A10" s="369" t="s">
        <v>2168</v>
      </c>
      <c r="B10" s="360"/>
      <c r="C10" s="360"/>
      <c r="D10" s="360"/>
      <c r="E10" s="360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165"/>
      <c r="AM10" s="165"/>
      <c r="AN10" s="165"/>
      <c r="AO10" s="165"/>
      <c r="AP10" s="165"/>
    </row>
    <row r="11" spans="1:42">
      <c r="A11" s="492" t="s">
        <v>2159</v>
      </c>
      <c r="B11" s="495" t="s">
        <v>2160</v>
      </c>
      <c r="C11" s="489"/>
      <c r="D11" s="489"/>
      <c r="E11" s="489"/>
      <c r="F11" s="489"/>
      <c r="G11" s="489"/>
      <c r="H11" s="489"/>
      <c r="I11" s="489"/>
      <c r="J11" s="489"/>
      <c r="K11" s="489"/>
      <c r="L11" s="489"/>
      <c r="M11" s="489"/>
      <c r="N11" s="489"/>
      <c r="O11" s="489"/>
      <c r="P11" s="489"/>
      <c r="Q11" s="489"/>
      <c r="R11" s="489"/>
      <c r="S11" s="490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165"/>
      <c r="AM11" s="165"/>
      <c r="AN11" s="165"/>
      <c r="AO11" s="165"/>
      <c r="AP11" s="165"/>
    </row>
    <row r="12" spans="1:42">
      <c r="A12" s="493"/>
      <c r="B12" s="495">
        <v>2020</v>
      </c>
      <c r="C12" s="489"/>
      <c r="D12" s="490"/>
      <c r="E12" s="489">
        <v>2021</v>
      </c>
      <c r="F12" s="489"/>
      <c r="G12" s="490"/>
      <c r="H12" s="489">
        <v>2022</v>
      </c>
      <c r="I12" s="489"/>
      <c r="J12" s="490"/>
      <c r="K12" s="489">
        <v>2023</v>
      </c>
      <c r="L12" s="489"/>
      <c r="M12" s="490"/>
      <c r="N12" s="489">
        <v>2024</v>
      </c>
      <c r="O12" s="489"/>
      <c r="P12" s="490"/>
      <c r="Q12" s="489">
        <v>2025</v>
      </c>
      <c r="R12" s="489"/>
      <c r="S12" s="490"/>
      <c r="T12" s="491" t="s">
        <v>2161</v>
      </c>
      <c r="U12" s="491"/>
      <c r="V12" s="491"/>
      <c r="W12" s="491"/>
      <c r="X12" s="49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165"/>
      <c r="AM12" s="165"/>
      <c r="AN12" s="165"/>
      <c r="AO12" s="165"/>
      <c r="AP12" s="165"/>
    </row>
    <row r="13" spans="1:42" ht="15.95">
      <c r="A13" s="494"/>
      <c r="B13" s="368" t="s">
        <v>854</v>
      </c>
      <c r="C13" s="362" t="s">
        <v>879</v>
      </c>
      <c r="D13" s="362" t="s">
        <v>2163</v>
      </c>
      <c r="E13" s="362" t="s">
        <v>854</v>
      </c>
      <c r="F13" s="362" t="s">
        <v>879</v>
      </c>
      <c r="G13" s="362" t="s">
        <v>2163</v>
      </c>
      <c r="H13" s="362" t="s">
        <v>854</v>
      </c>
      <c r="I13" s="362" t="s">
        <v>879</v>
      </c>
      <c r="J13" s="362" t="s">
        <v>2163</v>
      </c>
      <c r="K13" s="362" t="s">
        <v>854</v>
      </c>
      <c r="L13" s="362" t="s">
        <v>879</v>
      </c>
      <c r="M13" s="362" t="s">
        <v>2163</v>
      </c>
      <c r="N13" s="362" t="s">
        <v>854</v>
      </c>
      <c r="O13" s="362" t="s">
        <v>879</v>
      </c>
      <c r="P13" s="362" t="s">
        <v>2163</v>
      </c>
      <c r="Q13" s="362" t="s">
        <v>854</v>
      </c>
      <c r="R13" s="362" t="s">
        <v>879</v>
      </c>
      <c r="S13" s="362" t="s">
        <v>2163</v>
      </c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165"/>
      <c r="AM13" s="165"/>
      <c r="AN13" s="165"/>
      <c r="AO13" s="165"/>
      <c r="AP13" s="165"/>
    </row>
    <row r="14" spans="1:42" ht="15.95">
      <c r="A14" s="371" t="s">
        <v>2164</v>
      </c>
      <c r="B14" s="367">
        <v>693</v>
      </c>
      <c r="C14" s="364">
        <v>239</v>
      </c>
      <c r="D14" s="364">
        <v>932</v>
      </c>
      <c r="E14" s="364">
        <v>680</v>
      </c>
      <c r="F14" s="364">
        <v>294</v>
      </c>
      <c r="G14" s="364">
        <v>974</v>
      </c>
      <c r="H14" s="364">
        <v>643</v>
      </c>
      <c r="I14" s="364">
        <v>348</v>
      </c>
      <c r="J14" s="364">
        <v>991</v>
      </c>
      <c r="K14" s="364">
        <v>645</v>
      </c>
      <c r="L14" s="364">
        <v>404</v>
      </c>
      <c r="M14" s="364">
        <v>1049</v>
      </c>
      <c r="N14" s="364">
        <v>665</v>
      </c>
      <c r="O14" s="364">
        <v>429</v>
      </c>
      <c r="P14" s="364">
        <v>1094</v>
      </c>
      <c r="Q14" s="364">
        <v>684</v>
      </c>
      <c r="R14" s="364">
        <v>481</v>
      </c>
      <c r="S14" s="364">
        <v>1165</v>
      </c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165"/>
      <c r="AM14" s="165"/>
      <c r="AN14" s="165"/>
      <c r="AO14" s="165"/>
      <c r="AP14" s="165"/>
    </row>
    <row r="15" spans="1:42" ht="15.95">
      <c r="A15" s="371" t="s">
        <v>2165</v>
      </c>
      <c r="B15" s="367" t="s">
        <v>30</v>
      </c>
      <c r="C15" s="364" t="s">
        <v>30</v>
      </c>
      <c r="D15" s="364" t="s">
        <v>30</v>
      </c>
      <c r="E15" s="364" t="s">
        <v>30</v>
      </c>
      <c r="F15" s="364" t="s">
        <v>30</v>
      </c>
      <c r="G15" s="364" t="s">
        <v>30</v>
      </c>
      <c r="H15" s="364" t="s">
        <v>30</v>
      </c>
      <c r="I15" s="364" t="s">
        <v>30</v>
      </c>
      <c r="J15" s="364" t="s">
        <v>30</v>
      </c>
      <c r="K15" s="364" t="s">
        <v>30</v>
      </c>
      <c r="L15" s="364" t="s">
        <v>30</v>
      </c>
      <c r="M15" s="364">
        <v>0</v>
      </c>
      <c r="N15" s="364">
        <v>177</v>
      </c>
      <c r="O15" s="364">
        <v>12</v>
      </c>
      <c r="P15" s="364">
        <v>189</v>
      </c>
      <c r="Q15" s="364">
        <v>190</v>
      </c>
      <c r="R15" s="364">
        <v>17</v>
      </c>
      <c r="S15" s="364">
        <v>207</v>
      </c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  <c r="AI15" s="361"/>
      <c r="AJ15" s="361"/>
      <c r="AK15" s="361"/>
      <c r="AL15" s="165"/>
      <c r="AM15" s="165"/>
      <c r="AN15" s="165"/>
      <c r="AO15" s="165"/>
      <c r="AP15" s="165"/>
    </row>
    <row r="16" spans="1:42" ht="15.95">
      <c r="A16" s="371" t="s">
        <v>2166</v>
      </c>
      <c r="B16" s="367" t="s">
        <v>30</v>
      </c>
      <c r="C16" s="364" t="s">
        <v>30</v>
      </c>
      <c r="D16" s="364" t="s">
        <v>30</v>
      </c>
      <c r="E16" s="364" t="s">
        <v>30</v>
      </c>
      <c r="F16" s="364" t="s">
        <v>30</v>
      </c>
      <c r="G16" s="364" t="s">
        <v>30</v>
      </c>
      <c r="H16" s="364" t="s">
        <v>30</v>
      </c>
      <c r="I16" s="364" t="s">
        <v>30</v>
      </c>
      <c r="J16" s="364" t="s">
        <v>30</v>
      </c>
      <c r="K16" s="364">
        <v>96</v>
      </c>
      <c r="L16" s="364">
        <v>15</v>
      </c>
      <c r="M16" s="364">
        <v>111</v>
      </c>
      <c r="N16" s="364">
        <v>90</v>
      </c>
      <c r="O16" s="364">
        <v>19</v>
      </c>
      <c r="P16" s="364">
        <v>109</v>
      </c>
      <c r="Q16" s="364">
        <v>100</v>
      </c>
      <c r="R16" s="364">
        <v>21</v>
      </c>
      <c r="S16" s="364">
        <v>121</v>
      </c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  <c r="AI16" s="361"/>
      <c r="AJ16" s="361"/>
      <c r="AK16" s="361"/>
      <c r="AL16" s="165"/>
      <c r="AM16" s="165"/>
      <c r="AN16" s="165"/>
      <c r="AO16" s="165"/>
      <c r="AP16" s="165"/>
    </row>
    <row r="17" spans="1:42" ht="15.95">
      <c r="A17" s="371" t="s">
        <v>2167</v>
      </c>
      <c r="B17" s="367" t="s">
        <v>30</v>
      </c>
      <c r="C17" s="364" t="s">
        <v>30</v>
      </c>
      <c r="D17" s="364" t="s">
        <v>30</v>
      </c>
      <c r="E17" s="364" t="s">
        <v>30</v>
      </c>
      <c r="F17" s="364" t="s">
        <v>30</v>
      </c>
      <c r="G17" s="364" t="s">
        <v>30</v>
      </c>
      <c r="H17" s="364" t="s">
        <v>30</v>
      </c>
      <c r="I17" s="364" t="s">
        <v>30</v>
      </c>
      <c r="J17" s="364" t="s">
        <v>30</v>
      </c>
      <c r="K17" s="364">
        <v>41</v>
      </c>
      <c r="L17" s="364">
        <v>2</v>
      </c>
      <c r="M17" s="364">
        <v>43</v>
      </c>
      <c r="N17" s="364">
        <v>43</v>
      </c>
      <c r="O17" s="364">
        <v>4</v>
      </c>
      <c r="P17" s="364">
        <v>47</v>
      </c>
      <c r="Q17" s="364">
        <v>61</v>
      </c>
      <c r="R17" s="364">
        <v>3</v>
      </c>
      <c r="S17" s="364">
        <v>64</v>
      </c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165"/>
      <c r="AM17" s="165"/>
      <c r="AN17" s="165"/>
      <c r="AO17" s="165"/>
      <c r="AP17" s="165"/>
    </row>
    <row r="18" spans="1:42">
      <c r="A18" s="361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1"/>
      <c r="AK18" s="361"/>
      <c r="AL18" s="165"/>
      <c r="AM18" s="165"/>
      <c r="AN18" s="165"/>
      <c r="AO18" s="165"/>
      <c r="AP18" s="165"/>
    </row>
    <row r="19" spans="1:42" ht="15.95">
      <c r="A19" s="369" t="s">
        <v>2169</v>
      </c>
      <c r="B19" s="360"/>
      <c r="C19" s="360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1"/>
      <c r="AK19" s="361"/>
      <c r="AL19" s="165"/>
      <c r="AM19" s="165"/>
      <c r="AN19" s="165"/>
      <c r="AO19" s="165"/>
      <c r="AP19" s="165"/>
    </row>
    <row r="20" spans="1:42">
      <c r="A20" s="492" t="s">
        <v>2159</v>
      </c>
      <c r="B20" s="495" t="s">
        <v>2160</v>
      </c>
      <c r="C20" s="489"/>
      <c r="D20" s="489"/>
      <c r="E20" s="489"/>
      <c r="F20" s="489"/>
      <c r="G20" s="489"/>
      <c r="H20" s="489"/>
      <c r="I20" s="489"/>
      <c r="J20" s="489"/>
      <c r="K20" s="489"/>
      <c r="L20" s="489"/>
      <c r="M20" s="489"/>
      <c r="N20" s="489"/>
      <c r="O20" s="489"/>
      <c r="P20" s="489"/>
      <c r="Q20" s="489"/>
      <c r="R20" s="489"/>
      <c r="S20" s="490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1"/>
      <c r="AK20" s="361"/>
      <c r="AL20" s="165"/>
      <c r="AM20" s="165"/>
      <c r="AN20" s="165"/>
      <c r="AO20" s="165"/>
      <c r="AP20" s="165"/>
    </row>
    <row r="21" spans="1:42">
      <c r="A21" s="493"/>
      <c r="B21" s="495">
        <v>2020</v>
      </c>
      <c r="C21" s="489"/>
      <c r="D21" s="490"/>
      <c r="E21" s="489">
        <v>2021</v>
      </c>
      <c r="F21" s="489"/>
      <c r="G21" s="490"/>
      <c r="H21" s="489">
        <v>2022</v>
      </c>
      <c r="I21" s="489"/>
      <c r="J21" s="490"/>
      <c r="K21" s="489">
        <v>2023</v>
      </c>
      <c r="L21" s="489"/>
      <c r="M21" s="490"/>
      <c r="N21" s="489">
        <v>2024</v>
      </c>
      <c r="O21" s="489"/>
      <c r="P21" s="490"/>
      <c r="Q21" s="489">
        <v>2025</v>
      </c>
      <c r="R21" s="489"/>
      <c r="S21" s="490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361"/>
      <c r="AK21" s="361"/>
      <c r="AL21" s="165"/>
      <c r="AM21" s="165"/>
      <c r="AN21" s="165"/>
      <c r="AO21" s="165"/>
      <c r="AP21" s="165"/>
    </row>
    <row r="22" spans="1:42" ht="15.95">
      <c r="A22" s="494"/>
      <c r="B22" s="368" t="s">
        <v>2170</v>
      </c>
      <c r="C22" s="362" t="s">
        <v>2171</v>
      </c>
      <c r="D22" s="362" t="s">
        <v>2163</v>
      </c>
      <c r="E22" s="362" t="s">
        <v>2170</v>
      </c>
      <c r="F22" s="362" t="s">
        <v>2171</v>
      </c>
      <c r="G22" s="362" t="s">
        <v>2163</v>
      </c>
      <c r="H22" s="362" t="s">
        <v>2170</v>
      </c>
      <c r="I22" s="362" t="s">
        <v>2171</v>
      </c>
      <c r="J22" s="362" t="s">
        <v>2163</v>
      </c>
      <c r="K22" s="362" t="s">
        <v>2170</v>
      </c>
      <c r="L22" s="362" t="s">
        <v>2171</v>
      </c>
      <c r="M22" s="362" t="s">
        <v>2163</v>
      </c>
      <c r="N22" s="362" t="s">
        <v>2170</v>
      </c>
      <c r="O22" s="362" t="s">
        <v>2171</v>
      </c>
      <c r="P22" s="362" t="s">
        <v>2163</v>
      </c>
      <c r="Q22" s="362" t="s">
        <v>2170</v>
      </c>
      <c r="R22" s="362" t="s">
        <v>2171</v>
      </c>
      <c r="S22" s="362" t="s">
        <v>2163</v>
      </c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361"/>
      <c r="AK22" s="361"/>
      <c r="AL22" s="165"/>
      <c r="AM22" s="165"/>
      <c r="AN22" s="165"/>
      <c r="AO22" s="165"/>
      <c r="AP22" s="165"/>
    </row>
    <row r="23" spans="1:42" ht="15.95">
      <c r="A23" s="371" t="s">
        <v>2164</v>
      </c>
      <c r="B23" s="367" t="s">
        <v>30</v>
      </c>
      <c r="C23" s="364" t="s">
        <v>30</v>
      </c>
      <c r="D23" s="364" t="s">
        <v>30</v>
      </c>
      <c r="E23" s="364" t="s">
        <v>30</v>
      </c>
      <c r="F23" s="364" t="s">
        <v>30</v>
      </c>
      <c r="G23" s="364" t="s">
        <v>30</v>
      </c>
      <c r="H23" s="364" t="s">
        <v>30</v>
      </c>
      <c r="I23" s="364" t="s">
        <v>30</v>
      </c>
      <c r="J23" s="364" t="s">
        <v>30</v>
      </c>
      <c r="K23" s="364" t="s">
        <v>30</v>
      </c>
      <c r="L23" s="364" t="s">
        <v>30</v>
      </c>
      <c r="M23" s="364" t="s">
        <v>30</v>
      </c>
      <c r="N23" s="364" t="s">
        <v>30</v>
      </c>
      <c r="O23" s="364" t="s">
        <v>30</v>
      </c>
      <c r="P23" s="364" t="s">
        <v>30</v>
      </c>
      <c r="Q23" s="364" t="s">
        <v>30</v>
      </c>
      <c r="R23" s="364" t="s">
        <v>30</v>
      </c>
      <c r="S23" s="364" t="s">
        <v>30</v>
      </c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  <c r="AI23" s="361"/>
      <c r="AJ23" s="361"/>
      <c r="AK23" s="361"/>
      <c r="AL23" s="165"/>
      <c r="AM23" s="165"/>
      <c r="AN23" s="165"/>
      <c r="AO23" s="165"/>
      <c r="AP23" s="165"/>
    </row>
    <row r="24" spans="1:42" ht="15.95">
      <c r="A24" s="371" t="s">
        <v>2165</v>
      </c>
      <c r="B24" s="367" t="s">
        <v>30</v>
      </c>
      <c r="C24" s="364" t="s">
        <v>30</v>
      </c>
      <c r="D24" s="364" t="s">
        <v>30</v>
      </c>
      <c r="E24" s="364" t="s">
        <v>30</v>
      </c>
      <c r="F24" s="364" t="s">
        <v>30</v>
      </c>
      <c r="G24" s="364" t="s">
        <v>30</v>
      </c>
      <c r="H24" s="364" t="s">
        <v>30</v>
      </c>
      <c r="I24" s="364" t="s">
        <v>30</v>
      </c>
      <c r="J24" s="364" t="s">
        <v>30</v>
      </c>
      <c r="K24" s="364" t="s">
        <v>30</v>
      </c>
      <c r="L24" s="364" t="s">
        <v>30</v>
      </c>
      <c r="M24" s="364" t="s">
        <v>30</v>
      </c>
      <c r="N24" s="364" t="s">
        <v>30</v>
      </c>
      <c r="O24" s="364" t="s">
        <v>30</v>
      </c>
      <c r="P24" s="364" t="s">
        <v>30</v>
      </c>
      <c r="Q24" s="364" t="s">
        <v>30</v>
      </c>
      <c r="R24" s="364" t="s">
        <v>30</v>
      </c>
      <c r="S24" s="364" t="s">
        <v>30</v>
      </c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  <c r="AI24" s="361"/>
      <c r="AJ24" s="361"/>
      <c r="AK24" s="361"/>
      <c r="AL24" s="165"/>
      <c r="AM24" s="165"/>
      <c r="AN24" s="165"/>
      <c r="AO24" s="165"/>
      <c r="AP24" s="165"/>
    </row>
    <row r="25" spans="1:42" ht="15.95">
      <c r="A25" s="371" t="s">
        <v>2166</v>
      </c>
      <c r="B25" s="367" t="s">
        <v>30</v>
      </c>
      <c r="C25" s="364" t="s">
        <v>30</v>
      </c>
      <c r="D25" s="364" t="s">
        <v>30</v>
      </c>
      <c r="E25" s="364" t="s">
        <v>30</v>
      </c>
      <c r="F25" s="364" t="s">
        <v>30</v>
      </c>
      <c r="G25" s="364" t="s">
        <v>30</v>
      </c>
      <c r="H25" s="364" t="s">
        <v>30</v>
      </c>
      <c r="I25" s="364" t="s">
        <v>30</v>
      </c>
      <c r="J25" s="364" t="s">
        <v>30</v>
      </c>
      <c r="K25" s="364" t="s">
        <v>30</v>
      </c>
      <c r="L25" s="364" t="s">
        <v>30</v>
      </c>
      <c r="M25" s="364" t="s">
        <v>30</v>
      </c>
      <c r="N25" s="364" t="s">
        <v>30</v>
      </c>
      <c r="O25" s="364" t="s">
        <v>30</v>
      </c>
      <c r="P25" s="364" t="s">
        <v>30</v>
      </c>
      <c r="Q25" s="364" t="s">
        <v>30</v>
      </c>
      <c r="R25" s="364" t="s">
        <v>30</v>
      </c>
      <c r="S25" s="364" t="s">
        <v>30</v>
      </c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361"/>
      <c r="AK25" s="361"/>
      <c r="AL25" s="165"/>
      <c r="AM25" s="165"/>
      <c r="AN25" s="165"/>
      <c r="AO25" s="165"/>
      <c r="AP25" s="165"/>
    </row>
    <row r="26" spans="1:42" ht="15.95">
      <c r="A26" s="371" t="s">
        <v>2167</v>
      </c>
      <c r="B26" s="367" t="s">
        <v>30</v>
      </c>
      <c r="C26" s="364" t="s">
        <v>30</v>
      </c>
      <c r="D26" s="364" t="s">
        <v>30</v>
      </c>
      <c r="E26" s="364" t="s">
        <v>30</v>
      </c>
      <c r="F26" s="364" t="s">
        <v>30</v>
      </c>
      <c r="G26" s="364" t="s">
        <v>30</v>
      </c>
      <c r="H26" s="364" t="s">
        <v>30</v>
      </c>
      <c r="I26" s="364" t="s">
        <v>30</v>
      </c>
      <c r="J26" s="364" t="s">
        <v>30</v>
      </c>
      <c r="K26" s="364" t="s">
        <v>30</v>
      </c>
      <c r="L26" s="364" t="s">
        <v>30</v>
      </c>
      <c r="M26" s="364" t="s">
        <v>30</v>
      </c>
      <c r="N26" s="364" t="s">
        <v>30</v>
      </c>
      <c r="O26" s="364" t="s">
        <v>30</v>
      </c>
      <c r="P26" s="364" t="s">
        <v>30</v>
      </c>
      <c r="Q26" s="364" t="s">
        <v>30</v>
      </c>
      <c r="R26" s="364" t="s">
        <v>30</v>
      </c>
      <c r="S26" s="364" t="s">
        <v>30</v>
      </c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361"/>
      <c r="AK26" s="361"/>
      <c r="AL26" s="165"/>
      <c r="AM26" s="165"/>
      <c r="AN26" s="165"/>
      <c r="AO26" s="165"/>
      <c r="AP26" s="165"/>
    </row>
  </sheetData>
  <mergeCells count="26">
    <mergeCell ref="N3:S3"/>
    <mergeCell ref="T3:Y3"/>
    <mergeCell ref="A20:A22"/>
    <mergeCell ref="B20:S20"/>
    <mergeCell ref="B21:D21"/>
    <mergeCell ref="E21:G21"/>
    <mergeCell ref="H21:J21"/>
    <mergeCell ref="K21:M21"/>
    <mergeCell ref="N21:P21"/>
    <mergeCell ref="Q21:S21"/>
    <mergeCell ref="Z3:AE3"/>
    <mergeCell ref="AF3:AK3"/>
    <mergeCell ref="AL3:AP3"/>
    <mergeCell ref="A11:A13"/>
    <mergeCell ref="B11:S11"/>
    <mergeCell ref="B12:D12"/>
    <mergeCell ref="E12:G12"/>
    <mergeCell ref="H12:J12"/>
    <mergeCell ref="K12:M12"/>
    <mergeCell ref="N12:P12"/>
    <mergeCell ref="Q12:S12"/>
    <mergeCell ref="T12:X12"/>
    <mergeCell ref="A2:A4"/>
    <mergeCell ref="B2:AK2"/>
    <mergeCell ref="B3:G3"/>
    <mergeCell ref="H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2024-A97B-42A6-B21D-6090ECAABB12}">
  <dimension ref="A1:K237"/>
  <sheetViews>
    <sheetView topLeftCell="B21" workbookViewId="0">
      <selection activeCell="C34" sqref="C34"/>
    </sheetView>
  </sheetViews>
  <sheetFormatPr defaultColWidth="12.42578125" defaultRowHeight="15" customHeight="1"/>
  <cols>
    <col min="1" max="1" width="6.85546875" style="74" bestFit="1" customWidth="1"/>
    <col min="2" max="2" width="117.7109375" style="74" bestFit="1" customWidth="1"/>
    <col min="3" max="3" width="55.7109375" style="74" bestFit="1" customWidth="1"/>
    <col min="4" max="4" width="20.7109375" style="74" bestFit="1" customWidth="1"/>
    <col min="5" max="5" width="14.28515625" style="74" bestFit="1" customWidth="1"/>
    <col min="6" max="6" width="24" style="74" bestFit="1" customWidth="1"/>
    <col min="7" max="7" width="16" style="74" bestFit="1" customWidth="1"/>
    <col min="8" max="8" width="8" style="74" customWidth="1"/>
    <col min="9" max="9" width="16" style="74" bestFit="1" customWidth="1"/>
    <col min="10" max="10" width="19.140625" style="74" bestFit="1" customWidth="1"/>
    <col min="11" max="11" width="7" style="74" bestFit="1" customWidth="1"/>
    <col min="12" max="23" width="14.42578125" style="74" customWidth="1"/>
    <col min="24" max="16384" width="12.42578125" style="74"/>
  </cols>
  <sheetData>
    <row r="1" spans="1:11" ht="15.75" customHeight="1">
      <c r="A1" s="499" t="s">
        <v>2172</v>
      </c>
      <c r="B1" s="499"/>
      <c r="C1" s="499"/>
      <c r="D1" s="499"/>
      <c r="E1" s="499"/>
      <c r="F1" s="499"/>
      <c r="G1" s="316"/>
      <c r="H1" s="73"/>
      <c r="I1" s="73"/>
      <c r="J1" s="73"/>
      <c r="K1" s="73"/>
    </row>
    <row r="2" spans="1:11" ht="15.75" customHeight="1">
      <c r="A2" s="499" t="s">
        <v>2173</v>
      </c>
      <c r="B2" s="499"/>
      <c r="C2" s="499"/>
      <c r="D2" s="499"/>
      <c r="E2" s="499"/>
      <c r="F2" s="499"/>
      <c r="G2" s="316"/>
      <c r="H2" s="73"/>
      <c r="I2" s="73"/>
      <c r="J2" s="73"/>
      <c r="K2" s="73"/>
    </row>
    <row r="3" spans="1:11" ht="15.75" customHeight="1">
      <c r="A3" s="499" t="s">
        <v>2174</v>
      </c>
      <c r="B3" s="499"/>
      <c r="C3" s="499"/>
      <c r="D3" s="499"/>
      <c r="E3" s="499"/>
      <c r="F3" s="499"/>
      <c r="G3" s="316"/>
      <c r="H3" s="73"/>
      <c r="I3" s="73"/>
      <c r="J3" s="73"/>
      <c r="K3" s="73"/>
    </row>
    <row r="4" spans="1:11" ht="15.75" customHeight="1">
      <c r="D4" s="75"/>
      <c r="E4" s="75"/>
      <c r="F4" s="75"/>
      <c r="G4" s="75"/>
      <c r="H4" s="73"/>
      <c r="I4" s="73"/>
      <c r="J4" s="73"/>
      <c r="K4" s="73"/>
    </row>
    <row r="5" spans="1:11" ht="15.75" customHeight="1">
      <c r="A5" s="76" t="s">
        <v>2013</v>
      </c>
      <c r="B5" s="76" t="s">
        <v>787</v>
      </c>
      <c r="C5" s="77" t="s">
        <v>2175</v>
      </c>
      <c r="D5" s="76" t="s">
        <v>1559</v>
      </c>
      <c r="E5" s="78" t="s">
        <v>2176</v>
      </c>
      <c r="F5" s="76" t="s">
        <v>2177</v>
      </c>
      <c r="G5" s="76" t="s">
        <v>2178</v>
      </c>
      <c r="H5" s="73"/>
      <c r="I5" s="73"/>
      <c r="J5" s="73"/>
      <c r="K5" s="73"/>
    </row>
    <row r="6" spans="1:11" ht="15.75" customHeight="1">
      <c r="A6" s="79">
        <v>1</v>
      </c>
      <c r="B6" s="80" t="s">
        <v>2179</v>
      </c>
      <c r="C6" s="81" t="s">
        <v>2180</v>
      </c>
      <c r="D6" s="82" t="s">
        <v>1225</v>
      </c>
      <c r="E6" s="83">
        <v>1</v>
      </c>
      <c r="F6" s="82">
        <f t="shared" ref="F6:F17" si="0">IF(COUNTIF($C$6:$C$1001, C6)&gt;0, IF(E6&gt;1,2,1), 0)</f>
        <v>1</v>
      </c>
      <c r="G6" s="82">
        <f>E6-F6</f>
        <v>0</v>
      </c>
      <c r="H6" s="73"/>
      <c r="I6" s="73"/>
      <c r="J6" s="73"/>
      <c r="K6" s="73"/>
    </row>
    <row r="7" spans="1:11" ht="15.75" customHeight="1">
      <c r="A7" s="82">
        <f>A6+1</f>
        <v>2</v>
      </c>
      <c r="B7" s="80" t="s">
        <v>2181</v>
      </c>
      <c r="C7" s="81" t="s">
        <v>609</v>
      </c>
      <c r="D7" s="82" t="s">
        <v>1705</v>
      </c>
      <c r="E7" s="83">
        <v>1</v>
      </c>
      <c r="F7" s="82">
        <f t="shared" si="0"/>
        <v>1</v>
      </c>
      <c r="G7" s="82">
        <f t="shared" ref="G7:G70" si="1">E7-F7</f>
        <v>0</v>
      </c>
      <c r="H7" s="73"/>
      <c r="I7" s="73"/>
      <c r="J7" s="73"/>
      <c r="K7" s="73"/>
    </row>
    <row r="8" spans="1:11" ht="15.75" customHeight="1">
      <c r="A8" s="82">
        <f t="shared" ref="A8:A71" si="2">A7+1</f>
        <v>3</v>
      </c>
      <c r="B8" s="84" t="s">
        <v>2182</v>
      </c>
      <c r="C8" s="85" t="s">
        <v>588</v>
      </c>
      <c r="D8" s="82" t="s">
        <v>1153</v>
      </c>
      <c r="E8" s="83">
        <v>1</v>
      </c>
      <c r="F8" s="82">
        <f t="shared" si="0"/>
        <v>1</v>
      </c>
      <c r="G8" s="82">
        <f t="shared" si="1"/>
        <v>0</v>
      </c>
      <c r="H8" s="73"/>
      <c r="I8" s="73"/>
      <c r="J8" s="73" t="s">
        <v>2183</v>
      </c>
      <c r="K8" s="73" t="s">
        <v>21</v>
      </c>
    </row>
    <row r="9" spans="1:11" ht="15.75" customHeight="1">
      <c r="A9" s="82">
        <f t="shared" si="2"/>
        <v>4</v>
      </c>
      <c r="B9" s="84" t="s">
        <v>2184</v>
      </c>
      <c r="C9" s="85" t="s">
        <v>655</v>
      </c>
      <c r="D9" s="82" t="s">
        <v>1597</v>
      </c>
      <c r="E9" s="83">
        <v>1</v>
      </c>
      <c r="F9" s="82">
        <f t="shared" si="0"/>
        <v>1</v>
      </c>
      <c r="G9" s="82">
        <f t="shared" si="1"/>
        <v>0</v>
      </c>
      <c r="H9" s="73"/>
      <c r="I9" s="73" t="s">
        <v>2185</v>
      </c>
      <c r="J9" s="73">
        <f>COUNTIF(E:E,1)</f>
        <v>92</v>
      </c>
      <c r="K9" s="73">
        <f>COUNTIF(E:E,2)</f>
        <v>118</v>
      </c>
    </row>
    <row r="10" spans="1:11" ht="15.75" customHeight="1">
      <c r="A10" s="82">
        <f t="shared" si="2"/>
        <v>5</v>
      </c>
      <c r="B10" s="84" t="s">
        <v>2186</v>
      </c>
      <c r="C10" s="81"/>
      <c r="D10" s="82" t="s">
        <v>1153</v>
      </c>
      <c r="E10" s="83">
        <v>0</v>
      </c>
      <c r="F10" s="82">
        <f t="shared" si="0"/>
        <v>0</v>
      </c>
      <c r="G10" s="82">
        <f t="shared" si="1"/>
        <v>0</v>
      </c>
      <c r="H10" s="73"/>
      <c r="I10" s="73" t="s">
        <v>2187</v>
      </c>
      <c r="J10" s="73">
        <f>COUNTIF(F:F,1)</f>
        <v>70</v>
      </c>
      <c r="K10" s="86">
        <f>COUNTIFS(F:F,2)</f>
        <v>112</v>
      </c>
    </row>
    <row r="11" spans="1:11" ht="15.75" customHeight="1">
      <c r="A11" s="82">
        <f t="shared" si="2"/>
        <v>6</v>
      </c>
      <c r="B11" s="84" t="s">
        <v>2188</v>
      </c>
      <c r="C11" s="81" t="s">
        <v>652</v>
      </c>
      <c r="D11" s="82" t="s">
        <v>1597</v>
      </c>
      <c r="E11" s="87">
        <v>1</v>
      </c>
      <c r="F11" s="82">
        <f t="shared" si="0"/>
        <v>1</v>
      </c>
      <c r="G11" s="82">
        <f t="shared" si="1"/>
        <v>0</v>
      </c>
      <c r="H11" s="73"/>
      <c r="I11" s="73" t="s">
        <v>2062</v>
      </c>
      <c r="J11" s="73">
        <f t="shared" ref="J11:K11" si="3">J9-J10</f>
        <v>22</v>
      </c>
      <c r="K11" s="73">
        <f t="shared" si="3"/>
        <v>6</v>
      </c>
    </row>
    <row r="12" spans="1:11" ht="15.75" customHeight="1">
      <c r="A12" s="82">
        <f t="shared" si="2"/>
        <v>7</v>
      </c>
      <c r="B12" s="84" t="s">
        <v>2188</v>
      </c>
      <c r="C12" s="81" t="s">
        <v>648</v>
      </c>
      <c r="D12" s="82" t="s">
        <v>1597</v>
      </c>
      <c r="E12" s="87">
        <v>1</v>
      </c>
      <c r="F12" s="82">
        <f t="shared" si="0"/>
        <v>1</v>
      </c>
      <c r="G12" s="82">
        <f t="shared" si="1"/>
        <v>0</v>
      </c>
      <c r="H12" s="73"/>
      <c r="I12" s="73"/>
      <c r="J12" s="73"/>
      <c r="K12" s="73"/>
    </row>
    <row r="13" spans="1:11" ht="15.75" customHeight="1">
      <c r="A13" s="82">
        <f t="shared" si="2"/>
        <v>8</v>
      </c>
      <c r="B13" s="84" t="s">
        <v>2189</v>
      </c>
      <c r="C13" s="81"/>
      <c r="D13" s="82" t="s">
        <v>1153</v>
      </c>
      <c r="E13" s="83">
        <v>0</v>
      </c>
      <c r="F13" s="82">
        <f t="shared" si="0"/>
        <v>0</v>
      </c>
      <c r="G13" s="82">
        <f t="shared" si="1"/>
        <v>0</v>
      </c>
      <c r="H13" s="73"/>
      <c r="I13" s="73"/>
      <c r="J13" s="73"/>
      <c r="K13" s="73"/>
    </row>
    <row r="14" spans="1:11" ht="15.75" customHeight="1">
      <c r="A14" s="82">
        <f t="shared" si="2"/>
        <v>9</v>
      </c>
      <c r="B14" s="84" t="s">
        <v>2190</v>
      </c>
      <c r="C14" s="81" t="s">
        <v>660</v>
      </c>
      <c r="D14" s="82" t="s">
        <v>1597</v>
      </c>
      <c r="E14" s="88">
        <v>1</v>
      </c>
      <c r="F14" s="82">
        <f t="shared" si="0"/>
        <v>1</v>
      </c>
      <c r="G14" s="82">
        <f t="shared" si="1"/>
        <v>0</v>
      </c>
      <c r="H14" s="73"/>
      <c r="I14" s="73"/>
      <c r="J14" s="73"/>
      <c r="K14" s="73"/>
    </row>
    <row r="15" spans="1:11" ht="15.75" customHeight="1">
      <c r="A15" s="82">
        <f t="shared" si="2"/>
        <v>10</v>
      </c>
      <c r="B15" s="80" t="s">
        <v>2191</v>
      </c>
      <c r="C15" s="81" t="s">
        <v>2192</v>
      </c>
      <c r="D15" s="82" t="s">
        <v>1705</v>
      </c>
      <c r="E15" s="83">
        <v>1</v>
      </c>
      <c r="F15" s="82">
        <f t="shared" si="0"/>
        <v>1</v>
      </c>
      <c r="G15" s="82">
        <f t="shared" si="1"/>
        <v>0</v>
      </c>
      <c r="H15" s="73"/>
      <c r="I15" s="73"/>
      <c r="J15" s="73"/>
      <c r="K15" s="73"/>
    </row>
    <row r="16" spans="1:11" ht="15.75" customHeight="1">
      <c r="A16" s="82">
        <f t="shared" si="2"/>
        <v>11</v>
      </c>
      <c r="B16" s="84" t="s">
        <v>2193</v>
      </c>
      <c r="C16" s="81"/>
      <c r="D16" s="82" t="s">
        <v>1153</v>
      </c>
      <c r="E16" s="83">
        <v>0</v>
      </c>
      <c r="F16" s="82">
        <f t="shared" si="0"/>
        <v>0</v>
      </c>
      <c r="G16" s="82">
        <f t="shared" si="1"/>
        <v>0</v>
      </c>
      <c r="H16" s="73"/>
      <c r="I16" s="73"/>
      <c r="J16" s="73"/>
      <c r="K16" s="73"/>
    </row>
    <row r="17" spans="1:7" ht="15.75" customHeight="1">
      <c r="A17" s="82">
        <f t="shared" si="2"/>
        <v>12</v>
      </c>
      <c r="B17" s="84" t="s">
        <v>2194</v>
      </c>
      <c r="C17" s="81"/>
      <c r="D17" s="82" t="s">
        <v>1597</v>
      </c>
      <c r="E17" s="83">
        <v>1</v>
      </c>
      <c r="F17" s="82">
        <f t="shared" si="0"/>
        <v>0</v>
      </c>
      <c r="G17" s="82">
        <f t="shared" si="1"/>
        <v>1</v>
      </c>
    </row>
    <row r="18" spans="1:7" ht="15.75" customHeight="1">
      <c r="A18" s="82">
        <f t="shared" si="2"/>
        <v>13</v>
      </c>
      <c r="B18" s="84" t="s">
        <v>2195</v>
      </c>
      <c r="D18" s="82" t="s">
        <v>1153</v>
      </c>
      <c r="E18" s="83">
        <v>0</v>
      </c>
      <c r="F18" s="82">
        <f>IF( COUNTIF($C$6:$C$1001,#REF!)&gt;0, IF(E18&gt;1,2,1), 0)</f>
        <v>0</v>
      </c>
      <c r="G18" s="82">
        <f t="shared" si="1"/>
        <v>0</v>
      </c>
    </row>
    <row r="19" spans="1:7" ht="15.75" customHeight="1">
      <c r="A19" s="82">
        <f t="shared" si="2"/>
        <v>14</v>
      </c>
      <c r="B19" s="84" t="s">
        <v>2196</v>
      </c>
      <c r="C19" s="81" t="s">
        <v>668</v>
      </c>
      <c r="D19" s="82" t="s">
        <v>1597</v>
      </c>
      <c r="E19" s="83">
        <v>1</v>
      </c>
      <c r="F19" s="82">
        <f t="shared" ref="F19:F27" si="4">IF(COUNTIF($C$6:$C$1001, C19)&gt;0, IF(E19&gt;1,2,1), 0)</f>
        <v>1</v>
      </c>
      <c r="G19" s="82">
        <f t="shared" si="1"/>
        <v>0</v>
      </c>
    </row>
    <row r="20" spans="1:7" ht="15.75" customHeight="1">
      <c r="A20" s="82">
        <f t="shared" si="2"/>
        <v>15</v>
      </c>
      <c r="B20" s="84" t="s">
        <v>2197</v>
      </c>
      <c r="C20" s="81" t="s">
        <v>2198</v>
      </c>
      <c r="D20" s="82" t="s">
        <v>1153</v>
      </c>
      <c r="E20" s="83">
        <v>1</v>
      </c>
      <c r="F20" s="82">
        <f t="shared" si="4"/>
        <v>1</v>
      </c>
      <c r="G20" s="82">
        <f t="shared" si="1"/>
        <v>0</v>
      </c>
    </row>
    <row r="21" spans="1:7" ht="15.75" customHeight="1">
      <c r="A21" s="82">
        <f t="shared" si="2"/>
        <v>16</v>
      </c>
      <c r="B21" s="84" t="s">
        <v>2199</v>
      </c>
      <c r="C21" s="81"/>
      <c r="D21" s="82" t="s">
        <v>1597</v>
      </c>
      <c r="E21" s="83">
        <v>0</v>
      </c>
      <c r="F21" s="82">
        <f t="shared" si="4"/>
        <v>0</v>
      </c>
      <c r="G21" s="82">
        <f t="shared" si="1"/>
        <v>0</v>
      </c>
    </row>
    <row r="22" spans="1:7" ht="15.75" customHeight="1">
      <c r="A22" s="82">
        <f t="shared" si="2"/>
        <v>17</v>
      </c>
      <c r="B22" s="80" t="s">
        <v>2200</v>
      </c>
      <c r="C22" s="81" t="s">
        <v>2201</v>
      </c>
      <c r="D22" s="82" t="s">
        <v>2202</v>
      </c>
      <c r="E22" s="83">
        <v>1</v>
      </c>
      <c r="F22" s="82">
        <f t="shared" si="4"/>
        <v>1</v>
      </c>
      <c r="G22" s="82">
        <f t="shared" si="1"/>
        <v>0</v>
      </c>
    </row>
    <row r="23" spans="1:7" ht="15.75" customHeight="1">
      <c r="A23" s="82">
        <f t="shared" si="2"/>
        <v>18</v>
      </c>
      <c r="B23" s="80" t="s">
        <v>2203</v>
      </c>
      <c r="C23" s="81" t="s">
        <v>2204</v>
      </c>
      <c r="D23" s="82" t="s">
        <v>1705</v>
      </c>
      <c r="E23" s="83">
        <v>1</v>
      </c>
      <c r="F23" s="82">
        <f t="shared" si="4"/>
        <v>1</v>
      </c>
      <c r="G23" s="82">
        <f t="shared" si="1"/>
        <v>0</v>
      </c>
    </row>
    <row r="24" spans="1:7" ht="15.75" customHeight="1">
      <c r="A24" s="82">
        <f t="shared" si="2"/>
        <v>19</v>
      </c>
      <c r="B24" s="84" t="s">
        <v>2205</v>
      </c>
      <c r="C24" s="81" t="s">
        <v>599</v>
      </c>
      <c r="D24" s="82" t="s">
        <v>1153</v>
      </c>
      <c r="E24" s="83">
        <v>1</v>
      </c>
      <c r="F24" s="82">
        <f t="shared" si="4"/>
        <v>1</v>
      </c>
      <c r="G24" s="82">
        <f t="shared" si="1"/>
        <v>0</v>
      </c>
    </row>
    <row r="25" spans="1:7" ht="15.75" customHeight="1">
      <c r="A25" s="82">
        <f t="shared" si="2"/>
        <v>20</v>
      </c>
      <c r="B25" s="84" t="s">
        <v>2206</v>
      </c>
      <c r="C25" s="81" t="s">
        <v>658</v>
      </c>
      <c r="D25" s="82" t="s">
        <v>1597</v>
      </c>
      <c r="E25" s="83">
        <v>1</v>
      </c>
      <c r="F25" s="82">
        <f t="shared" si="4"/>
        <v>1</v>
      </c>
      <c r="G25" s="82">
        <f t="shared" si="1"/>
        <v>0</v>
      </c>
    </row>
    <row r="26" spans="1:7" ht="15.75" customHeight="1">
      <c r="A26" s="82">
        <f t="shared" si="2"/>
        <v>21</v>
      </c>
      <c r="B26" s="84" t="s">
        <v>2206</v>
      </c>
      <c r="C26" s="89" t="s">
        <v>682</v>
      </c>
      <c r="D26" s="82" t="s">
        <v>1597</v>
      </c>
      <c r="E26" s="83">
        <v>1</v>
      </c>
      <c r="F26" s="82">
        <f t="shared" si="4"/>
        <v>1</v>
      </c>
      <c r="G26" s="82">
        <f t="shared" si="1"/>
        <v>0</v>
      </c>
    </row>
    <row r="27" spans="1:7" ht="15.75" customHeight="1">
      <c r="A27" s="82">
        <f t="shared" si="2"/>
        <v>22</v>
      </c>
      <c r="B27" s="84" t="s">
        <v>2206</v>
      </c>
      <c r="C27" s="81" t="s">
        <v>596</v>
      </c>
      <c r="D27" s="82" t="s">
        <v>1597</v>
      </c>
      <c r="E27" s="83">
        <v>1</v>
      </c>
      <c r="F27" s="82">
        <f t="shared" si="4"/>
        <v>1</v>
      </c>
      <c r="G27" s="82">
        <f t="shared" si="1"/>
        <v>0</v>
      </c>
    </row>
    <row r="28" spans="1:7" ht="15.75" customHeight="1">
      <c r="A28" s="82">
        <f t="shared" si="2"/>
        <v>23</v>
      </c>
      <c r="B28" s="84" t="s">
        <v>2207</v>
      </c>
      <c r="C28" s="81" t="s">
        <v>2208</v>
      </c>
      <c r="D28" s="82" t="s">
        <v>1153</v>
      </c>
      <c r="E28" s="83">
        <v>1</v>
      </c>
      <c r="F28" s="82">
        <f>IF(COUNTIF($C$6:$C$1001, C97)&gt;0, IF(E28&gt;1,2,1), 0)</f>
        <v>1</v>
      </c>
      <c r="G28" s="82">
        <f t="shared" si="1"/>
        <v>0</v>
      </c>
    </row>
    <row r="29" spans="1:7" ht="15.75" customHeight="1">
      <c r="A29" s="82">
        <f t="shared" si="2"/>
        <v>24</v>
      </c>
      <c r="B29" s="84" t="s">
        <v>2209</v>
      </c>
      <c r="C29" s="90" t="s">
        <v>679</v>
      </c>
      <c r="D29" s="82" t="s">
        <v>1597</v>
      </c>
      <c r="E29" s="83">
        <v>1</v>
      </c>
      <c r="F29" s="82">
        <f t="shared" ref="F29:F36" si="5">IF(COUNTIF($C$6:$C$1001, C29)&gt;0, IF(E29&gt;1,2,1), 0)</f>
        <v>1</v>
      </c>
      <c r="G29" s="82">
        <f t="shared" si="1"/>
        <v>0</v>
      </c>
    </row>
    <row r="30" spans="1:7" ht="15.75" customHeight="1">
      <c r="A30" s="82">
        <f t="shared" si="2"/>
        <v>25</v>
      </c>
      <c r="B30" s="80" t="s">
        <v>2210</v>
      </c>
      <c r="C30" s="81" t="s">
        <v>2211</v>
      </c>
      <c r="D30" s="82" t="s">
        <v>1705</v>
      </c>
      <c r="E30" s="83">
        <v>1</v>
      </c>
      <c r="F30" s="82">
        <f t="shared" si="5"/>
        <v>1</v>
      </c>
      <c r="G30" s="82">
        <f t="shared" si="1"/>
        <v>0</v>
      </c>
    </row>
    <row r="31" spans="1:7" ht="15.75" customHeight="1">
      <c r="A31" s="82">
        <f t="shared" si="2"/>
        <v>26</v>
      </c>
      <c r="B31" s="84" t="s">
        <v>2212</v>
      </c>
      <c r="C31" s="91" t="s">
        <v>2213</v>
      </c>
      <c r="D31" s="82" t="s">
        <v>1153</v>
      </c>
      <c r="E31" s="92">
        <v>1</v>
      </c>
      <c r="F31" s="82">
        <f t="shared" si="5"/>
        <v>1</v>
      </c>
      <c r="G31" s="82">
        <f t="shared" si="1"/>
        <v>0</v>
      </c>
    </row>
    <row r="32" spans="1:7" ht="15.75" customHeight="1">
      <c r="A32" s="82">
        <f t="shared" si="2"/>
        <v>27</v>
      </c>
      <c r="B32" s="84" t="s">
        <v>2214</v>
      </c>
      <c r="C32" s="85" t="s">
        <v>684</v>
      </c>
      <c r="D32" s="82" t="s">
        <v>1597</v>
      </c>
      <c r="E32" s="92">
        <v>1</v>
      </c>
      <c r="F32" s="82">
        <f t="shared" si="5"/>
        <v>1</v>
      </c>
      <c r="G32" s="82">
        <f t="shared" si="1"/>
        <v>0</v>
      </c>
    </row>
    <row r="33" spans="1:7" ht="15.75" customHeight="1">
      <c r="A33" s="82">
        <f t="shared" si="2"/>
        <v>28</v>
      </c>
      <c r="B33" s="84" t="s">
        <v>2215</v>
      </c>
      <c r="C33" s="81"/>
      <c r="D33" s="82" t="s">
        <v>1153</v>
      </c>
      <c r="E33" s="83">
        <v>0</v>
      </c>
      <c r="F33" s="82">
        <f t="shared" si="5"/>
        <v>0</v>
      </c>
      <c r="G33" s="82">
        <f t="shared" si="1"/>
        <v>0</v>
      </c>
    </row>
    <row r="34" spans="1:7" ht="15.75" customHeight="1">
      <c r="A34" s="82">
        <f t="shared" si="2"/>
        <v>29</v>
      </c>
      <c r="B34" s="84" t="s">
        <v>2216</v>
      </c>
      <c r="C34" s="74" t="s">
        <v>708</v>
      </c>
      <c r="D34" s="82" t="s">
        <v>1597</v>
      </c>
      <c r="E34" s="92">
        <v>1</v>
      </c>
      <c r="F34" s="82">
        <f t="shared" si="5"/>
        <v>1</v>
      </c>
      <c r="G34" s="82">
        <f t="shared" si="1"/>
        <v>0</v>
      </c>
    </row>
    <row r="35" spans="1:7" ht="15.75" customHeight="1">
      <c r="A35" s="82">
        <f t="shared" si="2"/>
        <v>30</v>
      </c>
      <c r="B35" s="84" t="s">
        <v>2217</v>
      </c>
      <c r="C35" s="81"/>
      <c r="D35" s="82" t="s">
        <v>1153</v>
      </c>
      <c r="E35" s="83">
        <v>1</v>
      </c>
      <c r="F35" s="82">
        <f t="shared" si="5"/>
        <v>0</v>
      </c>
      <c r="G35" s="82">
        <f t="shared" si="1"/>
        <v>1</v>
      </c>
    </row>
    <row r="36" spans="1:7" ht="15.75" customHeight="1">
      <c r="A36" s="82">
        <f t="shared" si="2"/>
        <v>31</v>
      </c>
      <c r="B36" s="84" t="s">
        <v>2218</v>
      </c>
      <c r="C36" s="81"/>
      <c r="D36" s="82" t="s">
        <v>1597</v>
      </c>
      <c r="E36" s="83">
        <v>0</v>
      </c>
      <c r="F36" s="82">
        <f t="shared" si="5"/>
        <v>0</v>
      </c>
      <c r="G36" s="82">
        <f t="shared" si="1"/>
        <v>0</v>
      </c>
    </row>
    <row r="37" spans="1:7" ht="15.75" customHeight="1">
      <c r="A37" s="82">
        <f t="shared" si="2"/>
        <v>32</v>
      </c>
      <c r="B37" s="80" t="s">
        <v>2219</v>
      </c>
      <c r="C37" s="81" t="s">
        <v>2220</v>
      </c>
      <c r="D37" s="82" t="s">
        <v>1705</v>
      </c>
      <c r="E37" s="93">
        <v>1</v>
      </c>
      <c r="F37" s="82">
        <f>IF(COUNTIF($C$6:$C$1001, C95)&gt;0, IF(E37&gt;1,2,1), 0)</f>
        <v>1</v>
      </c>
      <c r="G37" s="82">
        <f t="shared" si="1"/>
        <v>0</v>
      </c>
    </row>
    <row r="38" spans="1:7" ht="15.75" customHeight="1">
      <c r="A38" s="82">
        <f t="shared" si="2"/>
        <v>33</v>
      </c>
      <c r="B38" s="84" t="s">
        <v>2221</v>
      </c>
      <c r="C38" s="85" t="s">
        <v>606</v>
      </c>
      <c r="D38" s="82" t="s">
        <v>1153</v>
      </c>
      <c r="E38" s="93">
        <v>1</v>
      </c>
      <c r="F38" s="82">
        <f t="shared" ref="F38:F69" si="6">IF(COUNTIF($C$6:$C$1001, C38)&gt;0, IF(E38&gt;1,2,1), 0)</f>
        <v>1</v>
      </c>
      <c r="G38" s="82">
        <f t="shared" si="1"/>
        <v>0</v>
      </c>
    </row>
    <row r="39" spans="1:7" ht="15.75" customHeight="1">
      <c r="A39" s="82">
        <f t="shared" si="2"/>
        <v>34</v>
      </c>
      <c r="B39" s="84" t="s">
        <v>2222</v>
      </c>
      <c r="C39" s="81" t="s">
        <v>602</v>
      </c>
      <c r="D39" s="82" t="s">
        <v>1597</v>
      </c>
      <c r="E39" s="93">
        <v>1</v>
      </c>
      <c r="F39" s="82">
        <f t="shared" si="6"/>
        <v>1</v>
      </c>
      <c r="G39" s="82">
        <f t="shared" si="1"/>
        <v>0</v>
      </c>
    </row>
    <row r="40" spans="1:7" ht="15.75" customHeight="1">
      <c r="A40" s="82">
        <f t="shared" si="2"/>
        <v>35</v>
      </c>
      <c r="B40" s="84" t="s">
        <v>2222</v>
      </c>
      <c r="C40" s="81" t="s">
        <v>666</v>
      </c>
      <c r="D40" s="82" t="s">
        <v>1597</v>
      </c>
      <c r="E40" s="93">
        <v>1</v>
      </c>
      <c r="F40" s="82">
        <f t="shared" si="6"/>
        <v>1</v>
      </c>
      <c r="G40" s="82">
        <f t="shared" si="1"/>
        <v>0</v>
      </c>
    </row>
    <row r="41" spans="1:7" ht="15.75" customHeight="1">
      <c r="A41" s="82">
        <f t="shared" si="2"/>
        <v>36</v>
      </c>
      <c r="B41" s="84" t="s">
        <v>2222</v>
      </c>
      <c r="C41" s="85" t="s">
        <v>671</v>
      </c>
      <c r="D41" s="82" t="s">
        <v>1597</v>
      </c>
      <c r="E41" s="83">
        <v>1</v>
      </c>
      <c r="F41" s="82">
        <f t="shared" si="6"/>
        <v>1</v>
      </c>
      <c r="G41" s="82">
        <f t="shared" si="1"/>
        <v>0</v>
      </c>
    </row>
    <row r="42" spans="1:7" ht="15.75" customHeight="1">
      <c r="A42" s="82">
        <f t="shared" si="2"/>
        <v>37</v>
      </c>
      <c r="B42" s="84" t="s">
        <v>2223</v>
      </c>
      <c r="C42" s="81" t="s">
        <v>2224</v>
      </c>
      <c r="D42" s="82" t="s">
        <v>1153</v>
      </c>
      <c r="E42" s="83">
        <v>1</v>
      </c>
      <c r="F42" s="82">
        <f t="shared" si="6"/>
        <v>1</v>
      </c>
      <c r="G42" s="82">
        <f t="shared" si="1"/>
        <v>0</v>
      </c>
    </row>
    <row r="43" spans="1:7" ht="15.75" customHeight="1">
      <c r="A43" s="82">
        <f t="shared" si="2"/>
        <v>38</v>
      </c>
      <c r="B43" s="84" t="s">
        <v>2225</v>
      </c>
      <c r="C43" s="81" t="s">
        <v>637</v>
      </c>
      <c r="D43" s="82" t="s">
        <v>1597</v>
      </c>
      <c r="E43" s="88">
        <v>1</v>
      </c>
      <c r="F43" s="82">
        <f t="shared" si="6"/>
        <v>1</v>
      </c>
      <c r="G43" s="82">
        <f t="shared" si="1"/>
        <v>0</v>
      </c>
    </row>
    <row r="44" spans="1:7" ht="15.75" customHeight="1">
      <c r="A44" s="82">
        <f t="shared" si="2"/>
        <v>39</v>
      </c>
      <c r="B44" s="80" t="s">
        <v>2226</v>
      </c>
      <c r="C44" s="81" t="s">
        <v>2227</v>
      </c>
      <c r="D44" s="82" t="s">
        <v>2202</v>
      </c>
      <c r="E44" s="83">
        <v>1</v>
      </c>
      <c r="F44" s="82">
        <f t="shared" si="6"/>
        <v>1</v>
      </c>
      <c r="G44" s="82">
        <f t="shared" si="1"/>
        <v>0</v>
      </c>
    </row>
    <row r="45" spans="1:7" ht="15.75" customHeight="1">
      <c r="A45" s="82">
        <f t="shared" si="2"/>
        <v>40</v>
      </c>
      <c r="B45" s="80" t="s">
        <v>2228</v>
      </c>
      <c r="C45" s="81" t="s">
        <v>2229</v>
      </c>
      <c r="D45" s="82" t="s">
        <v>1705</v>
      </c>
      <c r="E45" s="83">
        <v>1</v>
      </c>
      <c r="F45" s="82">
        <f t="shared" si="6"/>
        <v>1</v>
      </c>
      <c r="G45" s="82">
        <f t="shared" si="1"/>
        <v>0</v>
      </c>
    </row>
    <row r="46" spans="1:7" ht="15.75" customHeight="1">
      <c r="A46" s="82">
        <f t="shared" si="2"/>
        <v>41</v>
      </c>
      <c r="B46" s="84" t="s">
        <v>2230</v>
      </c>
      <c r="C46" s="81"/>
      <c r="D46" s="82" t="s">
        <v>1153</v>
      </c>
      <c r="E46" s="83">
        <v>0</v>
      </c>
      <c r="F46" s="82">
        <f t="shared" si="6"/>
        <v>0</v>
      </c>
      <c r="G46" s="82">
        <f t="shared" si="1"/>
        <v>0</v>
      </c>
    </row>
    <row r="47" spans="1:7" ht="15.75" customHeight="1">
      <c r="A47" s="82">
        <f t="shared" si="2"/>
        <v>42</v>
      </c>
      <c r="B47" s="84" t="s">
        <v>2231</v>
      </c>
      <c r="C47" s="81" t="s">
        <v>592</v>
      </c>
      <c r="D47" s="82" t="s">
        <v>1597</v>
      </c>
      <c r="E47" s="88">
        <v>1</v>
      </c>
      <c r="F47" s="82">
        <f t="shared" si="6"/>
        <v>1</v>
      </c>
      <c r="G47" s="82">
        <f t="shared" si="1"/>
        <v>0</v>
      </c>
    </row>
    <row r="48" spans="1:7" ht="15.75" customHeight="1">
      <c r="A48" s="82">
        <f t="shared" si="2"/>
        <v>43</v>
      </c>
      <c r="B48" s="84" t="s">
        <v>2231</v>
      </c>
      <c r="C48" s="89" t="s">
        <v>613</v>
      </c>
      <c r="D48" s="82" t="s">
        <v>1597</v>
      </c>
      <c r="E48" s="88">
        <v>1</v>
      </c>
      <c r="F48" s="82">
        <f t="shared" si="6"/>
        <v>1</v>
      </c>
      <c r="G48" s="82">
        <f t="shared" si="1"/>
        <v>0</v>
      </c>
    </row>
    <row r="49" spans="1:7" ht="15.75" customHeight="1">
      <c r="A49" s="82">
        <f t="shared" si="2"/>
        <v>44</v>
      </c>
      <c r="B49" s="84" t="s">
        <v>2232</v>
      </c>
      <c r="C49" s="81" t="s">
        <v>616</v>
      </c>
      <c r="D49" s="82" t="s">
        <v>1153</v>
      </c>
      <c r="E49" s="83">
        <v>1</v>
      </c>
      <c r="F49" s="82">
        <f t="shared" si="6"/>
        <v>1</v>
      </c>
      <c r="G49" s="82">
        <f t="shared" si="1"/>
        <v>0</v>
      </c>
    </row>
    <row r="50" spans="1:7" ht="15.75" customHeight="1">
      <c r="A50" s="82">
        <f t="shared" si="2"/>
        <v>45</v>
      </c>
      <c r="B50" s="84" t="s">
        <v>2233</v>
      </c>
      <c r="C50" s="85"/>
      <c r="D50" s="82" t="s">
        <v>1597</v>
      </c>
      <c r="E50" s="94">
        <v>1</v>
      </c>
      <c r="F50" s="82">
        <f t="shared" si="6"/>
        <v>0</v>
      </c>
      <c r="G50" s="82">
        <f t="shared" si="1"/>
        <v>1</v>
      </c>
    </row>
    <row r="51" spans="1:7" ht="15.75" customHeight="1">
      <c r="A51" s="82">
        <f t="shared" si="2"/>
        <v>46</v>
      </c>
      <c r="B51" s="80" t="s">
        <v>2234</v>
      </c>
      <c r="C51" s="81" t="s">
        <v>581</v>
      </c>
      <c r="D51" s="82" t="s">
        <v>1705</v>
      </c>
      <c r="E51" s="83">
        <v>1</v>
      </c>
      <c r="F51" s="82">
        <f t="shared" si="6"/>
        <v>1</v>
      </c>
      <c r="G51" s="82">
        <f t="shared" si="1"/>
        <v>0</v>
      </c>
    </row>
    <row r="52" spans="1:7" ht="15.75" customHeight="1">
      <c r="A52" s="82">
        <f t="shared" si="2"/>
        <v>47</v>
      </c>
      <c r="B52" s="84" t="s">
        <v>2235</v>
      </c>
      <c r="C52" s="81"/>
      <c r="D52" s="82" t="s">
        <v>1153</v>
      </c>
      <c r="E52" s="83">
        <v>1</v>
      </c>
      <c r="F52" s="82">
        <f t="shared" si="6"/>
        <v>0</v>
      </c>
      <c r="G52" s="82">
        <f t="shared" si="1"/>
        <v>1</v>
      </c>
    </row>
    <row r="53" spans="1:7" ht="15.75" customHeight="1">
      <c r="A53" s="82">
        <f t="shared" si="2"/>
        <v>48</v>
      </c>
      <c r="B53" s="84" t="s">
        <v>2236</v>
      </c>
      <c r="C53" s="81"/>
      <c r="D53" s="82" t="s">
        <v>1597</v>
      </c>
      <c r="E53" s="83">
        <v>0</v>
      </c>
      <c r="F53" s="82">
        <f t="shared" si="6"/>
        <v>0</v>
      </c>
      <c r="G53" s="82">
        <f t="shared" si="1"/>
        <v>0</v>
      </c>
    </row>
    <row r="54" spans="1:7" ht="15.75" customHeight="1">
      <c r="A54" s="82">
        <f t="shared" si="2"/>
        <v>49</v>
      </c>
      <c r="B54" s="84" t="s">
        <v>2237</v>
      </c>
      <c r="C54" s="81" t="s">
        <v>585</v>
      </c>
      <c r="D54" s="82" t="s">
        <v>1153</v>
      </c>
      <c r="E54" s="83">
        <v>1</v>
      </c>
      <c r="F54" s="82">
        <f t="shared" si="6"/>
        <v>1</v>
      </c>
      <c r="G54" s="82">
        <f t="shared" si="1"/>
        <v>0</v>
      </c>
    </row>
    <row r="55" spans="1:7" ht="15.75" customHeight="1">
      <c r="A55" s="82">
        <f t="shared" si="2"/>
        <v>50</v>
      </c>
      <c r="B55" s="84" t="s">
        <v>2238</v>
      </c>
      <c r="C55" s="81" t="s">
        <v>643</v>
      </c>
      <c r="D55" s="82" t="s">
        <v>1597</v>
      </c>
      <c r="E55" s="83">
        <v>1</v>
      </c>
      <c r="F55" s="82">
        <f t="shared" si="6"/>
        <v>1</v>
      </c>
      <c r="G55" s="82">
        <f t="shared" si="1"/>
        <v>0</v>
      </c>
    </row>
    <row r="56" spans="1:7" ht="15.75" customHeight="1">
      <c r="A56" s="82">
        <f t="shared" si="2"/>
        <v>51</v>
      </c>
      <c r="B56" s="80" t="s">
        <v>2239</v>
      </c>
      <c r="C56" s="81" t="s">
        <v>2240</v>
      </c>
      <c r="D56" s="82" t="s">
        <v>1705</v>
      </c>
      <c r="E56" s="83">
        <v>1</v>
      </c>
      <c r="F56" s="82">
        <f t="shared" si="6"/>
        <v>1</v>
      </c>
      <c r="G56" s="82">
        <f t="shared" si="1"/>
        <v>0</v>
      </c>
    </row>
    <row r="57" spans="1:7" ht="15.75" customHeight="1">
      <c r="A57" s="82">
        <f t="shared" si="2"/>
        <v>52</v>
      </c>
      <c r="B57" s="84" t="s">
        <v>2241</v>
      </c>
      <c r="C57" s="81" t="s">
        <v>2242</v>
      </c>
      <c r="D57" s="82" t="s">
        <v>1153</v>
      </c>
      <c r="E57" s="95">
        <v>1</v>
      </c>
      <c r="F57" s="82">
        <f t="shared" si="6"/>
        <v>1</v>
      </c>
      <c r="G57" s="82">
        <f t="shared" si="1"/>
        <v>0</v>
      </c>
    </row>
    <row r="58" spans="1:7" ht="15.75" customHeight="1">
      <c r="A58" s="82">
        <f t="shared" si="2"/>
        <v>53</v>
      </c>
      <c r="B58" s="84" t="s">
        <v>2243</v>
      </c>
      <c r="C58" s="74" t="s">
        <v>711</v>
      </c>
      <c r="D58" s="82" t="s">
        <v>1597</v>
      </c>
      <c r="E58" s="96">
        <v>1</v>
      </c>
      <c r="F58" s="82">
        <f t="shared" si="6"/>
        <v>1</v>
      </c>
      <c r="G58" s="82">
        <f t="shared" si="1"/>
        <v>0</v>
      </c>
    </row>
    <row r="59" spans="1:7" ht="15.75" customHeight="1">
      <c r="A59" s="82">
        <f t="shared" si="2"/>
        <v>54</v>
      </c>
      <c r="B59" s="84" t="s">
        <v>2244</v>
      </c>
      <c r="C59" s="81" t="s">
        <v>619</v>
      </c>
      <c r="D59" s="82" t="s">
        <v>1153</v>
      </c>
      <c r="E59" s="96">
        <v>1</v>
      </c>
      <c r="F59" s="82">
        <f t="shared" si="6"/>
        <v>1</v>
      </c>
      <c r="G59" s="82">
        <f t="shared" si="1"/>
        <v>0</v>
      </c>
    </row>
    <row r="60" spans="1:7" ht="15.75" customHeight="1">
      <c r="A60" s="82">
        <f t="shared" si="2"/>
        <v>55</v>
      </c>
      <c r="B60" s="84" t="s">
        <v>2245</v>
      </c>
      <c r="C60" s="81"/>
      <c r="D60" s="82" t="s">
        <v>1597</v>
      </c>
      <c r="E60" s="96">
        <v>1</v>
      </c>
      <c r="F60" s="82">
        <f t="shared" si="6"/>
        <v>0</v>
      </c>
      <c r="G60" s="82">
        <f t="shared" si="1"/>
        <v>1</v>
      </c>
    </row>
    <row r="61" spans="1:7" ht="15.75" customHeight="1">
      <c r="A61" s="82">
        <f t="shared" si="2"/>
        <v>56</v>
      </c>
      <c r="B61" s="84" t="s">
        <v>2246</v>
      </c>
      <c r="C61" s="81"/>
      <c r="D61" s="82" t="s">
        <v>1597</v>
      </c>
      <c r="E61" s="83">
        <v>1</v>
      </c>
      <c r="F61" s="82">
        <f t="shared" si="6"/>
        <v>0</v>
      </c>
      <c r="G61" s="82">
        <f t="shared" si="1"/>
        <v>1</v>
      </c>
    </row>
    <row r="62" spans="1:7" ht="15.75" customHeight="1">
      <c r="A62" s="82">
        <f t="shared" si="2"/>
        <v>57</v>
      </c>
      <c r="B62" s="80" t="s">
        <v>2247</v>
      </c>
      <c r="C62" s="81" t="s">
        <v>572</v>
      </c>
      <c r="D62" s="82" t="s">
        <v>1705</v>
      </c>
      <c r="E62" s="92">
        <v>1</v>
      </c>
      <c r="F62" s="82">
        <f t="shared" si="6"/>
        <v>1</v>
      </c>
      <c r="G62" s="82">
        <f t="shared" si="1"/>
        <v>0</v>
      </c>
    </row>
    <row r="63" spans="1:7" ht="15.75" customHeight="1">
      <c r="A63" s="82">
        <f t="shared" si="2"/>
        <v>58</v>
      </c>
      <c r="B63" s="84" t="s">
        <v>2248</v>
      </c>
      <c r="C63" s="85" t="s">
        <v>630</v>
      </c>
      <c r="D63" s="82" t="s">
        <v>1153</v>
      </c>
      <c r="E63" s="88">
        <v>1</v>
      </c>
      <c r="F63" s="82">
        <f t="shared" si="6"/>
        <v>1</v>
      </c>
      <c r="G63" s="82">
        <f t="shared" si="1"/>
        <v>0</v>
      </c>
    </row>
    <row r="64" spans="1:7" ht="15.75" customHeight="1">
      <c r="A64" s="82">
        <f t="shared" si="2"/>
        <v>59</v>
      </c>
      <c r="B64" s="84" t="s">
        <v>2249</v>
      </c>
      <c r="C64" s="74" t="s">
        <v>715</v>
      </c>
      <c r="D64" s="82" t="s">
        <v>1597</v>
      </c>
      <c r="E64" s="88">
        <v>1</v>
      </c>
      <c r="F64" s="82">
        <f t="shared" si="6"/>
        <v>1</v>
      </c>
      <c r="G64" s="82">
        <f t="shared" si="1"/>
        <v>0</v>
      </c>
    </row>
    <row r="65" spans="1:7" ht="15.75" customHeight="1">
      <c r="A65" s="82">
        <f t="shared" si="2"/>
        <v>60</v>
      </c>
      <c r="B65" s="84" t="s">
        <v>2250</v>
      </c>
      <c r="C65" s="85"/>
      <c r="D65" s="82" t="s">
        <v>1153</v>
      </c>
      <c r="E65" s="92">
        <v>0</v>
      </c>
      <c r="F65" s="82">
        <f t="shared" si="6"/>
        <v>0</v>
      </c>
      <c r="G65" s="82">
        <f t="shared" si="1"/>
        <v>0</v>
      </c>
    </row>
    <row r="66" spans="1:7" ht="15.75" customHeight="1">
      <c r="A66" s="82">
        <f t="shared" si="2"/>
        <v>61</v>
      </c>
      <c r="B66" s="84" t="s">
        <v>2251</v>
      </c>
      <c r="C66" s="81" t="s">
        <v>627</v>
      </c>
      <c r="D66" s="82" t="s">
        <v>1597</v>
      </c>
      <c r="E66" s="92">
        <v>1</v>
      </c>
      <c r="F66" s="82">
        <f t="shared" si="6"/>
        <v>1</v>
      </c>
      <c r="G66" s="82">
        <f t="shared" si="1"/>
        <v>0</v>
      </c>
    </row>
    <row r="67" spans="1:7" ht="15.75" customHeight="1">
      <c r="A67" s="82">
        <f t="shared" si="2"/>
        <v>62</v>
      </c>
      <c r="B67" s="84" t="s">
        <v>2251</v>
      </c>
      <c r="C67" s="85" t="s">
        <v>641</v>
      </c>
      <c r="D67" s="82" t="s">
        <v>1597</v>
      </c>
      <c r="E67" s="92">
        <v>1</v>
      </c>
      <c r="F67" s="82">
        <f t="shared" si="6"/>
        <v>1</v>
      </c>
      <c r="G67" s="82">
        <f t="shared" si="1"/>
        <v>0</v>
      </c>
    </row>
    <row r="68" spans="1:7" ht="15.75" customHeight="1">
      <c r="A68" s="82">
        <f t="shared" si="2"/>
        <v>63</v>
      </c>
      <c r="B68" s="80" t="s">
        <v>2252</v>
      </c>
      <c r="C68" s="81" t="s">
        <v>2253</v>
      </c>
      <c r="D68" s="82" t="s">
        <v>2202</v>
      </c>
      <c r="E68" s="83">
        <v>1</v>
      </c>
      <c r="F68" s="82">
        <f t="shared" si="6"/>
        <v>1</v>
      </c>
      <c r="G68" s="82">
        <f t="shared" si="1"/>
        <v>0</v>
      </c>
    </row>
    <row r="69" spans="1:7" ht="15.75" customHeight="1">
      <c r="A69" s="82">
        <f t="shared" si="2"/>
        <v>64</v>
      </c>
      <c r="B69" s="80" t="s">
        <v>2254</v>
      </c>
      <c r="C69" s="81" t="s">
        <v>402</v>
      </c>
      <c r="D69" s="82" t="s">
        <v>1705</v>
      </c>
      <c r="E69" s="83">
        <v>1</v>
      </c>
      <c r="F69" s="82">
        <f t="shared" si="6"/>
        <v>1</v>
      </c>
      <c r="G69" s="82">
        <f t="shared" si="1"/>
        <v>0</v>
      </c>
    </row>
    <row r="70" spans="1:7" ht="15.75" customHeight="1">
      <c r="A70" s="82">
        <f t="shared" si="2"/>
        <v>65</v>
      </c>
      <c r="B70" s="84" t="s">
        <v>2255</v>
      </c>
      <c r="C70" s="89" t="s">
        <v>2256</v>
      </c>
      <c r="D70" s="82" t="s">
        <v>1153</v>
      </c>
      <c r="E70" s="83">
        <v>1</v>
      </c>
      <c r="F70" s="82">
        <f t="shared" ref="F70:F93" si="7">IF(COUNTIF($C$6:$C$1001, C70)&gt;0, IF(E70&gt;1,2,1), 0)</f>
        <v>1</v>
      </c>
      <c r="G70" s="82">
        <f t="shared" si="1"/>
        <v>0</v>
      </c>
    </row>
    <row r="71" spans="1:7" ht="15.75" customHeight="1">
      <c r="A71" s="82">
        <f t="shared" si="2"/>
        <v>66</v>
      </c>
      <c r="B71" s="84" t="s">
        <v>2257</v>
      </c>
      <c r="C71" s="81"/>
      <c r="D71" s="82" t="s">
        <v>1597</v>
      </c>
      <c r="E71" s="83">
        <v>1</v>
      </c>
      <c r="F71" s="82">
        <f t="shared" si="7"/>
        <v>0</v>
      </c>
      <c r="G71" s="82">
        <f t="shared" ref="G71:G134" si="8">E71-F71</f>
        <v>1</v>
      </c>
    </row>
    <row r="72" spans="1:7" ht="15.75" customHeight="1">
      <c r="A72" s="82">
        <f t="shared" ref="A72:A135" si="9">A71+1</f>
        <v>67</v>
      </c>
      <c r="B72" s="97" t="s">
        <v>2258</v>
      </c>
      <c r="C72" s="85" t="s">
        <v>673</v>
      </c>
      <c r="D72" s="82" t="s">
        <v>1153</v>
      </c>
      <c r="E72" s="98">
        <v>1</v>
      </c>
      <c r="F72" s="82">
        <f t="shared" si="7"/>
        <v>1</v>
      </c>
      <c r="G72" s="82">
        <f t="shared" si="8"/>
        <v>0</v>
      </c>
    </row>
    <row r="73" spans="1:7" ht="15.75" customHeight="1">
      <c r="A73" s="82">
        <f t="shared" si="9"/>
        <v>68</v>
      </c>
      <c r="B73" s="84" t="s">
        <v>2259</v>
      </c>
      <c r="C73" s="81" t="s">
        <v>645</v>
      </c>
      <c r="D73" s="82" t="s">
        <v>1597</v>
      </c>
      <c r="E73" s="88">
        <v>1</v>
      </c>
      <c r="F73" s="82">
        <f t="shared" si="7"/>
        <v>1</v>
      </c>
      <c r="G73" s="82">
        <f t="shared" si="8"/>
        <v>0</v>
      </c>
    </row>
    <row r="74" spans="1:7" ht="15.75" customHeight="1">
      <c r="A74" s="82">
        <f t="shared" si="9"/>
        <v>69</v>
      </c>
      <c r="B74" s="84" t="s">
        <v>2259</v>
      </c>
      <c r="C74" s="85" t="s">
        <v>687</v>
      </c>
      <c r="D74" s="82" t="s">
        <v>1597</v>
      </c>
      <c r="E74" s="88">
        <v>1</v>
      </c>
      <c r="F74" s="82">
        <f t="shared" si="7"/>
        <v>1</v>
      </c>
      <c r="G74" s="82">
        <f t="shared" si="8"/>
        <v>0</v>
      </c>
    </row>
    <row r="75" spans="1:7" ht="15.75" customHeight="1">
      <c r="A75" s="82">
        <f t="shared" si="9"/>
        <v>70</v>
      </c>
      <c r="B75" s="89" t="s">
        <v>2259</v>
      </c>
      <c r="C75" s="99"/>
      <c r="D75" s="82" t="s">
        <v>1597</v>
      </c>
      <c r="E75" s="88">
        <v>1</v>
      </c>
      <c r="F75" s="82">
        <f t="shared" si="7"/>
        <v>0</v>
      </c>
      <c r="G75" s="82">
        <f t="shared" si="8"/>
        <v>1</v>
      </c>
    </row>
    <row r="76" spans="1:7" ht="15.75" customHeight="1">
      <c r="A76" s="82">
        <f t="shared" si="9"/>
        <v>71</v>
      </c>
      <c r="B76" s="80" t="s">
        <v>2260</v>
      </c>
      <c r="C76" s="81" t="s">
        <v>2261</v>
      </c>
      <c r="D76" s="82" t="s">
        <v>1705</v>
      </c>
      <c r="E76" s="83">
        <v>1</v>
      </c>
      <c r="F76" s="82">
        <f t="shared" si="7"/>
        <v>1</v>
      </c>
      <c r="G76" s="82">
        <f t="shared" si="8"/>
        <v>0</v>
      </c>
    </row>
    <row r="77" spans="1:7" ht="15.75" customHeight="1">
      <c r="A77" s="82">
        <f t="shared" si="9"/>
        <v>72</v>
      </c>
      <c r="B77" s="84" t="s">
        <v>2262</v>
      </c>
      <c r="C77" s="81" t="s">
        <v>2263</v>
      </c>
      <c r="D77" s="82" t="s">
        <v>1153</v>
      </c>
      <c r="E77" s="95">
        <v>1</v>
      </c>
      <c r="F77" s="82">
        <f t="shared" si="7"/>
        <v>1</v>
      </c>
      <c r="G77" s="82">
        <f t="shared" si="8"/>
        <v>0</v>
      </c>
    </row>
    <row r="78" spans="1:7" ht="15.75" customHeight="1">
      <c r="A78" s="82">
        <f t="shared" si="9"/>
        <v>73</v>
      </c>
      <c r="B78" s="84" t="s">
        <v>2264</v>
      </c>
      <c r="C78" s="81" t="s">
        <v>623</v>
      </c>
      <c r="D78" s="82" t="s">
        <v>1597</v>
      </c>
      <c r="E78" s="88">
        <v>1</v>
      </c>
      <c r="F78" s="82">
        <f t="shared" si="7"/>
        <v>1</v>
      </c>
      <c r="G78" s="82">
        <f t="shared" si="8"/>
        <v>0</v>
      </c>
    </row>
    <row r="79" spans="1:7" ht="15.75" customHeight="1">
      <c r="A79" s="82">
        <f t="shared" si="9"/>
        <v>74</v>
      </c>
      <c r="B79" s="89" t="s">
        <v>2264</v>
      </c>
      <c r="C79" s="85" t="s">
        <v>664</v>
      </c>
      <c r="D79" s="82" t="s">
        <v>1597</v>
      </c>
      <c r="E79" s="88">
        <v>1</v>
      </c>
      <c r="F79" s="82">
        <f t="shared" si="7"/>
        <v>1</v>
      </c>
      <c r="G79" s="82">
        <f t="shared" si="8"/>
        <v>0</v>
      </c>
    </row>
    <row r="80" spans="1:7" ht="15.75" customHeight="1">
      <c r="A80" s="82">
        <f t="shared" si="9"/>
        <v>75</v>
      </c>
      <c r="B80" s="84" t="s">
        <v>2265</v>
      </c>
      <c r="C80" s="85" t="s">
        <v>577</v>
      </c>
      <c r="D80" s="82" t="s">
        <v>1153</v>
      </c>
      <c r="E80" s="83">
        <v>1</v>
      </c>
      <c r="F80" s="82">
        <f t="shared" si="7"/>
        <v>1</v>
      </c>
      <c r="G80" s="82">
        <f t="shared" si="8"/>
        <v>0</v>
      </c>
    </row>
    <row r="81" spans="1:7" ht="15.75" customHeight="1">
      <c r="A81" s="82">
        <f t="shared" si="9"/>
        <v>76</v>
      </c>
      <c r="B81" s="84" t="s">
        <v>2266</v>
      </c>
      <c r="C81" s="85" t="s">
        <v>633</v>
      </c>
      <c r="D81" s="82" t="s">
        <v>1597</v>
      </c>
      <c r="E81" s="92">
        <v>1</v>
      </c>
      <c r="F81" s="82">
        <f t="shared" si="7"/>
        <v>1</v>
      </c>
      <c r="G81" s="82">
        <f t="shared" si="8"/>
        <v>0</v>
      </c>
    </row>
    <row r="82" spans="1:7" ht="15.75" customHeight="1">
      <c r="A82" s="82">
        <f t="shared" si="9"/>
        <v>77</v>
      </c>
      <c r="B82" s="84" t="s">
        <v>2267</v>
      </c>
      <c r="C82" s="85"/>
      <c r="D82" s="82" t="s">
        <v>1597</v>
      </c>
      <c r="E82" s="92">
        <v>1</v>
      </c>
      <c r="F82" s="82">
        <f t="shared" si="7"/>
        <v>0</v>
      </c>
      <c r="G82" s="82">
        <f t="shared" si="8"/>
        <v>1</v>
      </c>
    </row>
    <row r="83" spans="1:7" ht="15.75" customHeight="1">
      <c r="A83" s="82">
        <f t="shared" si="9"/>
        <v>78</v>
      </c>
      <c r="B83" s="84" t="s">
        <v>2268</v>
      </c>
      <c r="C83" s="81"/>
      <c r="D83" s="82" t="s">
        <v>1153</v>
      </c>
      <c r="E83" s="83">
        <v>0</v>
      </c>
      <c r="F83" s="82">
        <f t="shared" si="7"/>
        <v>0</v>
      </c>
      <c r="G83" s="82">
        <f t="shared" si="8"/>
        <v>0</v>
      </c>
    </row>
    <row r="84" spans="1:7" ht="15.75" customHeight="1">
      <c r="A84" s="82">
        <f t="shared" si="9"/>
        <v>79</v>
      </c>
      <c r="B84" s="84" t="s">
        <v>2269</v>
      </c>
      <c r="C84" s="81"/>
      <c r="D84" s="82" t="s">
        <v>1597</v>
      </c>
      <c r="E84" s="83">
        <v>1</v>
      </c>
      <c r="F84" s="82">
        <f t="shared" si="7"/>
        <v>0</v>
      </c>
      <c r="G84" s="82">
        <f t="shared" si="8"/>
        <v>1</v>
      </c>
    </row>
    <row r="85" spans="1:7" ht="15.75" customHeight="1">
      <c r="A85" s="82">
        <f t="shared" si="9"/>
        <v>80</v>
      </c>
      <c r="B85" s="84" t="s">
        <v>2270</v>
      </c>
      <c r="C85" s="81"/>
      <c r="D85" s="82" t="s">
        <v>1597</v>
      </c>
      <c r="E85" s="83">
        <v>1</v>
      </c>
      <c r="F85" s="82">
        <f t="shared" si="7"/>
        <v>0</v>
      </c>
      <c r="G85" s="82">
        <f t="shared" si="8"/>
        <v>1</v>
      </c>
    </row>
    <row r="86" spans="1:7" ht="15.75" customHeight="1">
      <c r="A86" s="82">
        <f t="shared" si="9"/>
        <v>81</v>
      </c>
      <c r="B86" s="84" t="s">
        <v>2271</v>
      </c>
      <c r="C86" s="81"/>
      <c r="D86" s="82" t="s">
        <v>1597</v>
      </c>
      <c r="E86" s="83">
        <v>1</v>
      </c>
      <c r="F86" s="82">
        <f t="shared" si="7"/>
        <v>0</v>
      </c>
      <c r="G86" s="82">
        <f t="shared" si="8"/>
        <v>1</v>
      </c>
    </row>
    <row r="87" spans="1:7" ht="15.75" customHeight="1">
      <c r="A87" s="82">
        <f t="shared" si="9"/>
        <v>82</v>
      </c>
      <c r="B87" s="84" t="s">
        <v>2272</v>
      </c>
      <c r="C87" s="81"/>
      <c r="D87" s="82" t="s">
        <v>1597</v>
      </c>
      <c r="E87" s="95">
        <v>1</v>
      </c>
      <c r="F87" s="82">
        <f t="shared" si="7"/>
        <v>0</v>
      </c>
      <c r="G87" s="82">
        <f t="shared" si="8"/>
        <v>1</v>
      </c>
    </row>
    <row r="88" spans="1:7" ht="15.75" customHeight="1">
      <c r="A88" s="82">
        <f t="shared" si="9"/>
        <v>83</v>
      </c>
      <c r="B88" s="84" t="s">
        <v>2273</v>
      </c>
      <c r="C88" s="81"/>
      <c r="D88" s="82" t="s">
        <v>1597</v>
      </c>
      <c r="E88" s="83">
        <v>1</v>
      </c>
      <c r="F88" s="82">
        <f t="shared" si="7"/>
        <v>0</v>
      </c>
      <c r="G88" s="82">
        <f t="shared" si="8"/>
        <v>1</v>
      </c>
    </row>
    <row r="89" spans="1:7" ht="15.75" customHeight="1">
      <c r="A89" s="82">
        <f t="shared" si="9"/>
        <v>84</v>
      </c>
      <c r="B89" s="84" t="s">
        <v>2274</v>
      </c>
      <c r="C89" s="81"/>
      <c r="D89" s="82" t="s">
        <v>1597</v>
      </c>
      <c r="E89" s="95">
        <v>1</v>
      </c>
      <c r="F89" s="82">
        <f t="shared" si="7"/>
        <v>0</v>
      </c>
      <c r="G89" s="82">
        <f t="shared" si="8"/>
        <v>1</v>
      </c>
    </row>
    <row r="90" spans="1:7" ht="15.75" customHeight="1">
      <c r="A90" s="82">
        <f t="shared" si="9"/>
        <v>85</v>
      </c>
      <c r="B90" s="84" t="s">
        <v>2275</v>
      </c>
      <c r="C90" s="81"/>
      <c r="D90" s="82" t="s">
        <v>1597</v>
      </c>
      <c r="E90" s="95">
        <v>1</v>
      </c>
      <c r="F90" s="82">
        <f t="shared" si="7"/>
        <v>0</v>
      </c>
      <c r="G90" s="82">
        <f t="shared" si="8"/>
        <v>1</v>
      </c>
    </row>
    <row r="91" spans="1:7" ht="15.75" customHeight="1">
      <c r="A91" s="82">
        <f t="shared" si="9"/>
        <v>86</v>
      </c>
      <c r="B91" s="97" t="s">
        <v>2276</v>
      </c>
      <c r="C91" s="81"/>
      <c r="D91" s="100" t="s">
        <v>1597</v>
      </c>
      <c r="E91" s="95">
        <v>1</v>
      </c>
      <c r="F91" s="82">
        <f t="shared" si="7"/>
        <v>0</v>
      </c>
      <c r="G91" s="82">
        <f t="shared" si="8"/>
        <v>1</v>
      </c>
    </row>
    <row r="92" spans="1:7" ht="15.75" customHeight="1">
      <c r="A92" s="82">
        <f t="shared" si="9"/>
        <v>87</v>
      </c>
      <c r="B92" s="84" t="s">
        <v>2277</v>
      </c>
      <c r="C92" s="81"/>
      <c r="D92" s="82" t="s">
        <v>1597</v>
      </c>
      <c r="E92" s="95">
        <v>1</v>
      </c>
      <c r="F92" s="82">
        <f t="shared" si="7"/>
        <v>0</v>
      </c>
      <c r="G92" s="82">
        <f t="shared" si="8"/>
        <v>1</v>
      </c>
    </row>
    <row r="93" spans="1:7" ht="15.75" customHeight="1">
      <c r="A93" s="82">
        <f t="shared" si="9"/>
        <v>88</v>
      </c>
      <c r="B93" s="84" t="s">
        <v>2278</v>
      </c>
      <c r="C93" s="81"/>
      <c r="D93" s="82" t="s">
        <v>1597</v>
      </c>
      <c r="E93" s="95">
        <v>1</v>
      </c>
      <c r="F93" s="82">
        <f t="shared" si="7"/>
        <v>0</v>
      </c>
      <c r="G93" s="82">
        <f t="shared" si="8"/>
        <v>1</v>
      </c>
    </row>
    <row r="94" spans="1:7" ht="15.75" customHeight="1">
      <c r="A94" s="82">
        <f t="shared" si="9"/>
        <v>89</v>
      </c>
      <c r="B94" s="84" t="s">
        <v>2279</v>
      </c>
      <c r="C94" s="81" t="s">
        <v>676</v>
      </c>
      <c r="D94" s="82" t="s">
        <v>1597</v>
      </c>
      <c r="E94" s="95">
        <v>1</v>
      </c>
      <c r="F94" s="82">
        <f>IF( COUNTIF($C$6:$C$1001,#REF!)&gt;0, IF(E94&gt;1,2,1), 0)</f>
        <v>0</v>
      </c>
      <c r="G94" s="82">
        <f t="shared" si="8"/>
        <v>1</v>
      </c>
    </row>
    <row r="95" spans="1:7" ht="15.75" customHeight="1">
      <c r="A95" s="82">
        <f t="shared" si="9"/>
        <v>90</v>
      </c>
      <c r="B95" s="80" t="s">
        <v>2280</v>
      </c>
      <c r="C95" s="81" t="s">
        <v>2281</v>
      </c>
      <c r="D95" s="82" t="s">
        <v>842</v>
      </c>
      <c r="E95" s="83">
        <v>1</v>
      </c>
      <c r="F95" s="82">
        <v>0</v>
      </c>
      <c r="G95" s="82">
        <f t="shared" si="8"/>
        <v>1</v>
      </c>
    </row>
    <row r="96" spans="1:7" ht="15.75" customHeight="1">
      <c r="A96" s="82">
        <f t="shared" si="9"/>
        <v>91</v>
      </c>
      <c r="B96" s="80" t="s">
        <v>2282</v>
      </c>
      <c r="C96" s="81"/>
      <c r="D96" s="82" t="s">
        <v>842</v>
      </c>
      <c r="E96" s="88">
        <v>1</v>
      </c>
      <c r="F96" s="82">
        <f>IF(COUNTIF($C$6:$C$1001, C96)&gt;0, IF(E96&gt;1,2,1), 0)</f>
        <v>0</v>
      </c>
      <c r="G96" s="82">
        <f t="shared" si="8"/>
        <v>1</v>
      </c>
    </row>
    <row r="97" spans="1:7" ht="15.75" customHeight="1">
      <c r="A97" s="82">
        <f t="shared" si="9"/>
        <v>92</v>
      </c>
      <c r="B97" s="101" t="s">
        <v>2283</v>
      </c>
      <c r="C97" s="81" t="s">
        <v>2284</v>
      </c>
      <c r="D97" s="82" t="s">
        <v>842</v>
      </c>
      <c r="E97" s="93">
        <v>1</v>
      </c>
      <c r="F97" s="82">
        <f>IF(COUNTIF($C$6:$C$1001, C37)&gt;0, IF(E97&gt;1,2,1), 0)</f>
        <v>1</v>
      </c>
      <c r="G97" s="82">
        <f t="shared" si="8"/>
        <v>0</v>
      </c>
    </row>
    <row r="98" spans="1:7" ht="15.75" customHeight="1">
      <c r="A98" s="82">
        <f t="shared" si="9"/>
        <v>93</v>
      </c>
      <c r="B98" s="80" t="s">
        <v>2285</v>
      </c>
      <c r="C98" s="81" t="s">
        <v>2286</v>
      </c>
      <c r="D98" s="82" t="s">
        <v>841</v>
      </c>
      <c r="E98" s="83">
        <v>1</v>
      </c>
      <c r="F98" s="82">
        <f t="shared" ref="F98:F129" si="10">IF(COUNTIF($C$6:$C$1001, C98)&gt;0, IF(E98&gt;1,2,1), 0)</f>
        <v>1</v>
      </c>
      <c r="G98" s="82">
        <f t="shared" si="8"/>
        <v>0</v>
      </c>
    </row>
    <row r="99" spans="1:7" ht="15.75" customHeight="1">
      <c r="A99" s="82">
        <f t="shared" si="9"/>
        <v>94</v>
      </c>
      <c r="B99" s="80" t="s">
        <v>2287</v>
      </c>
      <c r="C99" s="81" t="s">
        <v>2288</v>
      </c>
      <c r="D99" s="82" t="s">
        <v>841</v>
      </c>
      <c r="E99" s="83">
        <v>1</v>
      </c>
      <c r="F99" s="82">
        <f t="shared" si="10"/>
        <v>1</v>
      </c>
      <c r="G99" s="82">
        <f t="shared" si="8"/>
        <v>0</v>
      </c>
    </row>
    <row r="100" spans="1:7" ht="15.75" customHeight="1">
      <c r="A100" s="82">
        <f t="shared" si="9"/>
        <v>95</v>
      </c>
      <c r="B100" s="80" t="s">
        <v>2289</v>
      </c>
      <c r="C100" s="91" t="s">
        <v>2290</v>
      </c>
      <c r="D100" s="82" t="s">
        <v>841</v>
      </c>
      <c r="E100" s="83">
        <v>1</v>
      </c>
      <c r="F100" s="82">
        <f t="shared" si="10"/>
        <v>1</v>
      </c>
      <c r="G100" s="82">
        <f t="shared" si="8"/>
        <v>0</v>
      </c>
    </row>
    <row r="101" spans="1:7" ht="15.75" customHeight="1">
      <c r="A101" s="82">
        <f t="shared" si="9"/>
        <v>96</v>
      </c>
      <c r="B101" s="80" t="s">
        <v>2291</v>
      </c>
      <c r="C101" s="81" t="s">
        <v>2292</v>
      </c>
      <c r="D101" s="82" t="s">
        <v>2293</v>
      </c>
      <c r="E101" s="83">
        <v>1</v>
      </c>
      <c r="F101" s="82">
        <f t="shared" si="10"/>
        <v>1</v>
      </c>
      <c r="G101" s="82">
        <f t="shared" si="8"/>
        <v>0</v>
      </c>
    </row>
    <row r="102" spans="1:7" ht="15.75" customHeight="1">
      <c r="A102" s="82">
        <f t="shared" si="9"/>
        <v>97</v>
      </c>
      <c r="B102" s="84" t="s">
        <v>2294</v>
      </c>
      <c r="C102" s="81"/>
      <c r="D102" s="82" t="s">
        <v>2295</v>
      </c>
      <c r="E102" s="83">
        <v>0</v>
      </c>
      <c r="F102" s="82">
        <f t="shared" si="10"/>
        <v>0</v>
      </c>
      <c r="G102" s="82">
        <f t="shared" si="8"/>
        <v>0</v>
      </c>
    </row>
    <row r="103" spans="1:7" ht="15.75" customHeight="1">
      <c r="A103" s="82">
        <f t="shared" si="9"/>
        <v>98</v>
      </c>
      <c r="B103" s="84" t="s">
        <v>2296</v>
      </c>
      <c r="C103" s="81" t="s">
        <v>2292</v>
      </c>
      <c r="D103" s="100"/>
      <c r="E103" s="95">
        <v>2</v>
      </c>
      <c r="F103" s="82">
        <f t="shared" si="10"/>
        <v>2</v>
      </c>
      <c r="G103" s="82">
        <f t="shared" si="8"/>
        <v>0</v>
      </c>
    </row>
    <row r="104" spans="1:7" ht="15.75" customHeight="1">
      <c r="A104" s="82">
        <f t="shared" si="9"/>
        <v>99</v>
      </c>
      <c r="B104" s="84" t="s">
        <v>2296</v>
      </c>
      <c r="C104" s="81" t="s">
        <v>2290</v>
      </c>
      <c r="D104" s="100"/>
      <c r="E104" s="95">
        <v>2</v>
      </c>
      <c r="F104" s="82">
        <f t="shared" si="10"/>
        <v>2</v>
      </c>
      <c r="G104" s="82">
        <f t="shared" si="8"/>
        <v>0</v>
      </c>
    </row>
    <row r="105" spans="1:7" ht="15.75" customHeight="1">
      <c r="A105" s="82">
        <f t="shared" si="9"/>
        <v>100</v>
      </c>
      <c r="B105" s="84" t="s">
        <v>2296</v>
      </c>
      <c r="C105" s="81" t="s">
        <v>2297</v>
      </c>
      <c r="D105" s="100"/>
      <c r="E105" s="95">
        <v>2</v>
      </c>
      <c r="F105" s="82">
        <f t="shared" si="10"/>
        <v>2</v>
      </c>
      <c r="G105" s="82">
        <f t="shared" si="8"/>
        <v>0</v>
      </c>
    </row>
    <row r="106" spans="1:7" ht="15.75" customHeight="1">
      <c r="A106" s="82">
        <f t="shared" si="9"/>
        <v>101</v>
      </c>
      <c r="B106" s="84" t="s">
        <v>2296</v>
      </c>
      <c r="C106" s="81" t="s">
        <v>2281</v>
      </c>
      <c r="D106" s="100"/>
      <c r="E106" s="95">
        <v>2</v>
      </c>
      <c r="F106" s="82">
        <f t="shared" si="10"/>
        <v>2</v>
      </c>
      <c r="G106" s="82">
        <f t="shared" si="8"/>
        <v>0</v>
      </c>
    </row>
    <row r="107" spans="1:7" ht="15.75" customHeight="1">
      <c r="A107" s="82">
        <f t="shared" si="9"/>
        <v>102</v>
      </c>
      <c r="B107" s="84" t="s">
        <v>2296</v>
      </c>
      <c r="C107" s="85" t="s">
        <v>2298</v>
      </c>
      <c r="D107" s="100"/>
      <c r="E107" s="95">
        <v>2</v>
      </c>
      <c r="F107" s="82">
        <f t="shared" si="10"/>
        <v>2</v>
      </c>
      <c r="G107" s="82">
        <f t="shared" si="8"/>
        <v>0</v>
      </c>
    </row>
    <row r="108" spans="1:7" ht="15.75" customHeight="1">
      <c r="A108" s="82">
        <f t="shared" si="9"/>
        <v>103</v>
      </c>
      <c r="B108" s="84" t="s">
        <v>2296</v>
      </c>
      <c r="C108" s="81" t="s">
        <v>2213</v>
      </c>
      <c r="D108" s="100"/>
      <c r="E108" s="95">
        <v>2</v>
      </c>
      <c r="F108" s="82">
        <f t="shared" si="10"/>
        <v>2</v>
      </c>
      <c r="G108" s="82">
        <f t="shared" si="8"/>
        <v>0</v>
      </c>
    </row>
    <row r="109" spans="1:7" ht="15.75" customHeight="1">
      <c r="A109" s="82">
        <f t="shared" si="9"/>
        <v>104</v>
      </c>
      <c r="B109" s="84" t="s">
        <v>2296</v>
      </c>
      <c r="C109" s="81" t="s">
        <v>2211</v>
      </c>
      <c r="D109" s="100"/>
      <c r="E109" s="95">
        <v>2</v>
      </c>
      <c r="F109" s="82">
        <f t="shared" si="10"/>
        <v>2</v>
      </c>
      <c r="G109" s="82">
        <f t="shared" si="8"/>
        <v>0</v>
      </c>
    </row>
    <row r="110" spans="1:7" ht="15.75" customHeight="1">
      <c r="A110" s="82">
        <f t="shared" si="9"/>
        <v>105</v>
      </c>
      <c r="B110" s="89" t="s">
        <v>2296</v>
      </c>
      <c r="C110" s="85" t="s">
        <v>2299</v>
      </c>
      <c r="D110" s="100"/>
      <c r="E110" s="95">
        <v>2</v>
      </c>
      <c r="F110" s="82">
        <f t="shared" si="10"/>
        <v>2</v>
      </c>
      <c r="G110" s="82">
        <f t="shared" si="8"/>
        <v>0</v>
      </c>
    </row>
    <row r="111" spans="1:7" ht="15.75" customHeight="1">
      <c r="A111" s="82">
        <f t="shared" si="9"/>
        <v>106</v>
      </c>
      <c r="B111" s="80" t="s">
        <v>2300</v>
      </c>
      <c r="C111" s="81" t="s">
        <v>2301</v>
      </c>
      <c r="D111" s="82" t="s">
        <v>2293</v>
      </c>
      <c r="E111" s="83">
        <v>1</v>
      </c>
      <c r="F111" s="82">
        <f t="shared" si="10"/>
        <v>1</v>
      </c>
      <c r="G111" s="82">
        <f t="shared" si="8"/>
        <v>0</v>
      </c>
    </row>
    <row r="112" spans="1:7" ht="15.75" customHeight="1">
      <c r="A112" s="82">
        <f t="shared" si="9"/>
        <v>107</v>
      </c>
      <c r="B112" s="84" t="s">
        <v>2302</v>
      </c>
      <c r="C112" s="81"/>
      <c r="D112" s="82" t="s">
        <v>2295</v>
      </c>
      <c r="E112" s="83">
        <v>0</v>
      </c>
      <c r="F112" s="82">
        <f t="shared" si="10"/>
        <v>0</v>
      </c>
      <c r="G112" s="82">
        <f t="shared" si="8"/>
        <v>0</v>
      </c>
    </row>
    <row r="113" spans="1:7" ht="15.75" customHeight="1">
      <c r="A113" s="82">
        <f t="shared" si="9"/>
        <v>108</v>
      </c>
      <c r="B113" s="84" t="s">
        <v>2303</v>
      </c>
      <c r="C113" s="81" t="s">
        <v>2301</v>
      </c>
      <c r="D113" s="100"/>
      <c r="E113" s="95">
        <v>2</v>
      </c>
      <c r="F113" s="82">
        <f t="shared" si="10"/>
        <v>2</v>
      </c>
      <c r="G113" s="82">
        <f t="shared" si="8"/>
        <v>0</v>
      </c>
    </row>
    <row r="114" spans="1:7" ht="15.75" customHeight="1">
      <c r="A114" s="82">
        <f t="shared" si="9"/>
        <v>109</v>
      </c>
      <c r="B114" s="84" t="s">
        <v>2303</v>
      </c>
      <c r="C114" s="81" t="s">
        <v>2304</v>
      </c>
      <c r="D114" s="100"/>
      <c r="E114" s="95">
        <v>2</v>
      </c>
      <c r="F114" s="82">
        <f t="shared" si="10"/>
        <v>2</v>
      </c>
      <c r="G114" s="82">
        <f t="shared" si="8"/>
        <v>0</v>
      </c>
    </row>
    <row r="115" spans="1:7" ht="15.75" customHeight="1">
      <c r="A115" s="82">
        <f t="shared" si="9"/>
        <v>110</v>
      </c>
      <c r="B115" s="84" t="s">
        <v>2303</v>
      </c>
      <c r="C115" s="81" t="s">
        <v>2305</v>
      </c>
      <c r="D115" s="100"/>
      <c r="E115" s="95">
        <v>2</v>
      </c>
      <c r="F115" s="82">
        <f t="shared" si="10"/>
        <v>2</v>
      </c>
      <c r="G115" s="82">
        <f t="shared" si="8"/>
        <v>0</v>
      </c>
    </row>
    <row r="116" spans="1:7" ht="15.75" customHeight="1">
      <c r="A116" s="82">
        <f t="shared" si="9"/>
        <v>111</v>
      </c>
      <c r="B116" s="84" t="s">
        <v>2303</v>
      </c>
      <c r="C116" s="81" t="s">
        <v>2306</v>
      </c>
      <c r="D116" s="100"/>
      <c r="E116" s="95">
        <v>2</v>
      </c>
      <c r="F116" s="82">
        <f t="shared" si="10"/>
        <v>2</v>
      </c>
      <c r="G116" s="82">
        <f t="shared" si="8"/>
        <v>0</v>
      </c>
    </row>
    <row r="117" spans="1:7" ht="15.75" customHeight="1">
      <c r="A117" s="82">
        <f t="shared" si="9"/>
        <v>112</v>
      </c>
      <c r="B117" s="84" t="s">
        <v>2303</v>
      </c>
      <c r="C117" s="81" t="s">
        <v>2307</v>
      </c>
      <c r="D117" s="100"/>
      <c r="E117" s="95">
        <v>2</v>
      </c>
      <c r="F117" s="82">
        <f t="shared" si="10"/>
        <v>2</v>
      </c>
      <c r="G117" s="82">
        <f t="shared" si="8"/>
        <v>0</v>
      </c>
    </row>
    <row r="118" spans="1:7" ht="15.75" customHeight="1">
      <c r="A118" s="82">
        <f t="shared" si="9"/>
        <v>113</v>
      </c>
      <c r="B118" s="84" t="s">
        <v>2303</v>
      </c>
      <c r="C118" s="81" t="s">
        <v>2308</v>
      </c>
      <c r="D118" s="100"/>
      <c r="E118" s="95">
        <v>2</v>
      </c>
      <c r="F118" s="82">
        <f t="shared" si="10"/>
        <v>2</v>
      </c>
      <c r="G118" s="82">
        <f t="shared" si="8"/>
        <v>0</v>
      </c>
    </row>
    <row r="119" spans="1:7" ht="15.75" customHeight="1">
      <c r="A119" s="82">
        <f t="shared" si="9"/>
        <v>114</v>
      </c>
      <c r="B119" s="84" t="s">
        <v>2303</v>
      </c>
      <c r="C119" s="81" t="s">
        <v>2309</v>
      </c>
      <c r="D119" s="100"/>
      <c r="E119" s="95">
        <v>2</v>
      </c>
      <c r="F119" s="82">
        <f t="shared" si="10"/>
        <v>2</v>
      </c>
      <c r="G119" s="82">
        <f t="shared" si="8"/>
        <v>0</v>
      </c>
    </row>
    <row r="120" spans="1:7" ht="15.75" customHeight="1">
      <c r="A120" s="82">
        <f t="shared" si="9"/>
        <v>115</v>
      </c>
      <c r="B120" s="97" t="s">
        <v>2303</v>
      </c>
      <c r="C120" s="81" t="s">
        <v>2310</v>
      </c>
      <c r="D120" s="100"/>
      <c r="E120" s="95">
        <v>2</v>
      </c>
      <c r="F120" s="82">
        <f t="shared" si="10"/>
        <v>2</v>
      </c>
      <c r="G120" s="82">
        <f t="shared" si="8"/>
        <v>0</v>
      </c>
    </row>
    <row r="121" spans="1:7" ht="15.75" customHeight="1">
      <c r="A121" s="82">
        <f t="shared" si="9"/>
        <v>116</v>
      </c>
      <c r="B121" s="97" t="s">
        <v>2303</v>
      </c>
      <c r="C121" s="81"/>
      <c r="D121" s="100"/>
      <c r="E121" s="95">
        <v>2</v>
      </c>
      <c r="F121" s="82">
        <f t="shared" si="10"/>
        <v>0</v>
      </c>
      <c r="G121" s="82">
        <f t="shared" si="8"/>
        <v>2</v>
      </c>
    </row>
    <row r="122" spans="1:7" ht="15.75" customHeight="1">
      <c r="A122" s="82">
        <f t="shared" si="9"/>
        <v>117</v>
      </c>
      <c r="B122" s="80" t="s">
        <v>2311</v>
      </c>
      <c r="C122" s="81" t="s">
        <v>2312</v>
      </c>
      <c r="D122" s="82" t="s">
        <v>2293</v>
      </c>
      <c r="E122" s="83">
        <v>1</v>
      </c>
      <c r="F122" s="82">
        <f t="shared" si="10"/>
        <v>1</v>
      </c>
      <c r="G122" s="82">
        <f t="shared" si="8"/>
        <v>0</v>
      </c>
    </row>
    <row r="123" spans="1:7" ht="15.75" customHeight="1">
      <c r="A123" s="82">
        <f t="shared" si="9"/>
        <v>118</v>
      </c>
      <c r="B123" s="84" t="s">
        <v>2313</v>
      </c>
      <c r="C123" s="81"/>
      <c r="D123" s="82" t="s">
        <v>2295</v>
      </c>
      <c r="E123" s="83">
        <v>0</v>
      </c>
      <c r="F123" s="82">
        <f t="shared" si="10"/>
        <v>0</v>
      </c>
      <c r="G123" s="82">
        <f t="shared" si="8"/>
        <v>0</v>
      </c>
    </row>
    <row r="124" spans="1:7" ht="15.75" customHeight="1">
      <c r="A124" s="82">
        <f t="shared" si="9"/>
        <v>119</v>
      </c>
      <c r="B124" s="84" t="s">
        <v>2314</v>
      </c>
      <c r="C124" s="81" t="s">
        <v>2312</v>
      </c>
      <c r="D124" s="100"/>
      <c r="E124" s="95">
        <v>2</v>
      </c>
      <c r="F124" s="82">
        <f t="shared" si="10"/>
        <v>2</v>
      </c>
      <c r="G124" s="82">
        <f t="shared" si="8"/>
        <v>0</v>
      </c>
    </row>
    <row r="125" spans="1:7" ht="15.75" customHeight="1">
      <c r="A125" s="82">
        <f t="shared" si="9"/>
        <v>120</v>
      </c>
      <c r="B125" s="84" t="s">
        <v>2314</v>
      </c>
      <c r="C125" s="81" t="s">
        <v>2315</v>
      </c>
      <c r="D125" s="100"/>
      <c r="E125" s="95">
        <v>2</v>
      </c>
      <c r="F125" s="82">
        <f t="shared" si="10"/>
        <v>2</v>
      </c>
      <c r="G125" s="82">
        <f t="shared" si="8"/>
        <v>0</v>
      </c>
    </row>
    <row r="126" spans="1:7" ht="15.75" customHeight="1">
      <c r="A126" s="82">
        <f t="shared" si="9"/>
        <v>121</v>
      </c>
      <c r="B126" s="84" t="s">
        <v>2314</v>
      </c>
      <c r="C126" s="81" t="s">
        <v>2316</v>
      </c>
      <c r="D126" s="100"/>
      <c r="E126" s="95">
        <v>2</v>
      </c>
      <c r="F126" s="82">
        <f t="shared" si="10"/>
        <v>2</v>
      </c>
      <c r="G126" s="82">
        <f t="shared" si="8"/>
        <v>0</v>
      </c>
    </row>
    <row r="127" spans="1:7" ht="15.75" customHeight="1">
      <c r="A127" s="82">
        <f t="shared" si="9"/>
        <v>122</v>
      </c>
      <c r="B127" s="84" t="s">
        <v>2314</v>
      </c>
      <c r="C127" s="81" t="s">
        <v>2317</v>
      </c>
      <c r="D127" s="100"/>
      <c r="E127" s="95">
        <v>2</v>
      </c>
      <c r="F127" s="82">
        <f t="shared" si="10"/>
        <v>2</v>
      </c>
      <c r="G127" s="82">
        <f t="shared" si="8"/>
        <v>0</v>
      </c>
    </row>
    <row r="128" spans="1:7" ht="15.75" customHeight="1">
      <c r="A128" s="82">
        <f t="shared" si="9"/>
        <v>123</v>
      </c>
      <c r="B128" s="84" t="s">
        <v>2314</v>
      </c>
      <c r="C128" s="81" t="s">
        <v>2318</v>
      </c>
      <c r="D128" s="100"/>
      <c r="E128" s="95">
        <v>2</v>
      </c>
      <c r="F128" s="82">
        <f t="shared" si="10"/>
        <v>2</v>
      </c>
      <c r="G128" s="82">
        <f t="shared" si="8"/>
        <v>0</v>
      </c>
    </row>
    <row r="129" spans="1:7" ht="15.75" customHeight="1">
      <c r="A129" s="82">
        <f t="shared" si="9"/>
        <v>124</v>
      </c>
      <c r="B129" s="84" t="s">
        <v>2314</v>
      </c>
      <c r="C129" s="81" t="s">
        <v>2319</v>
      </c>
      <c r="D129" s="100"/>
      <c r="E129" s="95">
        <v>2</v>
      </c>
      <c r="F129" s="82">
        <f t="shared" si="10"/>
        <v>2</v>
      </c>
      <c r="G129" s="82">
        <f t="shared" si="8"/>
        <v>0</v>
      </c>
    </row>
    <row r="130" spans="1:7" ht="15.75" customHeight="1">
      <c r="A130" s="82">
        <f t="shared" si="9"/>
        <v>125</v>
      </c>
      <c r="B130" s="89" t="s">
        <v>2314</v>
      </c>
      <c r="C130" s="85" t="s">
        <v>2204</v>
      </c>
      <c r="D130" s="100"/>
      <c r="E130" s="95">
        <v>2</v>
      </c>
      <c r="F130" s="82">
        <f t="shared" ref="F130:F161" si="11">IF(COUNTIF($C$6:$C$1001, C130)&gt;0, IF(E130&gt;1,2,1), 0)</f>
        <v>2</v>
      </c>
      <c r="G130" s="82">
        <f t="shared" si="8"/>
        <v>0</v>
      </c>
    </row>
    <row r="131" spans="1:7" ht="15.75" customHeight="1">
      <c r="A131" s="82">
        <f t="shared" si="9"/>
        <v>126</v>
      </c>
      <c r="B131" s="89" t="s">
        <v>2314</v>
      </c>
      <c r="C131" s="85" t="s">
        <v>2320</v>
      </c>
      <c r="D131" s="100"/>
      <c r="E131" s="95">
        <v>2</v>
      </c>
      <c r="F131" s="82">
        <f t="shared" si="11"/>
        <v>2</v>
      </c>
      <c r="G131" s="82">
        <f t="shared" si="8"/>
        <v>0</v>
      </c>
    </row>
    <row r="132" spans="1:7" ht="15.75" customHeight="1">
      <c r="A132" s="82">
        <f t="shared" si="9"/>
        <v>127</v>
      </c>
      <c r="B132" s="102" t="s">
        <v>2314</v>
      </c>
      <c r="C132" s="85"/>
      <c r="D132" s="100"/>
      <c r="E132" s="95">
        <v>2</v>
      </c>
      <c r="F132" s="82">
        <f t="shared" si="11"/>
        <v>0</v>
      </c>
      <c r="G132" s="82">
        <f t="shared" si="8"/>
        <v>2</v>
      </c>
    </row>
    <row r="133" spans="1:7" ht="15.75" customHeight="1">
      <c r="A133" s="82">
        <f t="shared" si="9"/>
        <v>128</v>
      </c>
      <c r="B133" s="80" t="s">
        <v>2321</v>
      </c>
      <c r="C133" s="81" t="s">
        <v>2322</v>
      </c>
      <c r="D133" s="82" t="s">
        <v>2293</v>
      </c>
      <c r="E133" s="83">
        <v>1</v>
      </c>
      <c r="F133" s="82">
        <f t="shared" si="11"/>
        <v>1</v>
      </c>
      <c r="G133" s="82">
        <f t="shared" si="8"/>
        <v>0</v>
      </c>
    </row>
    <row r="134" spans="1:7" ht="15.75" customHeight="1">
      <c r="A134" s="82">
        <f t="shared" si="9"/>
        <v>129</v>
      </c>
      <c r="B134" s="84" t="s">
        <v>2323</v>
      </c>
      <c r="C134" s="81"/>
      <c r="D134" s="82" t="s">
        <v>2295</v>
      </c>
      <c r="E134" s="95">
        <v>0</v>
      </c>
      <c r="F134" s="82">
        <f t="shared" si="11"/>
        <v>0</v>
      </c>
      <c r="G134" s="82">
        <f t="shared" si="8"/>
        <v>0</v>
      </c>
    </row>
    <row r="135" spans="1:7" ht="15.75" customHeight="1">
      <c r="A135" s="82">
        <f t="shared" si="9"/>
        <v>130</v>
      </c>
      <c r="B135" s="84" t="s">
        <v>2324</v>
      </c>
      <c r="C135" s="81"/>
      <c r="D135" s="100"/>
      <c r="E135" s="95">
        <v>2</v>
      </c>
      <c r="F135" s="82">
        <f t="shared" si="11"/>
        <v>0</v>
      </c>
      <c r="G135" s="82">
        <f t="shared" ref="G135:G198" si="12">E135-F135</f>
        <v>2</v>
      </c>
    </row>
    <row r="136" spans="1:7" ht="15.75" customHeight="1">
      <c r="A136" s="82">
        <f t="shared" ref="A136:A199" si="13">A135+1</f>
        <v>131</v>
      </c>
      <c r="B136" s="84" t="s">
        <v>2324</v>
      </c>
      <c r="C136" s="81" t="s">
        <v>2325</v>
      </c>
      <c r="D136" s="100"/>
      <c r="E136" s="95">
        <v>2</v>
      </c>
      <c r="F136" s="82">
        <f t="shared" si="11"/>
        <v>2</v>
      </c>
      <c r="G136" s="82">
        <f t="shared" si="12"/>
        <v>0</v>
      </c>
    </row>
    <row r="137" spans="1:7" ht="15.75" customHeight="1">
      <c r="A137" s="82">
        <f t="shared" si="13"/>
        <v>132</v>
      </c>
      <c r="B137" s="84" t="s">
        <v>2324</v>
      </c>
      <c r="C137" s="81" t="s">
        <v>2326</v>
      </c>
      <c r="D137" s="100"/>
      <c r="E137" s="95">
        <v>2</v>
      </c>
      <c r="F137" s="82">
        <f t="shared" si="11"/>
        <v>2</v>
      </c>
      <c r="G137" s="82">
        <f t="shared" si="12"/>
        <v>0</v>
      </c>
    </row>
    <row r="138" spans="1:7" ht="15.75" customHeight="1">
      <c r="A138" s="82">
        <f t="shared" si="13"/>
        <v>133</v>
      </c>
      <c r="B138" s="84" t="s">
        <v>2324</v>
      </c>
      <c r="C138" s="81" t="s">
        <v>2327</v>
      </c>
      <c r="D138" s="100"/>
      <c r="E138" s="95">
        <v>2</v>
      </c>
      <c r="F138" s="82">
        <f t="shared" si="11"/>
        <v>2</v>
      </c>
      <c r="G138" s="82">
        <f t="shared" si="12"/>
        <v>0</v>
      </c>
    </row>
    <row r="139" spans="1:7" ht="15.75" customHeight="1">
      <c r="A139" s="82">
        <f t="shared" si="13"/>
        <v>134</v>
      </c>
      <c r="B139" s="84" t="s">
        <v>2324</v>
      </c>
      <c r="C139" s="81" t="s">
        <v>2328</v>
      </c>
      <c r="D139" s="100"/>
      <c r="E139" s="95">
        <v>2</v>
      </c>
      <c r="F139" s="82">
        <f t="shared" si="11"/>
        <v>2</v>
      </c>
      <c r="G139" s="82">
        <f t="shared" si="12"/>
        <v>0</v>
      </c>
    </row>
    <row r="140" spans="1:7" ht="15.75" customHeight="1">
      <c r="A140" s="82">
        <f t="shared" si="13"/>
        <v>135</v>
      </c>
      <c r="B140" s="84" t="s">
        <v>2324</v>
      </c>
      <c r="C140" s="81" t="s">
        <v>2329</v>
      </c>
      <c r="D140" s="100"/>
      <c r="E140" s="95">
        <v>2</v>
      </c>
      <c r="F140" s="82">
        <f t="shared" si="11"/>
        <v>2</v>
      </c>
      <c r="G140" s="82">
        <f t="shared" si="12"/>
        <v>0</v>
      </c>
    </row>
    <row r="141" spans="1:7" ht="15.75" customHeight="1">
      <c r="A141" s="82">
        <f t="shared" si="13"/>
        <v>136</v>
      </c>
      <c r="B141" s="97" t="s">
        <v>2324</v>
      </c>
      <c r="C141" s="81" t="s">
        <v>2330</v>
      </c>
      <c r="D141" s="100"/>
      <c r="E141" s="95">
        <v>2</v>
      </c>
      <c r="F141" s="82">
        <f t="shared" si="11"/>
        <v>2</v>
      </c>
      <c r="G141" s="82">
        <f t="shared" si="12"/>
        <v>0</v>
      </c>
    </row>
    <row r="142" spans="1:7" ht="15.75" customHeight="1">
      <c r="A142" s="82">
        <f t="shared" si="13"/>
        <v>137</v>
      </c>
      <c r="B142" s="89" t="s">
        <v>2324</v>
      </c>
      <c r="C142" s="85" t="s">
        <v>2331</v>
      </c>
      <c r="D142" s="100"/>
      <c r="E142" s="95">
        <v>2</v>
      </c>
      <c r="F142" s="82">
        <f t="shared" si="11"/>
        <v>2</v>
      </c>
      <c r="G142" s="82">
        <f t="shared" si="12"/>
        <v>0</v>
      </c>
    </row>
    <row r="143" spans="1:7" ht="15.75" customHeight="1">
      <c r="A143" s="82">
        <f t="shared" si="13"/>
        <v>138</v>
      </c>
      <c r="B143" s="89" t="s">
        <v>2324</v>
      </c>
      <c r="C143" s="85" t="s">
        <v>2332</v>
      </c>
      <c r="D143" s="100"/>
      <c r="E143" s="95">
        <v>2</v>
      </c>
      <c r="F143" s="82">
        <f t="shared" si="11"/>
        <v>2</v>
      </c>
      <c r="G143" s="82">
        <f t="shared" si="12"/>
        <v>0</v>
      </c>
    </row>
    <row r="144" spans="1:7" ht="15.75" customHeight="1">
      <c r="A144" s="82">
        <f t="shared" si="13"/>
        <v>139</v>
      </c>
      <c r="B144" s="89" t="s">
        <v>2324</v>
      </c>
      <c r="C144" s="85"/>
      <c r="D144" s="100"/>
      <c r="E144" s="95">
        <v>2</v>
      </c>
      <c r="F144" s="82">
        <f t="shared" si="11"/>
        <v>0</v>
      </c>
      <c r="G144" s="82">
        <f t="shared" si="12"/>
        <v>2</v>
      </c>
    </row>
    <row r="145" spans="1:7" ht="15.75" customHeight="1">
      <c r="A145" s="82">
        <f t="shared" si="13"/>
        <v>140</v>
      </c>
      <c r="B145" s="80" t="s">
        <v>2333</v>
      </c>
      <c r="C145" s="81" t="s">
        <v>2334</v>
      </c>
      <c r="D145" s="82" t="s">
        <v>2293</v>
      </c>
      <c r="E145" s="83">
        <v>1</v>
      </c>
      <c r="F145" s="82">
        <f t="shared" si="11"/>
        <v>1</v>
      </c>
      <c r="G145" s="82">
        <f t="shared" si="12"/>
        <v>0</v>
      </c>
    </row>
    <row r="146" spans="1:7" ht="15.75" customHeight="1">
      <c r="A146" s="82">
        <f t="shared" si="13"/>
        <v>141</v>
      </c>
      <c r="B146" s="84" t="s">
        <v>2335</v>
      </c>
      <c r="C146" s="81"/>
      <c r="D146" s="82" t="s">
        <v>2295</v>
      </c>
      <c r="E146" s="83">
        <v>0</v>
      </c>
      <c r="F146" s="82">
        <f t="shared" si="11"/>
        <v>0</v>
      </c>
      <c r="G146" s="82">
        <f t="shared" si="12"/>
        <v>0</v>
      </c>
    </row>
    <row r="147" spans="1:7" ht="15.75" customHeight="1">
      <c r="A147" s="82">
        <f t="shared" si="13"/>
        <v>142</v>
      </c>
      <c r="B147" s="84" t="s">
        <v>2336</v>
      </c>
      <c r="C147" s="81" t="s">
        <v>2334</v>
      </c>
      <c r="D147" s="100"/>
      <c r="E147" s="95">
        <v>2</v>
      </c>
      <c r="F147" s="82">
        <f t="shared" si="11"/>
        <v>2</v>
      </c>
      <c r="G147" s="82">
        <f t="shared" si="12"/>
        <v>0</v>
      </c>
    </row>
    <row r="148" spans="1:7" ht="15.75" customHeight="1">
      <c r="A148" s="82">
        <f t="shared" si="13"/>
        <v>143</v>
      </c>
      <c r="B148" s="84" t="s">
        <v>2336</v>
      </c>
      <c r="C148" s="81" t="s">
        <v>2337</v>
      </c>
      <c r="D148" s="100"/>
      <c r="E148" s="95">
        <v>2</v>
      </c>
      <c r="F148" s="82">
        <f t="shared" si="11"/>
        <v>2</v>
      </c>
      <c r="G148" s="82">
        <f t="shared" si="12"/>
        <v>0</v>
      </c>
    </row>
    <row r="149" spans="1:7" ht="15.75" customHeight="1">
      <c r="A149" s="82">
        <f t="shared" si="13"/>
        <v>144</v>
      </c>
      <c r="B149" s="84" t="s">
        <v>2336</v>
      </c>
      <c r="C149" s="81" t="s">
        <v>2338</v>
      </c>
      <c r="D149" s="100"/>
      <c r="E149" s="95">
        <v>2</v>
      </c>
      <c r="F149" s="82">
        <f t="shared" si="11"/>
        <v>2</v>
      </c>
      <c r="G149" s="82">
        <f t="shared" si="12"/>
        <v>0</v>
      </c>
    </row>
    <row r="150" spans="1:7" ht="15.75" customHeight="1">
      <c r="A150" s="82">
        <f t="shared" si="13"/>
        <v>145</v>
      </c>
      <c r="B150" s="84" t="s">
        <v>2336</v>
      </c>
      <c r="C150" s="81" t="s">
        <v>2286</v>
      </c>
      <c r="D150" s="100"/>
      <c r="E150" s="95">
        <v>2</v>
      </c>
      <c r="F150" s="82">
        <f t="shared" si="11"/>
        <v>2</v>
      </c>
      <c r="G150" s="82">
        <f t="shared" si="12"/>
        <v>0</v>
      </c>
    </row>
    <row r="151" spans="1:7" ht="15.75" customHeight="1">
      <c r="A151" s="82">
        <f t="shared" si="13"/>
        <v>146</v>
      </c>
      <c r="B151" s="84" t="s">
        <v>2336</v>
      </c>
      <c r="C151" s="81" t="s">
        <v>1294</v>
      </c>
      <c r="D151" s="100"/>
      <c r="E151" s="95">
        <v>2</v>
      </c>
      <c r="F151" s="82">
        <f t="shared" si="11"/>
        <v>2</v>
      </c>
      <c r="G151" s="82">
        <f t="shared" si="12"/>
        <v>0</v>
      </c>
    </row>
    <row r="152" spans="1:7" ht="15.75" customHeight="1">
      <c r="A152" s="82">
        <f t="shared" si="13"/>
        <v>147</v>
      </c>
      <c r="B152" s="101" t="s">
        <v>2339</v>
      </c>
      <c r="C152" s="81" t="s">
        <v>2340</v>
      </c>
      <c r="D152" s="82" t="s">
        <v>2293</v>
      </c>
      <c r="E152" s="95">
        <v>1</v>
      </c>
      <c r="F152" s="82">
        <f t="shared" si="11"/>
        <v>1</v>
      </c>
      <c r="G152" s="82">
        <f t="shared" si="12"/>
        <v>0</v>
      </c>
    </row>
    <row r="153" spans="1:7" ht="15.75" customHeight="1">
      <c r="A153" s="82">
        <f t="shared" si="13"/>
        <v>148</v>
      </c>
      <c r="B153" s="84" t="s">
        <v>2341</v>
      </c>
      <c r="C153" s="81"/>
      <c r="D153" s="82" t="s">
        <v>2295</v>
      </c>
      <c r="E153" s="95">
        <v>0</v>
      </c>
      <c r="F153" s="82">
        <f t="shared" si="11"/>
        <v>0</v>
      </c>
      <c r="G153" s="82">
        <f t="shared" si="12"/>
        <v>0</v>
      </c>
    </row>
    <row r="154" spans="1:7" ht="15.75" customHeight="1">
      <c r="A154" s="82">
        <f t="shared" si="13"/>
        <v>149</v>
      </c>
      <c r="B154" s="97" t="s">
        <v>2342</v>
      </c>
      <c r="C154" s="81" t="s">
        <v>2288</v>
      </c>
      <c r="D154" s="100"/>
      <c r="E154" s="95">
        <v>2</v>
      </c>
      <c r="F154" s="82">
        <f t="shared" si="11"/>
        <v>2</v>
      </c>
      <c r="G154" s="82">
        <f t="shared" si="12"/>
        <v>0</v>
      </c>
    </row>
    <row r="155" spans="1:7" ht="15.75" customHeight="1">
      <c r="A155" s="82">
        <f t="shared" si="13"/>
        <v>150</v>
      </c>
      <c r="B155" s="97" t="s">
        <v>2342</v>
      </c>
      <c r="C155" s="81" t="s">
        <v>2343</v>
      </c>
      <c r="D155" s="100"/>
      <c r="E155" s="95">
        <v>2</v>
      </c>
      <c r="F155" s="82">
        <f t="shared" si="11"/>
        <v>2</v>
      </c>
      <c r="G155" s="82">
        <f t="shared" si="12"/>
        <v>0</v>
      </c>
    </row>
    <row r="156" spans="1:7" ht="15.75" customHeight="1">
      <c r="A156" s="82">
        <f t="shared" si="13"/>
        <v>151</v>
      </c>
      <c r="B156" s="97" t="s">
        <v>2342</v>
      </c>
      <c r="C156" s="81" t="s">
        <v>2344</v>
      </c>
      <c r="D156" s="100"/>
      <c r="E156" s="95">
        <v>2</v>
      </c>
      <c r="F156" s="82">
        <f t="shared" si="11"/>
        <v>2</v>
      </c>
      <c r="G156" s="82">
        <f t="shared" si="12"/>
        <v>0</v>
      </c>
    </row>
    <row r="157" spans="1:7" ht="15.75" customHeight="1">
      <c r="A157" s="82">
        <f t="shared" si="13"/>
        <v>152</v>
      </c>
      <c r="B157" s="97" t="s">
        <v>2342</v>
      </c>
      <c r="C157" s="81" t="s">
        <v>2284</v>
      </c>
      <c r="D157" s="100"/>
      <c r="E157" s="95">
        <v>2</v>
      </c>
      <c r="F157" s="82">
        <f t="shared" si="11"/>
        <v>2</v>
      </c>
      <c r="G157" s="82">
        <f t="shared" si="12"/>
        <v>0</v>
      </c>
    </row>
    <row r="158" spans="1:7" ht="15.75" customHeight="1">
      <c r="A158" s="82">
        <f t="shared" si="13"/>
        <v>153</v>
      </c>
      <c r="B158" s="97" t="s">
        <v>2342</v>
      </c>
      <c r="C158" s="81" t="s">
        <v>2242</v>
      </c>
      <c r="D158" s="100"/>
      <c r="E158" s="95">
        <v>2</v>
      </c>
      <c r="F158" s="82">
        <f t="shared" si="11"/>
        <v>2</v>
      </c>
      <c r="G158" s="82">
        <f t="shared" si="12"/>
        <v>0</v>
      </c>
    </row>
    <row r="159" spans="1:7" ht="15.75" customHeight="1">
      <c r="A159" s="82">
        <f t="shared" si="13"/>
        <v>154</v>
      </c>
      <c r="B159" s="97" t="s">
        <v>2342</v>
      </c>
      <c r="C159" s="85" t="s">
        <v>2340</v>
      </c>
      <c r="D159" s="100"/>
      <c r="E159" s="95">
        <v>2</v>
      </c>
      <c r="F159" s="82">
        <f t="shared" si="11"/>
        <v>2</v>
      </c>
      <c r="G159" s="82">
        <f t="shared" si="12"/>
        <v>0</v>
      </c>
    </row>
    <row r="160" spans="1:7" ht="15.75" customHeight="1">
      <c r="A160" s="82">
        <f t="shared" si="13"/>
        <v>155</v>
      </c>
      <c r="B160" s="89" t="s">
        <v>2342</v>
      </c>
      <c r="C160" s="81" t="s">
        <v>2345</v>
      </c>
      <c r="D160" s="100"/>
      <c r="E160" s="95">
        <v>2</v>
      </c>
      <c r="F160" s="82">
        <f t="shared" si="11"/>
        <v>2</v>
      </c>
      <c r="G160" s="82">
        <f t="shared" si="12"/>
        <v>0</v>
      </c>
    </row>
    <row r="161" spans="1:7" ht="15.75" customHeight="1">
      <c r="A161" s="82">
        <f t="shared" si="13"/>
        <v>156</v>
      </c>
      <c r="B161" s="89" t="s">
        <v>2342</v>
      </c>
      <c r="C161" s="81" t="s">
        <v>2346</v>
      </c>
      <c r="D161" s="100"/>
      <c r="E161" s="95">
        <v>2</v>
      </c>
      <c r="F161" s="82">
        <f t="shared" si="11"/>
        <v>2</v>
      </c>
      <c r="G161" s="82">
        <f t="shared" si="12"/>
        <v>0</v>
      </c>
    </row>
    <row r="162" spans="1:7" ht="15.75" customHeight="1">
      <c r="A162" s="82">
        <f t="shared" si="13"/>
        <v>157</v>
      </c>
      <c r="B162" s="89" t="s">
        <v>2342</v>
      </c>
      <c r="C162" s="81" t="s">
        <v>2347</v>
      </c>
      <c r="D162" s="100"/>
      <c r="E162" s="95">
        <v>2</v>
      </c>
      <c r="F162" s="82">
        <f t="shared" ref="F162:F193" si="14">IF(COUNTIF($C$6:$C$1001, C162)&gt;0, IF(E162&gt;1,2,1), 0)</f>
        <v>2</v>
      </c>
      <c r="G162" s="82">
        <f t="shared" si="12"/>
        <v>0</v>
      </c>
    </row>
    <row r="163" spans="1:7" ht="15.75" customHeight="1">
      <c r="A163" s="82">
        <f t="shared" si="13"/>
        <v>158</v>
      </c>
      <c r="B163" s="89" t="s">
        <v>2342</v>
      </c>
      <c r="C163" s="81" t="s">
        <v>2198</v>
      </c>
      <c r="D163" s="100"/>
      <c r="E163" s="95">
        <v>2</v>
      </c>
      <c r="F163" s="82">
        <f t="shared" si="14"/>
        <v>2</v>
      </c>
      <c r="G163" s="82">
        <f t="shared" si="12"/>
        <v>0</v>
      </c>
    </row>
    <row r="164" spans="1:7" ht="15.75" customHeight="1">
      <c r="A164" s="82">
        <f t="shared" si="13"/>
        <v>159</v>
      </c>
      <c r="B164" s="101" t="s">
        <v>2348</v>
      </c>
      <c r="C164" s="81" t="s">
        <v>2349</v>
      </c>
      <c r="D164" s="82" t="s">
        <v>2293</v>
      </c>
      <c r="E164" s="95">
        <v>2</v>
      </c>
      <c r="F164" s="82">
        <f t="shared" si="14"/>
        <v>2</v>
      </c>
      <c r="G164" s="82">
        <f t="shared" si="12"/>
        <v>0</v>
      </c>
    </row>
    <row r="165" spans="1:7" ht="15.75" customHeight="1">
      <c r="A165" s="82">
        <f t="shared" si="13"/>
        <v>160</v>
      </c>
      <c r="B165" s="84" t="s">
        <v>2350</v>
      </c>
      <c r="C165" s="81"/>
      <c r="D165" s="82" t="s">
        <v>2295</v>
      </c>
      <c r="E165" s="95">
        <v>2</v>
      </c>
      <c r="F165" s="82">
        <f t="shared" si="14"/>
        <v>0</v>
      </c>
      <c r="G165" s="82">
        <f t="shared" si="12"/>
        <v>2</v>
      </c>
    </row>
    <row r="166" spans="1:7" ht="15.75" customHeight="1">
      <c r="A166" s="82">
        <f t="shared" si="13"/>
        <v>161</v>
      </c>
      <c r="B166" s="97" t="s">
        <v>2351</v>
      </c>
      <c r="C166" s="81" t="s">
        <v>2352</v>
      </c>
      <c r="D166" s="100"/>
      <c r="E166" s="95">
        <v>2</v>
      </c>
      <c r="F166" s="82">
        <f t="shared" si="14"/>
        <v>2</v>
      </c>
      <c r="G166" s="82">
        <f t="shared" si="12"/>
        <v>0</v>
      </c>
    </row>
    <row r="167" spans="1:7" ht="15.75" customHeight="1">
      <c r="A167" s="82">
        <f t="shared" si="13"/>
        <v>162</v>
      </c>
      <c r="B167" s="97" t="s">
        <v>2351</v>
      </c>
      <c r="C167" s="81" t="s">
        <v>2349</v>
      </c>
      <c r="D167" s="100"/>
      <c r="E167" s="95">
        <v>2</v>
      </c>
      <c r="F167" s="82">
        <f t="shared" si="14"/>
        <v>2</v>
      </c>
      <c r="G167" s="82">
        <f t="shared" si="12"/>
        <v>0</v>
      </c>
    </row>
    <row r="168" spans="1:7" ht="15.75" customHeight="1">
      <c r="A168" s="82">
        <f t="shared" si="13"/>
        <v>163</v>
      </c>
      <c r="B168" s="97" t="s">
        <v>2351</v>
      </c>
      <c r="C168" s="81" t="s">
        <v>2227</v>
      </c>
      <c r="D168" s="100"/>
      <c r="E168" s="95">
        <v>2</v>
      </c>
      <c r="F168" s="82">
        <f t="shared" si="14"/>
        <v>2</v>
      </c>
      <c r="G168" s="82">
        <f t="shared" si="12"/>
        <v>0</v>
      </c>
    </row>
    <row r="169" spans="1:7" ht="15.75" customHeight="1">
      <c r="A169" s="82">
        <f t="shared" si="13"/>
        <v>164</v>
      </c>
      <c r="B169" s="97" t="s">
        <v>2351</v>
      </c>
      <c r="C169" s="81" t="s">
        <v>2353</v>
      </c>
      <c r="D169" s="100"/>
      <c r="E169" s="95">
        <v>2</v>
      </c>
      <c r="F169" s="82">
        <f t="shared" si="14"/>
        <v>2</v>
      </c>
      <c r="G169" s="82">
        <f t="shared" si="12"/>
        <v>0</v>
      </c>
    </row>
    <row r="170" spans="1:7" ht="15.75" customHeight="1">
      <c r="A170" s="82">
        <f t="shared" si="13"/>
        <v>165</v>
      </c>
      <c r="B170" s="97" t="s">
        <v>2351</v>
      </c>
      <c r="C170" s="81" t="s">
        <v>2354</v>
      </c>
      <c r="D170" s="100"/>
      <c r="E170" s="95">
        <v>2</v>
      </c>
      <c r="F170" s="82">
        <f t="shared" si="14"/>
        <v>2</v>
      </c>
      <c r="G170" s="82">
        <f t="shared" si="12"/>
        <v>0</v>
      </c>
    </row>
    <row r="171" spans="1:7" ht="15.75" customHeight="1">
      <c r="A171" s="82">
        <f t="shared" si="13"/>
        <v>166</v>
      </c>
      <c r="B171" s="97" t="s">
        <v>2351</v>
      </c>
      <c r="C171" s="81" t="s">
        <v>2355</v>
      </c>
      <c r="D171" s="100"/>
      <c r="E171" s="95">
        <v>2</v>
      </c>
      <c r="F171" s="82">
        <f t="shared" si="14"/>
        <v>2</v>
      </c>
      <c r="G171" s="82">
        <f t="shared" si="12"/>
        <v>0</v>
      </c>
    </row>
    <row r="172" spans="1:7" ht="15.75" customHeight="1">
      <c r="A172" s="82">
        <f t="shared" si="13"/>
        <v>167</v>
      </c>
      <c r="B172" s="97" t="s">
        <v>2351</v>
      </c>
      <c r="C172" s="81" t="s">
        <v>2356</v>
      </c>
      <c r="D172" s="100"/>
      <c r="E172" s="95">
        <v>2</v>
      </c>
      <c r="F172" s="82">
        <f t="shared" si="14"/>
        <v>2</v>
      </c>
      <c r="G172" s="82">
        <f t="shared" si="12"/>
        <v>0</v>
      </c>
    </row>
    <row r="173" spans="1:7" ht="15.75" customHeight="1">
      <c r="A173" s="82">
        <f t="shared" si="13"/>
        <v>168</v>
      </c>
      <c r="B173" s="97" t="s">
        <v>2351</v>
      </c>
      <c r="C173" s="81" t="s">
        <v>2357</v>
      </c>
      <c r="D173" s="100"/>
      <c r="E173" s="95">
        <v>2</v>
      </c>
      <c r="F173" s="82">
        <f t="shared" si="14"/>
        <v>2</v>
      </c>
      <c r="G173" s="82">
        <f t="shared" si="12"/>
        <v>0</v>
      </c>
    </row>
    <row r="174" spans="1:7" ht="15.75" customHeight="1">
      <c r="A174" s="82">
        <f t="shared" si="13"/>
        <v>169</v>
      </c>
      <c r="B174" s="97" t="s">
        <v>2351</v>
      </c>
      <c r="C174" s="81" t="s">
        <v>2261</v>
      </c>
      <c r="D174" s="100"/>
      <c r="E174" s="95">
        <v>2</v>
      </c>
      <c r="F174" s="82">
        <f t="shared" si="14"/>
        <v>2</v>
      </c>
      <c r="G174" s="82">
        <f t="shared" si="12"/>
        <v>0</v>
      </c>
    </row>
    <row r="175" spans="1:7" ht="15.75" customHeight="1">
      <c r="A175" s="82">
        <f t="shared" si="13"/>
        <v>170</v>
      </c>
      <c r="B175" s="97" t="s">
        <v>2351</v>
      </c>
      <c r="C175" s="81" t="s">
        <v>2358</v>
      </c>
      <c r="D175" s="100"/>
      <c r="E175" s="95">
        <v>2</v>
      </c>
      <c r="F175" s="82">
        <f t="shared" si="14"/>
        <v>2</v>
      </c>
      <c r="G175" s="82">
        <f t="shared" si="12"/>
        <v>0</v>
      </c>
    </row>
    <row r="176" spans="1:7" ht="15.75" customHeight="1">
      <c r="A176" s="82">
        <f t="shared" si="13"/>
        <v>171</v>
      </c>
      <c r="B176" s="97" t="s">
        <v>2351</v>
      </c>
      <c r="C176" s="81" t="s">
        <v>2359</v>
      </c>
      <c r="D176" s="100"/>
      <c r="E176" s="95">
        <v>2</v>
      </c>
      <c r="F176" s="82">
        <f t="shared" si="14"/>
        <v>2</v>
      </c>
      <c r="G176" s="82">
        <f t="shared" si="12"/>
        <v>0</v>
      </c>
    </row>
    <row r="177" spans="1:7" ht="15.75" customHeight="1">
      <c r="A177" s="82">
        <f t="shared" si="13"/>
        <v>172</v>
      </c>
      <c r="B177" s="97" t="s">
        <v>2351</v>
      </c>
      <c r="C177" s="81" t="s">
        <v>2360</v>
      </c>
      <c r="D177" s="100"/>
      <c r="E177" s="95">
        <v>2</v>
      </c>
      <c r="F177" s="82">
        <f t="shared" si="14"/>
        <v>2</v>
      </c>
      <c r="G177" s="82">
        <f t="shared" si="12"/>
        <v>0</v>
      </c>
    </row>
    <row r="178" spans="1:7" ht="15.75" customHeight="1">
      <c r="A178" s="82">
        <f t="shared" si="13"/>
        <v>173</v>
      </c>
      <c r="B178" s="97" t="s">
        <v>2351</v>
      </c>
      <c r="C178" s="81" t="s">
        <v>2361</v>
      </c>
      <c r="D178" s="100"/>
      <c r="E178" s="95">
        <v>2</v>
      </c>
      <c r="F178" s="82">
        <f t="shared" si="14"/>
        <v>2</v>
      </c>
      <c r="G178" s="82">
        <f t="shared" si="12"/>
        <v>0</v>
      </c>
    </row>
    <row r="179" spans="1:7" ht="15.75" customHeight="1">
      <c r="A179" s="82">
        <f t="shared" si="13"/>
        <v>174</v>
      </c>
      <c r="B179" s="97" t="s">
        <v>2351</v>
      </c>
      <c r="C179" s="81" t="s">
        <v>2362</v>
      </c>
      <c r="D179" s="100"/>
      <c r="E179" s="95">
        <v>2</v>
      </c>
      <c r="F179" s="82">
        <f t="shared" si="14"/>
        <v>2</v>
      </c>
      <c r="G179" s="82">
        <f t="shared" si="12"/>
        <v>0</v>
      </c>
    </row>
    <row r="180" spans="1:7" ht="15.75" customHeight="1">
      <c r="A180" s="82">
        <f t="shared" si="13"/>
        <v>175</v>
      </c>
      <c r="B180" s="89" t="s">
        <v>2351</v>
      </c>
      <c r="C180" s="81" t="s">
        <v>2363</v>
      </c>
      <c r="D180" s="100"/>
      <c r="E180" s="95">
        <v>2</v>
      </c>
      <c r="F180" s="82">
        <f t="shared" si="14"/>
        <v>2</v>
      </c>
      <c r="G180" s="82">
        <f t="shared" si="12"/>
        <v>0</v>
      </c>
    </row>
    <row r="181" spans="1:7" ht="15.75" customHeight="1">
      <c r="A181" s="82">
        <f t="shared" si="13"/>
        <v>176</v>
      </c>
      <c r="B181" s="89" t="s">
        <v>2351</v>
      </c>
      <c r="C181" s="81" t="s">
        <v>2364</v>
      </c>
      <c r="D181" s="100"/>
      <c r="E181" s="95">
        <v>2</v>
      </c>
      <c r="F181" s="82">
        <f t="shared" si="14"/>
        <v>2</v>
      </c>
      <c r="G181" s="82">
        <f t="shared" si="12"/>
        <v>0</v>
      </c>
    </row>
    <row r="182" spans="1:7" ht="15.75" customHeight="1">
      <c r="A182" s="82">
        <f t="shared" si="13"/>
        <v>177</v>
      </c>
      <c r="B182" s="89" t="s">
        <v>2351</v>
      </c>
      <c r="C182" s="81" t="s">
        <v>2365</v>
      </c>
      <c r="D182" s="100"/>
      <c r="E182" s="95">
        <v>2</v>
      </c>
      <c r="F182" s="82">
        <f t="shared" si="14"/>
        <v>2</v>
      </c>
      <c r="G182" s="82">
        <f t="shared" si="12"/>
        <v>0</v>
      </c>
    </row>
    <row r="183" spans="1:7" ht="15.75" customHeight="1">
      <c r="A183" s="82">
        <f t="shared" si="13"/>
        <v>178</v>
      </c>
      <c r="B183" s="89" t="s">
        <v>2351</v>
      </c>
      <c r="C183" s="81" t="s">
        <v>2366</v>
      </c>
      <c r="D183" s="100"/>
      <c r="E183" s="95">
        <v>2</v>
      </c>
      <c r="F183" s="82">
        <f t="shared" si="14"/>
        <v>2</v>
      </c>
      <c r="G183" s="82">
        <f t="shared" si="12"/>
        <v>0</v>
      </c>
    </row>
    <row r="184" spans="1:7" ht="15.75" customHeight="1">
      <c r="A184" s="82">
        <f t="shared" si="13"/>
        <v>179</v>
      </c>
      <c r="B184" s="89" t="s">
        <v>2351</v>
      </c>
      <c r="C184" s="81" t="s">
        <v>2208</v>
      </c>
      <c r="D184" s="100"/>
      <c r="E184" s="95">
        <v>2</v>
      </c>
      <c r="F184" s="82">
        <f t="shared" si="14"/>
        <v>2</v>
      </c>
      <c r="G184" s="82">
        <f t="shared" si="12"/>
        <v>0</v>
      </c>
    </row>
    <row r="185" spans="1:7" ht="15.75" customHeight="1">
      <c r="A185" s="82">
        <f t="shared" si="13"/>
        <v>180</v>
      </c>
      <c r="B185" s="89" t="s">
        <v>2351</v>
      </c>
      <c r="C185" s="81" t="s">
        <v>2367</v>
      </c>
      <c r="D185" s="100"/>
      <c r="E185" s="95">
        <v>2</v>
      </c>
      <c r="F185" s="82">
        <f t="shared" si="14"/>
        <v>2</v>
      </c>
      <c r="G185" s="82">
        <f t="shared" si="12"/>
        <v>0</v>
      </c>
    </row>
    <row r="186" spans="1:7" ht="15.75" customHeight="1">
      <c r="A186" s="82">
        <f t="shared" si="13"/>
        <v>181</v>
      </c>
      <c r="B186" s="89" t="s">
        <v>2351</v>
      </c>
      <c r="C186" s="81" t="s">
        <v>2368</v>
      </c>
      <c r="D186" s="100"/>
      <c r="E186" s="95">
        <v>2</v>
      </c>
      <c r="F186" s="82">
        <f t="shared" si="14"/>
        <v>2</v>
      </c>
      <c r="G186" s="82">
        <f t="shared" si="12"/>
        <v>0</v>
      </c>
    </row>
    <row r="187" spans="1:7" ht="15.75" customHeight="1">
      <c r="A187" s="82">
        <f t="shared" si="13"/>
        <v>182</v>
      </c>
      <c r="B187" s="89" t="s">
        <v>2351</v>
      </c>
      <c r="C187" s="81" t="s">
        <v>2369</v>
      </c>
      <c r="D187" s="100"/>
      <c r="E187" s="95">
        <v>2</v>
      </c>
      <c r="F187" s="82">
        <f t="shared" si="14"/>
        <v>2</v>
      </c>
      <c r="G187" s="82">
        <f t="shared" si="12"/>
        <v>0</v>
      </c>
    </row>
    <row r="188" spans="1:7" ht="15.75" customHeight="1">
      <c r="A188" s="82">
        <f t="shared" si="13"/>
        <v>183</v>
      </c>
      <c r="B188" s="89" t="s">
        <v>2351</v>
      </c>
      <c r="C188" s="81" t="s">
        <v>2370</v>
      </c>
      <c r="D188" s="100"/>
      <c r="E188" s="95">
        <v>2</v>
      </c>
      <c r="F188" s="82">
        <f t="shared" si="14"/>
        <v>2</v>
      </c>
      <c r="G188" s="82">
        <f t="shared" si="12"/>
        <v>0</v>
      </c>
    </row>
    <row r="189" spans="1:7" ht="15.75" customHeight="1">
      <c r="A189" s="82">
        <f t="shared" si="13"/>
        <v>184</v>
      </c>
      <c r="B189" s="101" t="s">
        <v>2371</v>
      </c>
      <c r="C189" s="81" t="s">
        <v>2372</v>
      </c>
      <c r="D189" s="82" t="s">
        <v>2293</v>
      </c>
      <c r="E189" s="95">
        <v>1</v>
      </c>
      <c r="F189" s="82">
        <f t="shared" si="14"/>
        <v>1</v>
      </c>
      <c r="G189" s="82">
        <f t="shared" si="12"/>
        <v>0</v>
      </c>
    </row>
    <row r="190" spans="1:7" ht="15.75" customHeight="1">
      <c r="A190" s="82">
        <f t="shared" si="13"/>
        <v>185</v>
      </c>
      <c r="B190" s="84" t="s">
        <v>2373</v>
      </c>
      <c r="C190" s="81"/>
      <c r="D190" s="82" t="s">
        <v>2295</v>
      </c>
      <c r="E190" s="95">
        <v>0</v>
      </c>
      <c r="F190" s="82">
        <f t="shared" si="14"/>
        <v>0</v>
      </c>
      <c r="G190" s="82">
        <f t="shared" si="12"/>
        <v>0</v>
      </c>
    </row>
    <row r="191" spans="1:7" ht="15.75" customHeight="1">
      <c r="A191" s="82">
        <f t="shared" si="13"/>
        <v>186</v>
      </c>
      <c r="B191" s="97" t="s">
        <v>2374</v>
      </c>
      <c r="C191" s="81" t="s">
        <v>2375</v>
      </c>
      <c r="D191" s="100"/>
      <c r="E191" s="95">
        <v>2</v>
      </c>
      <c r="F191" s="82">
        <f t="shared" si="14"/>
        <v>2</v>
      </c>
      <c r="G191" s="82">
        <f t="shared" si="12"/>
        <v>0</v>
      </c>
    </row>
    <row r="192" spans="1:7" ht="15.75" customHeight="1">
      <c r="A192" s="82">
        <f t="shared" si="13"/>
        <v>187</v>
      </c>
      <c r="B192" s="97" t="s">
        <v>2374</v>
      </c>
      <c r="C192" s="81" t="s">
        <v>2376</v>
      </c>
      <c r="D192" s="100"/>
      <c r="E192" s="95">
        <v>2</v>
      </c>
      <c r="F192" s="82">
        <f t="shared" si="14"/>
        <v>2</v>
      </c>
      <c r="G192" s="82">
        <f t="shared" si="12"/>
        <v>0</v>
      </c>
    </row>
    <row r="193" spans="1:7" ht="15.75" customHeight="1">
      <c r="A193" s="82">
        <f t="shared" si="13"/>
        <v>188</v>
      </c>
      <c r="B193" s="97" t="s">
        <v>2374</v>
      </c>
      <c r="C193" s="81" t="s">
        <v>2377</v>
      </c>
      <c r="D193" s="100"/>
      <c r="E193" s="95">
        <v>2</v>
      </c>
      <c r="F193" s="82">
        <f t="shared" si="14"/>
        <v>2</v>
      </c>
      <c r="G193" s="82">
        <f t="shared" si="12"/>
        <v>0</v>
      </c>
    </row>
    <row r="194" spans="1:7" ht="15.75" customHeight="1">
      <c r="A194" s="82">
        <f t="shared" si="13"/>
        <v>189</v>
      </c>
      <c r="B194" s="97" t="s">
        <v>2374</v>
      </c>
      <c r="C194" s="81" t="s">
        <v>2378</v>
      </c>
      <c r="D194" s="100"/>
      <c r="E194" s="95">
        <v>2</v>
      </c>
      <c r="F194" s="82">
        <f t="shared" ref="F194:F227" si="15">IF(COUNTIF($C$6:$C$1001, C194)&gt;0, IF(E194&gt;1,2,1), 0)</f>
        <v>2</v>
      </c>
      <c r="G194" s="82">
        <f t="shared" si="12"/>
        <v>0</v>
      </c>
    </row>
    <row r="195" spans="1:7" ht="15.75" customHeight="1">
      <c r="A195" s="82">
        <f t="shared" si="13"/>
        <v>190</v>
      </c>
      <c r="B195" s="97" t="s">
        <v>2374</v>
      </c>
      <c r="C195" s="81" t="s">
        <v>2229</v>
      </c>
      <c r="D195" s="100"/>
      <c r="E195" s="95">
        <v>2</v>
      </c>
      <c r="F195" s="82">
        <f t="shared" si="15"/>
        <v>2</v>
      </c>
      <c r="G195" s="82">
        <f t="shared" si="12"/>
        <v>0</v>
      </c>
    </row>
    <row r="196" spans="1:7" ht="15.75" customHeight="1">
      <c r="A196" s="82">
        <f t="shared" si="13"/>
        <v>191</v>
      </c>
      <c r="B196" s="97" t="s">
        <v>2374</v>
      </c>
      <c r="C196" s="81" t="s">
        <v>2379</v>
      </c>
      <c r="D196" s="100"/>
      <c r="E196" s="95">
        <v>2</v>
      </c>
      <c r="F196" s="82">
        <f t="shared" si="15"/>
        <v>2</v>
      </c>
      <c r="G196" s="82">
        <f t="shared" si="12"/>
        <v>0</v>
      </c>
    </row>
    <row r="197" spans="1:7" ht="15.75" customHeight="1">
      <c r="A197" s="82">
        <f t="shared" si="13"/>
        <v>192</v>
      </c>
      <c r="B197" s="101" t="s">
        <v>2380</v>
      </c>
      <c r="C197" s="81" t="s">
        <v>2381</v>
      </c>
      <c r="D197" s="82" t="s">
        <v>2293</v>
      </c>
      <c r="E197" s="95">
        <v>2</v>
      </c>
      <c r="F197" s="82">
        <f t="shared" si="15"/>
        <v>2</v>
      </c>
      <c r="G197" s="82">
        <f t="shared" si="12"/>
        <v>0</v>
      </c>
    </row>
    <row r="198" spans="1:7" ht="15.75" customHeight="1">
      <c r="A198" s="82">
        <f t="shared" si="13"/>
        <v>193</v>
      </c>
      <c r="B198" s="84" t="s">
        <v>2382</v>
      </c>
      <c r="C198" s="81"/>
      <c r="D198" s="82" t="s">
        <v>2295</v>
      </c>
      <c r="E198" s="95">
        <v>0</v>
      </c>
      <c r="F198" s="82">
        <f t="shared" si="15"/>
        <v>0</v>
      </c>
      <c r="G198" s="82">
        <f t="shared" si="12"/>
        <v>0</v>
      </c>
    </row>
    <row r="199" spans="1:7" ht="15.75" customHeight="1">
      <c r="A199" s="82">
        <f t="shared" si="13"/>
        <v>194</v>
      </c>
      <c r="B199" s="97" t="s">
        <v>2383</v>
      </c>
      <c r="C199" s="81" t="s">
        <v>2220</v>
      </c>
      <c r="D199" s="100"/>
      <c r="E199" s="95">
        <v>2</v>
      </c>
      <c r="F199" s="82">
        <f t="shared" si="15"/>
        <v>2</v>
      </c>
      <c r="G199" s="82">
        <f t="shared" ref="G199:G233" si="16">E199-F199</f>
        <v>0</v>
      </c>
    </row>
    <row r="200" spans="1:7" ht="15.75" customHeight="1">
      <c r="A200" s="82">
        <f t="shared" ref="A200:A237" si="17">A199+1</f>
        <v>195</v>
      </c>
      <c r="B200" s="97" t="s">
        <v>2383</v>
      </c>
      <c r="C200" s="81" t="s">
        <v>2263</v>
      </c>
      <c r="D200" s="100"/>
      <c r="E200" s="95">
        <v>2</v>
      </c>
      <c r="F200" s="82">
        <f t="shared" si="15"/>
        <v>2</v>
      </c>
      <c r="G200" s="82">
        <f t="shared" si="16"/>
        <v>0</v>
      </c>
    </row>
    <row r="201" spans="1:7" ht="15.75" customHeight="1">
      <c r="A201" s="82">
        <f t="shared" si="17"/>
        <v>196</v>
      </c>
      <c r="B201" s="97" t="s">
        <v>2383</v>
      </c>
      <c r="C201" s="81" t="s">
        <v>2240</v>
      </c>
      <c r="D201" s="100"/>
      <c r="E201" s="95">
        <v>2</v>
      </c>
      <c r="F201" s="82">
        <f t="shared" si="15"/>
        <v>2</v>
      </c>
      <c r="G201" s="82">
        <f t="shared" si="16"/>
        <v>0</v>
      </c>
    </row>
    <row r="202" spans="1:7" ht="15.75" customHeight="1">
      <c r="A202" s="82">
        <f t="shared" si="17"/>
        <v>197</v>
      </c>
      <c r="B202" s="97" t="s">
        <v>2383</v>
      </c>
      <c r="C202" s="81" t="s">
        <v>2384</v>
      </c>
      <c r="D202" s="100"/>
      <c r="E202" s="95">
        <v>2</v>
      </c>
      <c r="F202" s="82">
        <f t="shared" si="15"/>
        <v>2</v>
      </c>
      <c r="G202" s="82">
        <f t="shared" si="16"/>
        <v>0</v>
      </c>
    </row>
    <row r="203" spans="1:7" ht="15.75" customHeight="1">
      <c r="A203" s="82">
        <f t="shared" si="17"/>
        <v>198</v>
      </c>
      <c r="B203" s="97" t="s">
        <v>2383</v>
      </c>
      <c r="C203" s="81" t="s">
        <v>2385</v>
      </c>
      <c r="D203" s="100"/>
      <c r="E203" s="95">
        <v>2</v>
      </c>
      <c r="F203" s="82">
        <f t="shared" si="15"/>
        <v>2</v>
      </c>
      <c r="G203" s="82">
        <f t="shared" si="16"/>
        <v>0</v>
      </c>
    </row>
    <row r="204" spans="1:7" ht="15.75" customHeight="1">
      <c r="A204" s="82">
        <f t="shared" si="17"/>
        <v>199</v>
      </c>
      <c r="B204" s="97" t="s">
        <v>2383</v>
      </c>
      <c r="C204" s="81" t="s">
        <v>2386</v>
      </c>
      <c r="D204" s="100"/>
      <c r="E204" s="95">
        <v>2</v>
      </c>
      <c r="F204" s="82">
        <f t="shared" si="15"/>
        <v>2</v>
      </c>
      <c r="G204" s="82">
        <f t="shared" si="16"/>
        <v>0</v>
      </c>
    </row>
    <row r="205" spans="1:7" ht="15.75" customHeight="1">
      <c r="A205" s="82">
        <f t="shared" si="17"/>
        <v>200</v>
      </c>
      <c r="B205" s="97" t="s">
        <v>2383</v>
      </c>
      <c r="C205" s="81" t="s">
        <v>2387</v>
      </c>
      <c r="D205" s="100"/>
      <c r="E205" s="95">
        <v>2</v>
      </c>
      <c r="F205" s="82">
        <f t="shared" si="15"/>
        <v>2</v>
      </c>
      <c r="G205" s="82">
        <f t="shared" si="16"/>
        <v>0</v>
      </c>
    </row>
    <row r="206" spans="1:7" ht="15.75" customHeight="1">
      <c r="A206" s="82">
        <f t="shared" si="17"/>
        <v>201</v>
      </c>
      <c r="B206" s="97" t="s">
        <v>2383</v>
      </c>
      <c r="C206" s="81" t="s">
        <v>2388</v>
      </c>
      <c r="D206" s="100"/>
      <c r="E206" s="95">
        <v>2</v>
      </c>
      <c r="F206" s="82">
        <f t="shared" si="15"/>
        <v>2</v>
      </c>
      <c r="G206" s="82">
        <f t="shared" si="16"/>
        <v>0</v>
      </c>
    </row>
    <row r="207" spans="1:7" ht="15.75" customHeight="1">
      <c r="A207" s="82">
        <f t="shared" si="17"/>
        <v>202</v>
      </c>
      <c r="B207" s="97" t="s">
        <v>2383</v>
      </c>
      <c r="C207" s="81" t="s">
        <v>2389</v>
      </c>
      <c r="D207" s="100"/>
      <c r="E207" s="95">
        <v>2</v>
      </c>
      <c r="F207" s="82">
        <f t="shared" si="15"/>
        <v>2</v>
      </c>
      <c r="G207" s="82">
        <f t="shared" si="16"/>
        <v>0</v>
      </c>
    </row>
    <row r="208" spans="1:7" ht="15.75" customHeight="1">
      <c r="A208" s="82">
        <f t="shared" si="17"/>
        <v>203</v>
      </c>
      <c r="B208" s="97" t="s">
        <v>2383</v>
      </c>
      <c r="C208" s="81" t="s">
        <v>2390</v>
      </c>
      <c r="D208" s="100"/>
      <c r="E208" s="95">
        <v>2</v>
      </c>
      <c r="F208" s="82">
        <f t="shared" si="15"/>
        <v>2</v>
      </c>
      <c r="G208" s="82">
        <f t="shared" si="16"/>
        <v>0</v>
      </c>
    </row>
    <row r="209" spans="1:7" ht="15.75" customHeight="1">
      <c r="A209" s="82">
        <f t="shared" si="17"/>
        <v>204</v>
      </c>
      <c r="B209" s="97" t="s">
        <v>2383</v>
      </c>
      <c r="C209" s="81" t="s">
        <v>2391</v>
      </c>
      <c r="D209" s="100"/>
      <c r="E209" s="95">
        <v>2</v>
      </c>
      <c r="F209" s="82">
        <f t="shared" si="15"/>
        <v>2</v>
      </c>
      <c r="G209" s="82">
        <f t="shared" si="16"/>
        <v>0</v>
      </c>
    </row>
    <row r="210" spans="1:7" ht="15.75" customHeight="1">
      <c r="A210" s="82">
        <f t="shared" si="17"/>
        <v>205</v>
      </c>
      <c r="B210" s="97" t="s">
        <v>2383</v>
      </c>
      <c r="C210" s="81" t="s">
        <v>2392</v>
      </c>
      <c r="D210" s="100"/>
      <c r="E210" s="95">
        <v>2</v>
      </c>
      <c r="F210" s="82">
        <f t="shared" ref="F210" si="18">IF(COUNTIF($C$6:$C$1001, C210)&gt;0, IF(E210&gt;1,2,1), 0)</f>
        <v>2</v>
      </c>
      <c r="G210" s="82">
        <f t="shared" ref="G210" si="19">E210-F210</f>
        <v>0</v>
      </c>
    </row>
    <row r="211" spans="1:7" ht="15.75" customHeight="1">
      <c r="A211" s="82">
        <f t="shared" si="17"/>
        <v>206</v>
      </c>
      <c r="B211" s="101" t="s">
        <v>2393</v>
      </c>
      <c r="C211" s="81" t="s">
        <v>2394</v>
      </c>
      <c r="D211" s="82" t="s">
        <v>2293</v>
      </c>
      <c r="E211" s="95">
        <v>2</v>
      </c>
      <c r="F211" s="82">
        <f t="shared" si="15"/>
        <v>2</v>
      </c>
      <c r="G211" s="82">
        <f t="shared" si="16"/>
        <v>0</v>
      </c>
    </row>
    <row r="212" spans="1:7" ht="15.75" customHeight="1">
      <c r="A212" s="82">
        <f t="shared" si="17"/>
        <v>207</v>
      </c>
      <c r="B212" s="84" t="s">
        <v>2395</v>
      </c>
      <c r="C212" s="81"/>
      <c r="D212" s="82" t="s">
        <v>2295</v>
      </c>
      <c r="E212" s="95">
        <v>0</v>
      </c>
      <c r="F212" s="82">
        <f t="shared" si="15"/>
        <v>0</v>
      </c>
      <c r="G212" s="82">
        <f t="shared" si="16"/>
        <v>0</v>
      </c>
    </row>
    <row r="213" spans="1:7" ht="15.75" customHeight="1">
      <c r="A213" s="82">
        <f t="shared" si="17"/>
        <v>208</v>
      </c>
      <c r="B213" s="97" t="s">
        <v>2396</v>
      </c>
      <c r="C213" s="81" t="s">
        <v>2394</v>
      </c>
      <c r="D213" s="100"/>
      <c r="E213" s="95">
        <v>2</v>
      </c>
      <c r="F213" s="82">
        <f t="shared" si="15"/>
        <v>2</v>
      </c>
      <c r="G213" s="82">
        <f t="shared" si="16"/>
        <v>0</v>
      </c>
    </row>
    <row r="214" spans="1:7" ht="15.75" customHeight="1">
      <c r="A214" s="82">
        <f t="shared" si="17"/>
        <v>209</v>
      </c>
      <c r="B214" s="97" t="s">
        <v>2396</v>
      </c>
      <c r="C214" s="81" t="s">
        <v>2397</v>
      </c>
      <c r="D214" s="100"/>
      <c r="E214" s="95">
        <v>2</v>
      </c>
      <c r="F214" s="82">
        <f t="shared" si="15"/>
        <v>2</v>
      </c>
      <c r="G214" s="82">
        <f t="shared" si="16"/>
        <v>0</v>
      </c>
    </row>
    <row r="215" spans="1:7" ht="15.75" customHeight="1">
      <c r="A215" s="82">
        <f t="shared" si="17"/>
        <v>210</v>
      </c>
      <c r="B215" s="97" t="s">
        <v>2396</v>
      </c>
      <c r="C215" s="81"/>
      <c r="D215" s="100"/>
      <c r="E215" s="95">
        <v>0</v>
      </c>
      <c r="F215" s="82">
        <f t="shared" si="15"/>
        <v>0</v>
      </c>
      <c r="G215" s="82">
        <f t="shared" si="16"/>
        <v>0</v>
      </c>
    </row>
    <row r="216" spans="1:7" ht="15.75" customHeight="1">
      <c r="A216" s="82">
        <f t="shared" si="17"/>
        <v>211</v>
      </c>
      <c r="B216" s="97" t="s">
        <v>2396</v>
      </c>
      <c r="C216" s="81" t="s">
        <v>2398</v>
      </c>
      <c r="D216" s="100"/>
      <c r="E216" s="95">
        <v>2</v>
      </c>
      <c r="F216" s="82">
        <f t="shared" si="15"/>
        <v>2</v>
      </c>
      <c r="G216" s="82">
        <f t="shared" si="16"/>
        <v>0</v>
      </c>
    </row>
    <row r="217" spans="1:7" ht="15.75" customHeight="1">
      <c r="A217" s="82">
        <f t="shared" si="17"/>
        <v>212</v>
      </c>
      <c r="B217" s="97" t="s">
        <v>2396</v>
      </c>
      <c r="C217" s="81" t="s">
        <v>2399</v>
      </c>
      <c r="D217" s="100"/>
      <c r="E217" s="95">
        <v>2</v>
      </c>
      <c r="F217" s="82">
        <f t="shared" si="15"/>
        <v>2</v>
      </c>
      <c r="G217" s="82">
        <f t="shared" si="16"/>
        <v>0</v>
      </c>
    </row>
    <row r="218" spans="1:7" ht="15.75" customHeight="1">
      <c r="A218" s="82">
        <f t="shared" si="17"/>
        <v>213</v>
      </c>
      <c r="B218" s="97" t="s">
        <v>2396</v>
      </c>
      <c r="C218" s="81" t="s">
        <v>1311</v>
      </c>
      <c r="D218" s="100"/>
      <c r="E218" s="95">
        <v>2</v>
      </c>
      <c r="F218" s="82">
        <f t="shared" ref="F218" si="20">IF(COUNTIF($C$6:$C$1001, C218)&gt;0, IF(E218&gt;1,2,1), 0)</f>
        <v>2</v>
      </c>
      <c r="G218" s="82">
        <f t="shared" ref="G218" si="21">E218-F218</f>
        <v>0</v>
      </c>
    </row>
    <row r="219" spans="1:7" ht="15.75" customHeight="1">
      <c r="A219" s="82">
        <f t="shared" si="17"/>
        <v>214</v>
      </c>
      <c r="B219" s="101" t="s">
        <v>2400</v>
      </c>
      <c r="C219" s="81" t="s">
        <v>2401</v>
      </c>
      <c r="D219" s="82" t="s">
        <v>2293</v>
      </c>
      <c r="E219" s="95">
        <v>1</v>
      </c>
      <c r="F219" s="82">
        <f t="shared" si="15"/>
        <v>1</v>
      </c>
      <c r="G219" s="82">
        <f t="shared" si="16"/>
        <v>0</v>
      </c>
    </row>
    <row r="220" spans="1:7" ht="15.75" customHeight="1">
      <c r="A220" s="82">
        <f t="shared" si="17"/>
        <v>215</v>
      </c>
      <c r="B220" s="84" t="s">
        <v>2402</v>
      </c>
      <c r="C220" s="81"/>
      <c r="D220" s="82" t="s">
        <v>2295</v>
      </c>
      <c r="E220" s="95">
        <v>0</v>
      </c>
      <c r="F220" s="82">
        <f t="shared" si="15"/>
        <v>0</v>
      </c>
      <c r="G220" s="82">
        <f t="shared" si="16"/>
        <v>0</v>
      </c>
    </row>
    <row r="221" spans="1:7" ht="15.75" customHeight="1">
      <c r="A221" s="82">
        <f t="shared" si="17"/>
        <v>216</v>
      </c>
      <c r="B221" s="97" t="s">
        <v>2403</v>
      </c>
      <c r="C221" s="81" t="s">
        <v>2404</v>
      </c>
      <c r="D221" s="100"/>
      <c r="E221" s="95">
        <v>2</v>
      </c>
      <c r="F221" s="82">
        <f t="shared" si="15"/>
        <v>2</v>
      </c>
      <c r="G221" s="82">
        <f t="shared" si="16"/>
        <v>0</v>
      </c>
    </row>
    <row r="222" spans="1:7" ht="15.75" customHeight="1">
      <c r="A222" s="82">
        <f t="shared" si="17"/>
        <v>217</v>
      </c>
      <c r="B222" s="97" t="s">
        <v>2403</v>
      </c>
      <c r="C222" s="81"/>
      <c r="D222" s="100"/>
      <c r="E222" s="95">
        <v>2</v>
      </c>
      <c r="F222" s="82">
        <f t="shared" si="15"/>
        <v>0</v>
      </c>
      <c r="G222" s="82">
        <f t="shared" si="16"/>
        <v>2</v>
      </c>
    </row>
    <row r="223" spans="1:7" ht="15.75" customHeight="1">
      <c r="A223" s="82">
        <f t="shared" si="17"/>
        <v>218</v>
      </c>
      <c r="B223" s="97" t="s">
        <v>2403</v>
      </c>
      <c r="C223" s="81" t="s">
        <v>2224</v>
      </c>
      <c r="D223" s="100"/>
      <c r="E223" s="95">
        <v>2</v>
      </c>
      <c r="F223" s="82">
        <f t="shared" si="15"/>
        <v>2</v>
      </c>
      <c r="G223" s="82">
        <f t="shared" si="16"/>
        <v>0</v>
      </c>
    </row>
    <row r="224" spans="1:7" ht="15.75" customHeight="1">
      <c r="A224" s="82">
        <f t="shared" si="17"/>
        <v>219</v>
      </c>
      <c r="B224" s="97" t="s">
        <v>2403</v>
      </c>
      <c r="C224" s="81" t="s">
        <v>2401</v>
      </c>
      <c r="D224" s="100"/>
      <c r="E224" s="95">
        <v>2</v>
      </c>
      <c r="F224" s="82">
        <f t="shared" si="15"/>
        <v>2</v>
      </c>
      <c r="G224" s="82">
        <f t="shared" si="16"/>
        <v>0</v>
      </c>
    </row>
    <row r="225" spans="1:7" ht="15.75" customHeight="1">
      <c r="A225" s="82">
        <f t="shared" si="17"/>
        <v>220</v>
      </c>
      <c r="B225" s="97" t="s">
        <v>2403</v>
      </c>
      <c r="C225" s="81" t="s">
        <v>2405</v>
      </c>
      <c r="D225" s="100"/>
      <c r="E225" s="95">
        <v>2</v>
      </c>
      <c r="F225" s="82">
        <f t="shared" si="15"/>
        <v>2</v>
      </c>
      <c r="G225" s="82">
        <f t="shared" si="16"/>
        <v>0</v>
      </c>
    </row>
    <row r="226" spans="1:7" ht="15.75" customHeight="1">
      <c r="A226" s="82">
        <f t="shared" si="17"/>
        <v>221</v>
      </c>
      <c r="B226" s="97" t="s">
        <v>2403</v>
      </c>
      <c r="C226" s="81" t="s">
        <v>2253</v>
      </c>
      <c r="D226" s="100"/>
      <c r="E226" s="95">
        <v>2</v>
      </c>
      <c r="F226" s="82">
        <f t="shared" si="15"/>
        <v>2</v>
      </c>
      <c r="G226" s="82">
        <f t="shared" si="16"/>
        <v>0</v>
      </c>
    </row>
    <row r="227" spans="1:7" ht="15.75" customHeight="1">
      <c r="A227" s="82">
        <f t="shared" si="17"/>
        <v>222</v>
      </c>
      <c r="B227" s="89" t="s">
        <v>2403</v>
      </c>
      <c r="C227" s="81" t="s">
        <v>2256</v>
      </c>
      <c r="D227" s="100"/>
      <c r="E227" s="95">
        <v>2</v>
      </c>
      <c r="F227" s="82">
        <f t="shared" si="15"/>
        <v>2</v>
      </c>
      <c r="G227" s="82">
        <f t="shared" si="16"/>
        <v>0</v>
      </c>
    </row>
    <row r="228" spans="1:7" ht="15.75" customHeight="1">
      <c r="A228" s="82">
        <f t="shared" si="17"/>
        <v>223</v>
      </c>
      <c r="B228" s="89" t="s">
        <v>2403</v>
      </c>
      <c r="C228" s="81" t="s">
        <v>2406</v>
      </c>
      <c r="D228" s="100"/>
      <c r="E228" s="95">
        <v>2</v>
      </c>
      <c r="F228" s="82">
        <f t="shared" ref="F228:F230" si="22">IF(COUNTIF($C$6:$C$1001, C228)&gt;0, IF(E228&gt;1,2,1), 0)</f>
        <v>2</v>
      </c>
      <c r="G228" s="82">
        <f t="shared" si="16"/>
        <v>0</v>
      </c>
    </row>
    <row r="229" spans="1:7" ht="15.75" customHeight="1">
      <c r="A229" s="82">
        <f t="shared" si="17"/>
        <v>224</v>
      </c>
      <c r="B229" s="89" t="s">
        <v>2403</v>
      </c>
      <c r="C229" s="81" t="s">
        <v>2407</v>
      </c>
      <c r="D229" s="100"/>
      <c r="E229" s="95">
        <v>2</v>
      </c>
      <c r="F229" s="82">
        <f t="shared" si="22"/>
        <v>2</v>
      </c>
      <c r="G229" s="82">
        <f t="shared" si="16"/>
        <v>0</v>
      </c>
    </row>
    <row r="230" spans="1:7" ht="15.75" customHeight="1">
      <c r="A230" s="82">
        <f t="shared" si="17"/>
        <v>225</v>
      </c>
      <c r="B230" s="89" t="s">
        <v>2403</v>
      </c>
      <c r="C230" s="81" t="s">
        <v>2408</v>
      </c>
      <c r="D230" s="100"/>
      <c r="E230" s="95">
        <v>2</v>
      </c>
      <c r="F230" s="82">
        <f t="shared" si="22"/>
        <v>2</v>
      </c>
      <c r="G230" s="82">
        <f t="shared" si="16"/>
        <v>0</v>
      </c>
    </row>
    <row r="231" spans="1:7" ht="15.75" customHeight="1">
      <c r="A231" s="82">
        <f t="shared" si="17"/>
        <v>226</v>
      </c>
      <c r="B231" s="89" t="s">
        <v>2403</v>
      </c>
      <c r="C231" s="103" t="s">
        <v>2409</v>
      </c>
      <c r="D231" s="100"/>
      <c r="E231" s="95">
        <v>2</v>
      </c>
      <c r="F231" s="82">
        <f t="shared" ref="F231:F233" si="23">IF(COUNTIF($C$6:$C$1001, C231)&gt;0, IF(E231&gt;1,2,1), 0)</f>
        <v>2</v>
      </c>
      <c r="G231" s="82">
        <f t="shared" si="16"/>
        <v>0</v>
      </c>
    </row>
    <row r="232" spans="1:7" ht="15.75" customHeight="1">
      <c r="A232" s="82">
        <f t="shared" si="17"/>
        <v>227</v>
      </c>
      <c r="B232" s="89" t="s">
        <v>2403</v>
      </c>
      <c r="C232" s="104" t="s">
        <v>2410</v>
      </c>
      <c r="D232" s="100"/>
      <c r="E232" s="95">
        <v>2</v>
      </c>
      <c r="F232" s="82">
        <f t="shared" si="23"/>
        <v>2</v>
      </c>
      <c r="G232" s="82">
        <f t="shared" si="16"/>
        <v>0</v>
      </c>
    </row>
    <row r="233" spans="1:7" ht="15.75" customHeight="1">
      <c r="A233" s="82">
        <f t="shared" si="17"/>
        <v>228</v>
      </c>
      <c r="B233" s="89" t="s">
        <v>2403</v>
      </c>
      <c r="C233" s="104" t="s">
        <v>2411</v>
      </c>
      <c r="D233" s="100"/>
      <c r="E233" s="95">
        <v>2</v>
      </c>
      <c r="F233" s="82">
        <f t="shared" si="23"/>
        <v>2</v>
      </c>
      <c r="G233" s="82">
        <f t="shared" si="16"/>
        <v>0</v>
      </c>
    </row>
    <row r="234" spans="1:7" ht="15" customHeight="1">
      <c r="A234" s="82">
        <f t="shared" si="17"/>
        <v>229</v>
      </c>
      <c r="B234" s="89" t="s">
        <v>2403</v>
      </c>
      <c r="C234" s="104" t="s">
        <v>1307</v>
      </c>
      <c r="D234" s="100"/>
      <c r="E234" s="95">
        <v>2</v>
      </c>
      <c r="F234" s="82">
        <f t="shared" ref="F234:F236" si="24">IF(COUNTIF($C$6:$C$1001, C234)&gt;0, IF(E234&gt;1,2,1), 0)</f>
        <v>2</v>
      </c>
      <c r="G234" s="82">
        <f t="shared" ref="G234:G236" si="25">E234-F234</f>
        <v>0</v>
      </c>
    </row>
    <row r="235" spans="1:7" ht="15" customHeight="1">
      <c r="A235" s="82">
        <f t="shared" si="17"/>
        <v>230</v>
      </c>
      <c r="B235" s="89" t="s">
        <v>2403</v>
      </c>
      <c r="C235" s="104" t="s">
        <v>942</v>
      </c>
      <c r="D235" s="100"/>
      <c r="E235" s="95">
        <v>2</v>
      </c>
      <c r="F235" s="82">
        <f t="shared" si="24"/>
        <v>2</v>
      </c>
      <c r="G235" s="82">
        <f t="shared" si="25"/>
        <v>0</v>
      </c>
    </row>
    <row r="236" spans="1:7" ht="15" customHeight="1">
      <c r="A236" s="82">
        <f t="shared" si="17"/>
        <v>231</v>
      </c>
      <c r="B236" s="89" t="s">
        <v>2403</v>
      </c>
      <c r="C236" s="104" t="s">
        <v>1315</v>
      </c>
      <c r="D236" s="100"/>
      <c r="E236" s="95">
        <v>2</v>
      </c>
      <c r="F236" s="82">
        <f t="shared" si="24"/>
        <v>2</v>
      </c>
      <c r="G236" s="82">
        <f t="shared" si="25"/>
        <v>0</v>
      </c>
    </row>
    <row r="237" spans="1:7" ht="15" customHeight="1">
      <c r="A237" s="82">
        <f t="shared" si="17"/>
        <v>232</v>
      </c>
      <c r="B237" s="89" t="s">
        <v>2403</v>
      </c>
      <c r="C237" s="104" t="s">
        <v>1320</v>
      </c>
      <c r="D237" s="100"/>
      <c r="E237" s="95">
        <v>2</v>
      </c>
      <c r="F237" s="82">
        <f t="shared" ref="F237" si="26">IF(COUNTIF($C$6:$C$1001, C237)&gt;0, IF(E237&gt;1,2,1), 0)</f>
        <v>2</v>
      </c>
      <c r="G237" s="82">
        <f t="shared" ref="G237" si="27">E237-F237</f>
        <v>0</v>
      </c>
    </row>
  </sheetData>
  <autoFilter ref="A5:G5" xr:uid="{88CD2024-A97B-42A6-B21D-6090ECAABB12}"/>
  <mergeCells count="3">
    <mergeCell ref="A1:F1"/>
    <mergeCell ref="A2:F2"/>
    <mergeCell ref="A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0CF0-CCED-4D85-8655-0B7586BA8ACE}">
  <dimension ref="A1"/>
  <sheetViews>
    <sheetView workbookViewId="0">
      <selection activeCell="H11" sqref="H11"/>
    </sheetView>
  </sheetViews>
  <sheetFormatPr defaultColWidth="8.85546875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A5FD-E110-4C64-A51C-83B49A4BD1AD}">
  <dimension ref="A1:K180"/>
  <sheetViews>
    <sheetView workbookViewId="0">
      <selection activeCell="C122" sqref="C122"/>
    </sheetView>
  </sheetViews>
  <sheetFormatPr defaultColWidth="9.140625" defaultRowHeight="15.75" customHeight="1"/>
  <cols>
    <col min="1" max="1" width="5.85546875" style="161" bestFit="1" customWidth="1"/>
    <col min="2" max="2" width="35" style="161" bestFit="1" customWidth="1"/>
    <col min="3" max="3" width="14.140625" style="161" bestFit="1" customWidth="1"/>
    <col min="4" max="4" width="8.140625" style="161" bestFit="1" customWidth="1"/>
    <col min="5" max="5" width="19.42578125" style="161" bestFit="1" customWidth="1"/>
    <col min="6" max="6" width="52.42578125" style="161" bestFit="1" customWidth="1"/>
    <col min="7" max="7" width="11.140625" style="161" bestFit="1" customWidth="1"/>
    <col min="8" max="10" width="9.140625" style="161"/>
    <col min="11" max="11" width="36.140625" style="161" bestFit="1" customWidth="1"/>
    <col min="12" max="16383" width="9.140625" style="161"/>
    <col min="16384" max="16384" width="9.140625" style="161" bestFit="1" customWidth="1"/>
  </cols>
  <sheetData>
    <row r="1" spans="1:11" ht="15.95">
      <c r="A1" s="31" t="s">
        <v>0</v>
      </c>
      <c r="B1" s="31" t="s">
        <v>758</v>
      </c>
      <c r="C1" s="31" t="s">
        <v>1540</v>
      </c>
      <c r="D1" s="31" t="s">
        <v>3</v>
      </c>
      <c r="E1" s="185" t="s">
        <v>2147</v>
      </c>
      <c r="F1" s="185" t="s">
        <v>811</v>
      </c>
      <c r="G1" s="185" t="s">
        <v>760</v>
      </c>
    </row>
    <row r="2" spans="1:11" ht="18">
      <c r="A2" s="31">
        <v>1</v>
      </c>
      <c r="B2" s="32" t="s">
        <v>474</v>
      </c>
      <c r="C2" s="32" t="s">
        <v>20</v>
      </c>
      <c r="D2" s="31" t="s">
        <v>21</v>
      </c>
      <c r="E2" s="185" t="str">
        <f>IF(D2="Dosen",VLOOKUP('Join TPA Dosen'!B2,Dosen!B:BC,6,FALSE),VLOOKUP(B2,TPA!B:BE,5,FALSE))</f>
        <v>0460740641130052</v>
      </c>
      <c r="F2" s="185" t="str">
        <f>IF(D2="Dosen",VLOOKUP('Join TPA Dosen'!B2,Dosen!B:BC,48,FALSE),VLOOKUP(B2,TPA!B:BE,52,FALSE))</f>
        <v>Ir. Tri Agus Djoko Kuntjoro, M.T.</v>
      </c>
      <c r="G2" s="185" t="str">
        <f>IF(D2="Dosen",VLOOKUP('Join TPA Dosen'!B2,Dosen!B:BC,32,FALSE),VLOOKUP(B2,TPA!B:BE,44,FALSE))</f>
        <v> </v>
      </c>
      <c r="K2" s="132"/>
    </row>
    <row r="3" spans="1:11" ht="18">
      <c r="A3" s="31">
        <f>A2+1</f>
        <v>2</v>
      </c>
      <c r="B3" s="32" t="s">
        <v>339</v>
      </c>
      <c r="C3" s="32" t="s">
        <v>20</v>
      </c>
      <c r="D3" s="31" t="s">
        <v>21</v>
      </c>
      <c r="E3" s="185" t="str">
        <f>IF(D3="Dosen",VLOOKUP('Join TPA Dosen'!B3,Dosen!B:BC,6,FALSE),VLOOKUP(B3,TPA!B:BE,5,FALSE))</f>
        <v>7945765666130292</v>
      </c>
      <c r="F3" s="185" t="str">
        <f>IF(D3="Dosen",VLOOKUP('Join TPA Dosen'!B3,Dosen!B:BC,48,FALSE),VLOOKUP(B3,TPA!B:BE,52,FALSE))</f>
        <v>Dwi Edi Setyawan, S.T., M.T.</v>
      </c>
      <c r="G3" s="185" t="str">
        <f>IF(D3="Dosen",VLOOKUP('Join TPA Dosen'!B3,Dosen!B:BC,32,FALSE),VLOOKUP(B3,TPA!B:BE,44,FALSE))</f>
        <v> </v>
      </c>
      <c r="K3" s="132"/>
    </row>
    <row r="4" spans="1:11" ht="18">
      <c r="A4" s="31">
        <f t="shared" ref="A4:A67" si="0">A3+1</f>
        <v>3</v>
      </c>
      <c r="B4" s="32" t="s">
        <v>352</v>
      </c>
      <c r="C4" s="32" t="s">
        <v>20</v>
      </c>
      <c r="D4" s="31" t="s">
        <v>21</v>
      </c>
      <c r="E4" s="185" t="str">
        <f>IF(D4="Dosen",VLOOKUP('Join TPA Dosen'!B4,Dosen!B:BC,6,FALSE),VLOOKUP(B4,TPA!B:BE,5,FALSE))</f>
        <v>2953766667130262</v>
      </c>
      <c r="F4" s="185" t="str">
        <f>IF(D4="Dosen",VLOOKUP('Join TPA Dosen'!B4,Dosen!B:BC,48,FALSE),VLOOKUP(B4,TPA!B:BE,52,FALSE))</f>
        <v>Moch. Iskandar Riansyah, S.ST., M.T.</v>
      </c>
      <c r="G4" s="185" t="str">
        <f>IF(D4="Dosen",VLOOKUP('Join TPA Dosen'!B4,Dosen!B:BC,32,FALSE),VLOOKUP(B4,TPA!B:BE,44,FALSE))</f>
        <v> </v>
      </c>
      <c r="K4" s="132"/>
    </row>
    <row r="5" spans="1:11" ht="18">
      <c r="A5" s="31">
        <f t="shared" si="0"/>
        <v>4</v>
      </c>
      <c r="B5" s="32" t="s">
        <v>544</v>
      </c>
      <c r="C5" s="32" t="s">
        <v>20</v>
      </c>
      <c r="D5" s="31" t="s">
        <v>21</v>
      </c>
      <c r="E5" s="185" t="str">
        <f>IF(D5="Dosen",VLOOKUP('Join TPA Dosen'!B5,Dosen!B:BC,6,FALSE),VLOOKUP(B5,TPA!B:BE,5,FALSE))</f>
        <v>6940770671230302</v>
      </c>
      <c r="F5" s="185" t="str">
        <f>IF(D5="Dosen",VLOOKUP('Join TPA Dosen'!B5,Dosen!B:BC,48,FALSE),VLOOKUP(B5,TPA!B:BE,52,FALSE))</f>
        <v>Khodijah Amiroh, S.ST., M.T.</v>
      </c>
      <c r="G5" s="185" t="str">
        <f>IF(D5="Dosen",VLOOKUP('Join TPA Dosen'!B5,Dosen!B:BC,32,FALSE),VLOOKUP(B5,TPA!B:BE,44,FALSE))</f>
        <v> </v>
      </c>
      <c r="K5" s="132"/>
    </row>
    <row r="6" spans="1:11" ht="18">
      <c r="A6" s="31">
        <f t="shared" si="0"/>
        <v>5</v>
      </c>
      <c r="B6" s="32" t="s">
        <v>334</v>
      </c>
      <c r="C6" s="32" t="s">
        <v>20</v>
      </c>
      <c r="D6" s="31" t="s">
        <v>21</v>
      </c>
      <c r="E6" s="185" t="str">
        <f>IF(D6="Dosen",VLOOKUP('Join TPA Dosen'!B6,Dosen!B:BC,6,FALSE),VLOOKUP(B6,TPA!B:BE,5,FALSE))</f>
        <v>2857771672130342</v>
      </c>
      <c r="F6" s="185" t="str">
        <f>IF(D6="Dosen",VLOOKUP('Join TPA Dosen'!B6,Dosen!B:BC,48,FALSE),VLOOKUP(B6,TPA!B:BE,52,FALSE))</f>
        <v xml:space="preserve"> Dimas Adiputra, B.Sc., M.Phil., Ph.D.</v>
      </c>
      <c r="G6" s="185" t="str">
        <f>IF(D6="Dosen",VLOOKUP('Join TPA Dosen'!B6,Dosen!B:BC,32,FALSE),VLOOKUP(B6,TPA!B:BE,44,FALSE))</f>
        <v> </v>
      </c>
      <c r="K6" s="132"/>
    </row>
    <row r="7" spans="1:11" ht="18">
      <c r="A7" s="31">
        <f t="shared" si="0"/>
        <v>6</v>
      </c>
      <c r="B7" s="32" t="s">
        <v>343</v>
      </c>
      <c r="C7" s="32" t="s">
        <v>20</v>
      </c>
      <c r="D7" s="31" t="s">
        <v>21</v>
      </c>
      <c r="E7" s="185" t="str">
        <f>IF(D7="Dosen",VLOOKUP('Join TPA Dosen'!B7,Dosen!B:BC,6,FALSE),VLOOKUP(B7,TPA!B:BE,5,FALSE))</f>
        <v>5860770671130292</v>
      </c>
      <c r="F7" s="185" t="str">
        <f>IF(D7="Dosen",VLOOKUP('Join TPA Dosen'!B7,Dosen!B:BC,48,FALSE),VLOOKUP(B7,TPA!B:BE,52,FALSE))</f>
        <v>Dr. Isa Hafidz, S.T., M.T.</v>
      </c>
      <c r="G7" s="185" t="str">
        <f>IF(D7="Dosen",VLOOKUP('Join TPA Dosen'!B7,Dosen!B:BC,32,FALSE),VLOOKUP(B7,TPA!B:BE,44,FALSE))</f>
        <v> </v>
      </c>
      <c r="K7" s="132"/>
    </row>
    <row r="8" spans="1:11" ht="18">
      <c r="A8" s="31">
        <f t="shared" si="0"/>
        <v>7</v>
      </c>
      <c r="B8" s="32" t="s">
        <v>519</v>
      </c>
      <c r="C8" s="32" t="s">
        <v>20</v>
      </c>
      <c r="D8" s="31" t="s">
        <v>21</v>
      </c>
      <c r="E8" s="185" t="str">
        <f>IF(D8="Dosen",VLOOKUP('Join TPA Dosen'!B8,Dosen!B:BC,6,FALSE),VLOOKUP(B8,TPA!B:BE,5,FALSE))</f>
        <v>0345767668130303</v>
      </c>
      <c r="F8" s="185" t="str">
        <f>IF(D8="Dosen",VLOOKUP('Join TPA Dosen'!B8,Dosen!B:BC,48,FALSE),VLOOKUP(B8,TPA!B:BE,52,FALSE))</f>
        <v>Walid Maulana Hadiansyah, S.T., M.T.</v>
      </c>
      <c r="G8" s="185" t="str">
        <f>IF(D8="Dosen",VLOOKUP('Join TPA Dosen'!B8,Dosen!B:BC,32,FALSE),VLOOKUP(B8,TPA!B:BE,44,FALSE))</f>
        <v> </v>
      </c>
      <c r="K8" s="132"/>
    </row>
    <row r="9" spans="1:11" ht="18">
      <c r="A9" s="31">
        <f t="shared" si="0"/>
        <v>8</v>
      </c>
      <c r="B9" s="32" t="s">
        <v>536</v>
      </c>
      <c r="C9" s="32" t="s">
        <v>20</v>
      </c>
      <c r="D9" s="31" t="s">
        <v>21</v>
      </c>
      <c r="E9" s="185" t="str">
        <f>IF(D9="Dosen",VLOOKUP('Join TPA Dosen'!B9,Dosen!B:BC,6,FALSE),VLOOKUP(B9,TPA!B:BE,5,FALSE))</f>
        <v>9547765666230283</v>
      </c>
      <c r="F9" s="185" t="str">
        <f>IF(D9="Dosen",VLOOKUP('Join TPA Dosen'!B9,Dosen!B:BC,48,FALSE),VLOOKUP(B9,TPA!B:BE,52,FALSE))</f>
        <v>Farah Zakiyah Rahmanti, S.ST., M.T.</v>
      </c>
      <c r="G9" s="185" t="str">
        <f>IF(D9="Dosen",VLOOKUP('Join TPA Dosen'!B9,Dosen!B:BC,32,FALSE),VLOOKUP(B9,TPA!B:BE,44,FALSE))</f>
        <v> </v>
      </c>
      <c r="K9" s="132"/>
    </row>
    <row r="10" spans="1:11" ht="18">
      <c r="A10" s="31">
        <f t="shared" si="0"/>
        <v>9</v>
      </c>
      <c r="B10" s="32" t="s">
        <v>540</v>
      </c>
      <c r="C10" s="32" t="s">
        <v>20</v>
      </c>
      <c r="D10" s="31" t="s">
        <v>21</v>
      </c>
      <c r="E10" s="185" t="str">
        <f>IF(D10="Dosen",VLOOKUP('Join TPA Dosen'!B10,Dosen!B:BC,6,FALSE),VLOOKUP(B10,TPA!B:BE,5,FALSE))</f>
        <v>9449757658130112</v>
      </c>
      <c r="F10" s="185" t="str">
        <f>IF(D10="Dosen",VLOOKUP('Join TPA Dosen'!B10,Dosen!B:BC,48,FALSE),VLOOKUP(B10,TPA!B:BE,52,FALSE))</f>
        <v>Dr. Helmy Widyantara, S.Kom., M.Eng.</v>
      </c>
      <c r="G10" s="185" t="str">
        <f>IF(D10="Dosen",VLOOKUP('Join TPA Dosen'!B10,Dosen!B:BC,32,FALSE),VLOOKUP(B10,TPA!B:BE,44,FALSE))</f>
        <v> </v>
      </c>
      <c r="K10" s="132"/>
    </row>
    <row r="11" spans="1:11" ht="18">
      <c r="A11" s="31">
        <f t="shared" si="0"/>
        <v>10</v>
      </c>
      <c r="B11" s="32" t="s">
        <v>408</v>
      </c>
      <c r="C11" s="32" t="s">
        <v>20</v>
      </c>
      <c r="D11" s="31" t="s">
        <v>21</v>
      </c>
      <c r="E11" s="185" t="str">
        <f>IF(D11="Dosen",VLOOKUP('Join TPA Dosen'!B11,Dosen!B:BC,6,FALSE),VLOOKUP(B11,TPA!B:BE,5,FALSE))</f>
        <v>6536765666130262</v>
      </c>
      <c r="F11" s="185" t="str">
        <f>IF(D11="Dosen",VLOOKUP('Join TPA Dosen'!B11,Dosen!B:BC,48,FALSE),VLOOKUP(B11,TPA!B:BE,52,FALSE))</f>
        <v>Wahyu Andy Prastyabudi, S.Kom., M.Sc.</v>
      </c>
      <c r="G11" s="185" t="str">
        <f>IF(D11="Dosen",VLOOKUP('Join TPA Dosen'!B11,Dosen!B:BC,32,FALSE),VLOOKUP(B11,TPA!B:BE,44,FALSE))</f>
        <v> </v>
      </c>
      <c r="K11" s="132"/>
    </row>
    <row r="12" spans="1:11" ht="18">
      <c r="A12" s="31">
        <f t="shared" si="0"/>
        <v>11</v>
      </c>
      <c r="B12" s="32" t="s">
        <v>179</v>
      </c>
      <c r="C12" s="32" t="s">
        <v>20</v>
      </c>
      <c r="D12" s="31" t="s">
        <v>21</v>
      </c>
      <c r="E12" s="185" t="str">
        <f>IF(D12="Dosen",VLOOKUP('Join TPA Dosen'!B12,Dosen!B:BC,6,FALSE),VLOOKUP(B12,TPA!B:BE,5,FALSE))</f>
        <v>1862765666130262</v>
      </c>
      <c r="F12" s="185" t="str">
        <f>IF(D12="Dosen",VLOOKUP('Join TPA Dosen'!B12,Dosen!B:BC,48,FALSE),VLOOKUP(B12,TPA!B:BE,52,FALSE))</f>
        <v>Fidi Wincoko Putro, S.ST., M.Kom.</v>
      </c>
      <c r="G12" s="185" t="str">
        <f>IF(D12="Dosen",VLOOKUP('Join TPA Dosen'!B12,Dosen!B:BC,32,FALSE),VLOOKUP(B12,TPA!B:BE,44,FALSE))</f>
        <v> </v>
      </c>
      <c r="K12" s="132"/>
    </row>
    <row r="13" spans="1:11" ht="18">
      <c r="A13" s="31">
        <f t="shared" si="0"/>
        <v>12</v>
      </c>
      <c r="B13" s="32" t="s">
        <v>528</v>
      </c>
      <c r="C13" s="32" t="s">
        <v>20</v>
      </c>
      <c r="D13" s="31" t="s">
        <v>21</v>
      </c>
      <c r="E13" s="185" t="str">
        <f>IF(D13="Dosen",VLOOKUP('Join TPA Dosen'!B13,Dosen!B:BC,6,FALSE),VLOOKUP(B13,TPA!B:BE,5,FALSE))</f>
        <v>5960772673130242</v>
      </c>
      <c r="F13" s="185" t="str">
        <f>IF(D13="Dosen",VLOOKUP('Join TPA Dosen'!B13,Dosen!B:BC,48,FALSE),VLOOKUP(B13,TPA!B:BE,52,FALSE))</f>
        <v>Philip Tobianto Daely, S.T., M.Eng., Ph.D.</v>
      </c>
      <c r="G13" s="185" t="str">
        <f>IF(D13="Dosen",VLOOKUP('Join TPA Dosen'!B13,Dosen!B:BC,32,FALSE),VLOOKUP(B13,TPA!B:BE,44,FALSE))</f>
        <v> </v>
      </c>
      <c r="K13" s="132"/>
    </row>
    <row r="14" spans="1:11" ht="18">
      <c r="A14" s="31">
        <f t="shared" si="0"/>
        <v>13</v>
      </c>
      <c r="B14" s="32" t="s">
        <v>329</v>
      </c>
      <c r="C14" s="32" t="s">
        <v>20</v>
      </c>
      <c r="D14" s="31" t="s">
        <v>21</v>
      </c>
      <c r="E14" s="185" t="str">
        <f>IF(D14="Dosen",VLOOKUP('Join TPA Dosen'!B14,Dosen!B:BC,6,FALSE),VLOOKUP(B14,TPA!B:BE,5,FALSE))</f>
        <v>0936770671230312</v>
      </c>
      <c r="F14" s="185" t="str">
        <f>IF(D14="Dosen",VLOOKUP('Join TPA Dosen'!B14,Dosen!B:BC,48,FALSE),VLOOKUP(B14,TPA!B:BE,52,FALSE))</f>
        <v>Anifatul Faricha, S.T., M.Sc., Ph.D</v>
      </c>
      <c r="G14" s="185" t="str">
        <f>IF(D14="Dosen",VLOOKUP('Join TPA Dosen'!B14,Dosen!B:BC,32,FALSE),VLOOKUP(B14,TPA!B:BE,44,FALSE))</f>
        <v> </v>
      </c>
      <c r="K14" s="132"/>
    </row>
    <row r="15" spans="1:11" ht="18">
      <c r="A15" s="31">
        <f t="shared" si="0"/>
        <v>14</v>
      </c>
      <c r="B15" s="32" t="s">
        <v>183</v>
      </c>
      <c r="C15" s="32" t="s">
        <v>20</v>
      </c>
      <c r="D15" s="31" t="s">
        <v>21</v>
      </c>
      <c r="E15" s="185" t="str">
        <f>IF(D15="Dosen",VLOOKUP('Join TPA Dosen'!B15,Dosen!B:BC,6,FALSE),VLOOKUP(B15,TPA!B:BE,5,FALSE))</f>
        <v>0541759660130163</v>
      </c>
      <c r="F15" s="185" t="str">
        <f>IF(D15="Dosen",VLOOKUP('Join TPA Dosen'!B15,Dosen!B:BC,48,FALSE),VLOOKUP(B15,TPA!B:BE,52,FALSE))</f>
        <v>Mohammad Sholik, S.Kom., M.Kom.</v>
      </c>
      <c r="G15" s="185" t="str">
        <f>IF(D15="Dosen",VLOOKUP('Join TPA Dosen'!B15,Dosen!B:BC,32,FALSE),VLOOKUP(B15,TPA!B:BE,44,FALSE))</f>
        <v> </v>
      </c>
      <c r="K15" s="132"/>
    </row>
    <row r="16" spans="1:11" ht="18">
      <c r="A16" s="31">
        <f t="shared" si="0"/>
        <v>15</v>
      </c>
      <c r="B16" s="32" t="s">
        <v>234</v>
      </c>
      <c r="C16" s="32" t="s">
        <v>20</v>
      </c>
      <c r="D16" s="31" t="s">
        <v>21</v>
      </c>
      <c r="E16" s="185" t="str">
        <f>IF(D16="Dosen",VLOOKUP('Join TPA Dosen'!B16,Dosen!B:BC,6,FALSE),VLOOKUP(B16,TPA!B:BE,5,FALSE))</f>
        <v>8647768669230332</v>
      </c>
      <c r="F16" s="185" t="str">
        <f>IF(D16="Dosen",VLOOKUP('Join TPA Dosen'!B16,Dosen!B:BC,48,FALSE),VLOOKUP(B16,TPA!B:BE,52,FALSE))</f>
        <v>Anfazul Faridatul Azizah, S.Kom., M.Kom.</v>
      </c>
      <c r="G16" s="185" t="str">
        <f>IF(D16="Dosen",VLOOKUP('Join TPA Dosen'!B16,Dosen!B:BC,32,FALSE),VLOOKUP(B16,TPA!B:BE,44,FALSE))</f>
        <v> </v>
      </c>
      <c r="K16" s="132"/>
    </row>
    <row r="17" spans="1:7" ht="15.95">
      <c r="A17" s="31">
        <f t="shared" si="0"/>
        <v>16</v>
      </c>
      <c r="B17" s="32" t="s">
        <v>484</v>
      </c>
      <c r="C17" s="32" t="s">
        <v>20</v>
      </c>
      <c r="D17" s="31" t="s">
        <v>21</v>
      </c>
      <c r="E17" s="185" t="str">
        <f>IF(D17="Dosen",VLOOKUP('Join TPA Dosen'!B17,Dosen!B:BC,6,FALSE),VLOOKUP(B17,TPA!B:BE,5,FALSE))</f>
        <v>3859768669130292</v>
      </c>
      <c r="F17" s="185" t="str">
        <f>IF(D17="Dosen",VLOOKUP('Join TPA Dosen'!B17,Dosen!B:BC,48,FALSE),VLOOKUP(B17,TPA!B:BE,52,FALSE))</f>
        <v>Hamzah Ulinuha Mustakim, S.T., M.T.</v>
      </c>
      <c r="G17" s="185" t="str">
        <f>IF(D17="Dosen",VLOOKUP('Join TPA Dosen'!B17,Dosen!B:BC,32,FALSE),VLOOKUP(B17,TPA!B:BE,44,FALSE))</f>
        <v> </v>
      </c>
    </row>
    <row r="18" spans="1:7" ht="15.95">
      <c r="A18" s="31">
        <f t="shared" si="0"/>
        <v>17</v>
      </c>
      <c r="B18" s="32" t="s">
        <v>417</v>
      </c>
      <c r="C18" s="32" t="s">
        <v>20</v>
      </c>
      <c r="D18" s="31" t="s">
        <v>21</v>
      </c>
      <c r="E18" s="185" t="str">
        <f>IF(D18="Dosen",VLOOKUP('Join TPA Dosen'!B18,Dosen!B:BC,6,FALSE),VLOOKUP(B18,TPA!B:BE,5,FALSE))</f>
        <v>0444769670130282</v>
      </c>
      <c r="F18" s="185" t="str">
        <f>IF(D18="Dosen",VLOOKUP('Join TPA Dosen'!B18,Dosen!B:BC,48,FALSE),VLOOKUP(B18,TPA!B:BE,52,FALSE))</f>
        <v>Mohamad Yani, S.ST., M.Phil., Ph.D.</v>
      </c>
      <c r="G18" s="185" t="str">
        <f>IF(D18="Dosen",VLOOKUP('Join TPA Dosen'!B18,Dosen!B:BC,32,FALSE),VLOOKUP(B18,TPA!B:BE,44,FALSE))</f>
        <v> </v>
      </c>
    </row>
    <row r="19" spans="1:7" ht="15.95">
      <c r="A19" s="31">
        <f t="shared" si="0"/>
        <v>18</v>
      </c>
      <c r="B19" s="32" t="s">
        <v>492</v>
      </c>
      <c r="C19" s="32" t="s">
        <v>20</v>
      </c>
      <c r="D19" s="31" t="s">
        <v>21</v>
      </c>
      <c r="E19" s="185" t="str">
        <f>IF(D19="Dosen",VLOOKUP('Join TPA Dosen'!B19,Dosen!B:BC,6,FALSE),VLOOKUP(B19,TPA!B:BE,5,FALSE))</f>
        <v>9735772673130262</v>
      </c>
      <c r="F19" s="185" t="str">
        <f>IF(D19="Dosen",VLOOKUP('Join TPA Dosen'!B19,Dosen!B:BC,48,FALSE),VLOOKUP(B19,TPA!B:BE,52,FALSE))</f>
        <v>Muhsin, S.T., M.T., Ph. D.</v>
      </c>
      <c r="G19" s="185" t="str">
        <f>IF(D19="Dosen",VLOOKUP('Join TPA Dosen'!B19,Dosen!B:BC,32,FALSE),VLOOKUP(B19,TPA!B:BE,44,FALSE))</f>
        <v> </v>
      </c>
    </row>
    <row r="20" spans="1:7" ht="15.95">
      <c r="A20" s="31">
        <f t="shared" si="0"/>
        <v>19</v>
      </c>
      <c r="B20" s="32" t="s">
        <v>480</v>
      </c>
      <c r="C20" s="32" t="s">
        <v>20</v>
      </c>
      <c r="D20" s="31" t="s">
        <v>21</v>
      </c>
      <c r="E20" s="185" t="str">
        <f>IF(D20="Dosen",VLOOKUP('Join TPA Dosen'!B20,Dosen!B:BC,6,FALSE),VLOOKUP(B20,TPA!B:BE,5,FALSE))</f>
        <v>3940756657230162</v>
      </c>
      <c r="F20" s="185" t="str">
        <f>IF(D20="Dosen",VLOOKUP('Join TPA Dosen'!B20,Dosen!B:BC,48,FALSE),VLOOKUP(B20,TPA!B:BE,52,FALSE))</f>
        <v>Nilla Rachmaningrum, S.T., M.T.</v>
      </c>
      <c r="G20" s="185" t="str">
        <f>IF(D20="Dosen",VLOOKUP('Join TPA Dosen'!B20,Dosen!B:BC,32,FALSE),VLOOKUP(B20,TPA!B:BE,44,FALSE))</f>
        <v> </v>
      </c>
    </row>
    <row r="21" spans="1:7" ht="15.95">
      <c r="A21" s="31">
        <f t="shared" si="0"/>
        <v>20</v>
      </c>
      <c r="B21" s="32" t="s">
        <v>533</v>
      </c>
      <c r="C21" s="32" t="s">
        <v>46</v>
      </c>
      <c r="D21" s="31" t="s">
        <v>21</v>
      </c>
      <c r="E21" s="185">
        <f>IF(D21="Dosen",VLOOKUP('Join TPA Dosen'!B21,Dosen!B:BC,6,FALSE),VLOOKUP(B21,TPA!B:BE,5,FALSE))</f>
        <v>0</v>
      </c>
      <c r="F21" s="185" t="str">
        <f>IF(D21="Dosen",VLOOKUP('Join TPA Dosen'!B21,Dosen!B:BC,48,FALSE),VLOOKUP(B21,TPA!B:BE,52,FALSE))</f>
        <v>Arliyanti Nurdin, S.T., M.T.</v>
      </c>
      <c r="G21" s="185" t="str">
        <f>IF(D21="Dosen",VLOOKUP('Join TPA Dosen'!B21,Dosen!B:BC,32,FALSE),VLOOKUP(B21,TPA!B:BE,44,FALSE))</f>
        <v> </v>
      </c>
    </row>
    <row r="22" spans="1:7" ht="15.95">
      <c r="A22" s="31">
        <f t="shared" si="0"/>
        <v>21</v>
      </c>
      <c r="B22" s="32" t="s">
        <v>247</v>
      </c>
      <c r="C22" s="32" t="s">
        <v>20</v>
      </c>
      <c r="D22" s="31" t="s">
        <v>21</v>
      </c>
      <c r="E22" s="185" t="str">
        <f>IF(D22="Dosen",VLOOKUP('Join TPA Dosen'!B22,Dosen!B:BC,6,FALSE),VLOOKUP(B22,TPA!B:BE,5,FALSE))</f>
        <v>8857768669130442</v>
      </c>
      <c r="F22" s="185" t="str">
        <f>IF(D22="Dosen",VLOOKUP('Join TPA Dosen'!B22,Dosen!B:BC,48,FALSE),VLOOKUP(B22,TPA!B:BE,52,FALSE))</f>
        <v>Noerma Pudji Istyanto, S.Kom., M.Kom.</v>
      </c>
      <c r="G22" s="185" t="str">
        <f>IF(D22="Dosen",VLOOKUP('Join TPA Dosen'!B22,Dosen!B:BC,32,FALSE),VLOOKUP(B22,TPA!B:BE,44,FALSE))</f>
        <v> </v>
      </c>
    </row>
    <row r="23" spans="1:7" ht="15.95">
      <c r="A23" s="31">
        <f t="shared" si="0"/>
        <v>22</v>
      </c>
      <c r="B23" s="32" t="s">
        <v>347</v>
      </c>
      <c r="C23" s="32" t="s">
        <v>20</v>
      </c>
      <c r="D23" s="31" t="s">
        <v>21</v>
      </c>
      <c r="E23" s="185" t="str">
        <f>IF(D23="Dosen",VLOOKUP('Join TPA Dosen'!B23,Dosen!B:BC,6,FALSE),VLOOKUP(B23,TPA!B:BE,5,FALSE))</f>
        <v>4938770671230412</v>
      </c>
      <c r="F23" s="185" t="str">
        <f>IF(D23="Dosen",VLOOKUP('Join TPA Dosen'!B23,Dosen!B:BC,48,FALSE),VLOOKUP(B23,TPA!B:BE,52,FALSE))</f>
        <v>Lora Khaula Amifia, S.Pd., M.Eng.</v>
      </c>
      <c r="G23" s="185" t="str">
        <f>IF(D23="Dosen",VLOOKUP('Join TPA Dosen'!B23,Dosen!B:BC,32,FALSE),VLOOKUP(B23,TPA!B:BE,44,FALSE))</f>
        <v> </v>
      </c>
    </row>
    <row r="24" spans="1:7" ht="15.95">
      <c r="A24" s="31">
        <f t="shared" si="0"/>
        <v>23</v>
      </c>
      <c r="B24" s="32" t="s">
        <v>321</v>
      </c>
      <c r="C24" s="32" t="s">
        <v>20</v>
      </c>
      <c r="D24" s="31" t="s">
        <v>21</v>
      </c>
      <c r="E24" s="185" t="str">
        <f>IF(D24="Dosen",VLOOKUP('Join TPA Dosen'!B24,Dosen!B:BC,6,FALSE),VLOOKUP(B24,TPA!B:BE,5,FALSE))</f>
        <v>5535768669230273</v>
      </c>
      <c r="F24" s="185" t="str">
        <f>IF(D24="Dosen",VLOOKUP('Join TPA Dosen'!B24,Dosen!B:BC,48,FALSE),VLOOKUP(B24,TPA!B:BE,52,FALSE))</f>
        <v>Ully Asfari, S.Kom., M.Kom.</v>
      </c>
      <c r="G24" s="185" t="str">
        <f>IF(D24="Dosen",VLOOKUP('Join TPA Dosen'!B24,Dosen!B:BC,32,FALSE),VLOOKUP(B24,TPA!B:BE,44,FALSE))</f>
        <v> </v>
      </c>
    </row>
    <row r="25" spans="1:7" ht="15.95">
      <c r="A25" s="31">
        <f t="shared" si="0"/>
        <v>24</v>
      </c>
      <c r="B25" s="32" t="s">
        <v>438</v>
      </c>
      <c r="C25" s="32" t="s">
        <v>20</v>
      </c>
      <c r="D25" s="31" t="s">
        <v>21</v>
      </c>
      <c r="E25" s="185" t="str">
        <f>IF(D25="Dosen",VLOOKUP('Join TPA Dosen'!B25,Dosen!B:BC,6,FALSE),VLOOKUP(B25,TPA!B:BE,5,FALSE))</f>
        <v>6759766667131102</v>
      </c>
      <c r="F25" s="185" t="str">
        <f>IF(D25="Dosen",VLOOKUP('Join TPA Dosen'!B25,Dosen!B:BC,48,FALSE),VLOOKUP(B25,TPA!B:BE,52,FALSE))</f>
        <v>Ubaidillah Umar, S.ST., M.T.</v>
      </c>
      <c r="G25" s="185" t="str">
        <f>IF(D25="Dosen",VLOOKUP('Join TPA Dosen'!B25,Dosen!B:BC,32,FALSE),VLOOKUP(B25,TPA!B:BE,44,FALSE))</f>
        <v> </v>
      </c>
    </row>
    <row r="26" spans="1:7" ht="15.95">
      <c r="A26" s="31">
        <f t="shared" si="0"/>
        <v>25</v>
      </c>
      <c r="B26" s="32" t="s">
        <v>548</v>
      </c>
      <c r="C26" s="32" t="s">
        <v>20</v>
      </c>
      <c r="D26" s="31" t="s">
        <v>21</v>
      </c>
      <c r="E26" s="185" t="str">
        <f>IF(D26="Dosen",VLOOKUP('Join TPA Dosen'!B26,Dosen!B:BC,6,FALSE),VLOOKUP(B26,TPA!B:BE,5,FALSE))</f>
        <v>3337768669230413</v>
      </c>
      <c r="F26" s="185" t="str">
        <f>IF(D26="Dosen",VLOOKUP('Join TPA Dosen'!B26,Dosen!B:BC,48,FALSE),VLOOKUP(B26,TPA!B:BE,52,FALSE))</f>
        <v>Oktavia Ayu Permata, S.T., M.T.</v>
      </c>
      <c r="G26" s="185" t="str">
        <f>IF(D26="Dosen",VLOOKUP('Join TPA Dosen'!B26,Dosen!B:BC,32,FALSE),VLOOKUP(B26,TPA!B:BE,44,FALSE))</f>
        <v> </v>
      </c>
    </row>
    <row r="27" spans="1:7" ht="15.95">
      <c r="A27" s="31">
        <f t="shared" si="0"/>
        <v>26</v>
      </c>
      <c r="B27" s="32" t="s">
        <v>34</v>
      </c>
      <c r="C27" s="32" t="s">
        <v>20</v>
      </c>
      <c r="D27" s="31" t="s">
        <v>21</v>
      </c>
      <c r="E27" s="185" t="str">
        <f>IF(D27="Dosen",VLOOKUP('Join TPA Dosen'!B27,Dosen!B:BC,6,FALSE),VLOOKUP(B27,TPA!B:BE,5,FALSE))</f>
        <v>6954768669130292</v>
      </c>
      <c r="F27" s="185" t="str">
        <f>IF(D27="Dosen",VLOOKUP('Join TPA Dosen'!B27,Dosen!B:BC,48,FALSE),VLOOKUP(B27,TPA!B:BE,52,FALSE))</f>
        <v>Dominggo Bayu Baskara, S.T., M.MT.</v>
      </c>
      <c r="G27" s="185" t="str">
        <f>IF(D27="Dosen",VLOOKUP('Join TPA Dosen'!B27,Dosen!B:BC,32,FALSE),VLOOKUP(B27,TPA!B:BE,44,FALSE))</f>
        <v> </v>
      </c>
    </row>
    <row r="28" spans="1:7" ht="15.95">
      <c r="A28" s="31">
        <f t="shared" si="0"/>
        <v>27</v>
      </c>
      <c r="B28" s="32" t="s">
        <v>169</v>
      </c>
      <c r="C28" s="32" t="s">
        <v>20</v>
      </c>
      <c r="D28" s="31" t="s">
        <v>21</v>
      </c>
      <c r="E28" s="185" t="str">
        <f>IF(D28="Dosen",VLOOKUP('Join TPA Dosen'!B28,Dosen!B:BC,6,FALSE),VLOOKUP(B28,TPA!B:BE,5,FALSE))</f>
        <v>9160765666137003</v>
      </c>
      <c r="F28" s="185" t="str">
        <f>IF(D28="Dosen",VLOOKUP('Join TPA Dosen'!B28,Dosen!B:BC,48,FALSE),VLOOKUP(B28,TPA!B:BE,52,FALSE))</f>
        <v>Billy Montolalu, S.Kom., M.Kom.</v>
      </c>
      <c r="G28" s="185" t="str">
        <f>IF(D28="Dosen",VLOOKUP('Join TPA Dosen'!B28,Dosen!B:BC,32,FALSE),VLOOKUP(B28,TPA!B:BE,44,FALSE))</f>
        <v> </v>
      </c>
    </row>
    <row r="29" spans="1:7" ht="15.95">
      <c r="A29" s="31">
        <f t="shared" si="0"/>
        <v>28</v>
      </c>
      <c r="B29" s="32" t="s">
        <v>243</v>
      </c>
      <c r="C29" s="32" t="s">
        <v>20</v>
      </c>
      <c r="D29" s="31" t="s">
        <v>21</v>
      </c>
      <c r="E29" s="185" t="str">
        <f>IF(D29="Dosen",VLOOKUP('Join TPA Dosen'!B29,Dosen!B:BC,6,FALSE),VLOOKUP(B29,TPA!B:BE,5,FALSE))</f>
        <v>9153764665130213</v>
      </c>
      <c r="F29" s="185" t="str">
        <f>IF(D29="Dosen",VLOOKUP('Join TPA Dosen'!B29,Dosen!B:BC,48,FALSE),VLOOKUP(B29,TPA!B:BE,52,FALSE))</f>
        <v>Yupit Sudianto, S.Kom., M.Kom.</v>
      </c>
      <c r="G29" s="185" t="str">
        <f>IF(D29="Dosen",VLOOKUP('Join TPA Dosen'!B29,Dosen!B:BC,32,FALSE),VLOOKUP(B29,TPA!B:BE,44,FALSE))</f>
        <v> </v>
      </c>
    </row>
    <row r="30" spans="1:7" ht="15.95">
      <c r="A30" s="31">
        <f t="shared" si="0"/>
        <v>29</v>
      </c>
      <c r="B30" s="32" t="s">
        <v>187</v>
      </c>
      <c r="C30" s="32" t="s">
        <v>20</v>
      </c>
      <c r="D30" s="31" t="s">
        <v>21</v>
      </c>
      <c r="E30" s="185" t="str">
        <f>IF(D30="Dosen",VLOOKUP('Join TPA Dosen'!B30,Dosen!B:BC,6,FALSE),VLOOKUP(B30,TPA!B:BE,5,FALSE))</f>
        <v>5641772673230262</v>
      </c>
      <c r="F30" s="185" t="str">
        <f>IF(D30="Dosen",VLOOKUP('Join TPA Dosen'!B30,Dosen!B:BC,48,FALSE),VLOOKUP(B30,TPA!B:BE,52,FALSE))</f>
        <v>Dr. Dewi Rahmawati, S.Kom., M.Kom.</v>
      </c>
      <c r="G30" s="185" t="str">
        <f>IF(D30="Dosen",VLOOKUP('Join TPA Dosen'!B30,Dosen!B:BC,32,FALSE),VLOOKUP(B30,TPA!B:BE,44,FALSE))</f>
        <v> </v>
      </c>
    </row>
    <row r="31" spans="1:7" ht="15.95">
      <c r="A31" s="31">
        <f t="shared" si="0"/>
        <v>30</v>
      </c>
      <c r="B31" s="32" t="s">
        <v>412</v>
      </c>
      <c r="C31" s="32" t="s">
        <v>20</v>
      </c>
      <c r="D31" s="31" t="s">
        <v>21</v>
      </c>
      <c r="E31" s="185" t="str">
        <f>IF(D31="Dosen",VLOOKUP('Join TPA Dosen'!B31,Dosen!B:BC,6,FALSE),VLOOKUP(B31,TPA!B:BE,5,FALSE))</f>
        <v>0546771672130272</v>
      </c>
      <c r="F31" s="185" t="str">
        <f>IF(D31="Dosen",VLOOKUP('Join TPA Dosen'!B31,Dosen!B:BC,48,FALSE),VLOOKUP(B31,TPA!B:BE,52,FALSE))</f>
        <v>Ardiansyah Al Farouq, S.ST., M.T.</v>
      </c>
      <c r="G31" s="185" t="str">
        <f>IF(D31="Dosen",VLOOKUP('Join TPA Dosen'!B31,Dosen!B:BC,32,FALSE),VLOOKUP(B31,TPA!B:BE,44,FALSE))</f>
        <v> </v>
      </c>
    </row>
    <row r="32" spans="1:7" ht="15.95">
      <c r="A32" s="31">
        <f t="shared" si="0"/>
        <v>31</v>
      </c>
      <c r="B32" s="32" t="s">
        <v>106</v>
      </c>
      <c r="C32" s="32" t="s">
        <v>20</v>
      </c>
      <c r="D32" s="31" t="s">
        <v>21</v>
      </c>
      <c r="E32" s="185" t="str">
        <f>IF(D32="Dosen",VLOOKUP('Join TPA Dosen'!B32,Dosen!B:BC,6,FALSE),VLOOKUP(B32,TPA!B:BE,5,FALSE))</f>
        <v>5259770671130293</v>
      </c>
      <c r="F32" s="185" t="str">
        <f>IF(D32="Dosen",VLOOKUP('Join TPA Dosen'!B32,Dosen!B:BC,48,FALSE),VLOOKUP(B32,TPA!B:BE,52,FALSE))</f>
        <v>Ardian Yusuf Wicaksono, S.Kom., M.Kom.</v>
      </c>
      <c r="G32" s="185" t="str">
        <f>IF(D32="Dosen",VLOOKUP('Join TPA Dosen'!B32,Dosen!B:BC,32,FALSE),VLOOKUP(B32,TPA!B:BE,44,FALSE))</f>
        <v> </v>
      </c>
    </row>
    <row r="33" spans="1:7" ht="15.95">
      <c r="A33" s="31">
        <f t="shared" si="0"/>
        <v>32</v>
      </c>
      <c r="B33" s="32" t="s">
        <v>378</v>
      </c>
      <c r="C33" s="32" t="s">
        <v>20</v>
      </c>
      <c r="D33" s="31" t="s">
        <v>21</v>
      </c>
      <c r="E33" s="185" t="str">
        <f>IF(D33="Dosen",VLOOKUP('Join TPA Dosen'!B33,Dosen!B:BC,6,FALSE),VLOOKUP(B33,TPA!B:BE,5,FALSE))</f>
        <v>4857770671130462</v>
      </c>
      <c r="F33" s="185" t="str">
        <f>IF(D33="Dosen",VLOOKUP('Join TPA Dosen'!B33,Dosen!B:BC,48,FALSE),VLOOKUP(B33,TPA!B:BE,52,FALSE))</f>
        <v>Rahaditya Dimas Prihadianto, S.T., M.T.</v>
      </c>
      <c r="G33" s="185" t="str">
        <f>IF(D33="Dosen",VLOOKUP('Join TPA Dosen'!B33,Dosen!B:BC,32,FALSE),VLOOKUP(B33,TPA!B:BE,44,FALSE))</f>
        <v> </v>
      </c>
    </row>
    <row r="34" spans="1:7" ht="15.95">
      <c r="A34" s="31">
        <f t="shared" si="0"/>
        <v>33</v>
      </c>
      <c r="B34" s="32" t="s">
        <v>382</v>
      </c>
      <c r="C34" s="32" t="s">
        <v>20</v>
      </c>
      <c r="D34" s="31" t="s">
        <v>21</v>
      </c>
      <c r="E34" s="185" t="str">
        <f>IF(D34="Dosen",VLOOKUP('Join TPA Dosen'!B34,Dosen!B:BC,6,FALSE),VLOOKUP(B34,TPA!B:BE,5,FALSE))</f>
        <v>5943771672230272</v>
      </c>
      <c r="F34" s="185" t="str">
        <f>IF(D34="Dosen",VLOOKUP('Join TPA Dosen'!B34,Dosen!B:BC,48,FALSE),VLOOKUP(B34,TPA!B:BE,52,FALSE))</f>
        <v>Rizqa Amelia Zunaidi, S.T., M.T.</v>
      </c>
      <c r="G34" s="185" t="str">
        <f>IF(D34="Dosen",VLOOKUP('Join TPA Dosen'!B34,Dosen!B:BC,32,FALSE),VLOOKUP(B34,TPA!B:BE,44,FALSE))</f>
        <v> </v>
      </c>
    </row>
    <row r="35" spans="1:7" ht="15.95">
      <c r="A35" s="31">
        <f t="shared" si="0"/>
        <v>34</v>
      </c>
      <c r="B35" s="32" t="s">
        <v>55</v>
      </c>
      <c r="C35" s="32" t="s">
        <v>20</v>
      </c>
      <c r="D35" s="31" t="s">
        <v>21</v>
      </c>
      <c r="E35" s="185" t="str">
        <f>IF(D35="Dosen",VLOOKUP('Join TPA Dosen'!B35,Dosen!B:BC,6,FALSE),VLOOKUP(B35,TPA!B:BE,5,FALSE))</f>
        <v>7542764665137062</v>
      </c>
      <c r="F35" s="185" t="str">
        <f>IF(D35="Dosen",VLOOKUP('Join TPA Dosen'!B35,Dosen!B:BC,48,FALSE),VLOOKUP(B35,TPA!B:BE,52,FALSE))</f>
        <v>Titus Kristanto, S.Kom., M.Kom.</v>
      </c>
      <c r="G35" s="185" t="str">
        <f>IF(D35="Dosen",VLOOKUP('Join TPA Dosen'!B35,Dosen!B:BC,32,FALSE),VLOOKUP(B35,TPA!B:BE,44,FALSE))</f>
        <v> </v>
      </c>
    </row>
    <row r="36" spans="1:7" ht="15.95">
      <c r="A36" s="31">
        <f t="shared" si="0"/>
        <v>35</v>
      </c>
      <c r="B36" s="32" t="s">
        <v>422</v>
      </c>
      <c r="C36" s="32" t="s">
        <v>20</v>
      </c>
      <c r="D36" s="31" t="s">
        <v>21</v>
      </c>
      <c r="E36" s="185" t="str">
        <f>IF(D36="Dosen",VLOOKUP('Join TPA Dosen'!B36,Dosen!B:BC,6,FALSE),VLOOKUP(B36,TPA!B:BE,5,FALSE))</f>
        <v>6853761662130212</v>
      </c>
      <c r="F36" s="185" t="str">
        <f>IF(D36="Dosen",VLOOKUP('Join TPA Dosen'!B36,Dosen!B:BC,48,FALSE),VLOOKUP(B36,TPA!B:BE,52,FALSE))</f>
        <v>Pangestu Widodo, S.T., M.Kom.</v>
      </c>
      <c r="G36" s="185" t="str">
        <f>IF(D36="Dosen",VLOOKUP('Join TPA Dosen'!B36,Dosen!B:BC,32,FALSE),VLOOKUP(B36,TPA!B:BE,44,FALSE))</f>
        <v> </v>
      </c>
    </row>
    <row r="37" spans="1:7" ht="15.95">
      <c r="A37" s="31">
        <f t="shared" si="0"/>
        <v>36</v>
      </c>
      <c r="B37" s="32" t="s">
        <v>447</v>
      </c>
      <c r="C37" s="32" t="s">
        <v>20</v>
      </c>
      <c r="D37" s="31" t="s">
        <v>21</v>
      </c>
      <c r="E37" s="185" t="str">
        <f>IF(D37="Dosen",VLOOKUP('Join TPA Dosen'!B37,Dosen!B:BC,6,FALSE),VLOOKUP(B37,TPA!B:BE,5,FALSE))</f>
        <v>9634768669130272</v>
      </c>
      <c r="F37" s="185" t="str">
        <f>IF(D37="Dosen",VLOOKUP('Join TPA Dosen'!B37,Dosen!B:BC,48,FALSE),VLOOKUP(B37,TPA!B:BE,52,FALSE))</f>
        <v>Abduh Sayid Albana, S.T., M.T., M.Sc., Ph.D.</v>
      </c>
      <c r="G37" s="185" t="str">
        <f>IF(D37="Dosen",VLOOKUP('Join TPA Dosen'!B37,Dosen!B:BC,32,FALSE),VLOOKUP(B37,TPA!B:BE,44,FALSE))</f>
        <v> </v>
      </c>
    </row>
    <row r="38" spans="1:7" ht="15.95">
      <c r="A38" s="31">
        <f t="shared" si="0"/>
        <v>37</v>
      </c>
      <c r="B38" s="32" t="s">
        <v>239</v>
      </c>
      <c r="C38" s="32" t="s">
        <v>20</v>
      </c>
      <c r="D38" s="31" t="s">
        <v>21</v>
      </c>
      <c r="E38" s="185" t="str">
        <f>IF(D38="Dosen",VLOOKUP('Join TPA Dosen'!B38,Dosen!B:BC,6,FALSE),VLOOKUP(B38,TPA!B:BE,5,FALSE))</f>
        <v>6156770671230303</v>
      </c>
      <c r="F38" s="185" t="str">
        <f>IF(D38="Dosen",VLOOKUP('Join TPA Dosen'!B38,Dosen!B:BC,48,FALSE),VLOOKUP(B38,TPA!B:BE,52,FALSE))</f>
        <v>Hawwin Mardhiana, S.Kom., M.Kom.</v>
      </c>
      <c r="G38" s="185" t="str">
        <f>IF(D38="Dosen",VLOOKUP('Join TPA Dosen'!B38,Dosen!B:BC,32,FALSE),VLOOKUP(B38,TPA!B:BE,44,FALSE))</f>
        <v> </v>
      </c>
    </row>
    <row r="39" spans="1:7" ht="15.95">
      <c r="A39" s="31">
        <f t="shared" si="0"/>
        <v>38</v>
      </c>
      <c r="B39" s="32" t="s">
        <v>374</v>
      </c>
      <c r="C39" s="32" t="s">
        <v>20</v>
      </c>
      <c r="D39" s="31" t="s">
        <v>21</v>
      </c>
      <c r="E39" s="185" t="str">
        <f>IF(D39="Dosen",VLOOKUP('Join TPA Dosen'!B39,Dosen!B:BC,6,FALSE),VLOOKUP(B39,TPA!B:BE,5,FALSE))</f>
        <v>4435771672130323</v>
      </c>
      <c r="F39" s="185" t="str">
        <f>IF(D39="Dosen",VLOOKUP('Join TPA Dosen'!B39,Dosen!B:BC,48,FALSE),VLOOKUP(B39,TPA!B:BE,52,FALSE))</f>
        <v>Benazir Imam Arif Muttaqin, S.T., M.T.</v>
      </c>
      <c r="G39" s="185" t="str">
        <f>IF(D39="Dosen",VLOOKUP('Join TPA Dosen'!B39,Dosen!B:BC,32,FALSE),VLOOKUP(B39,TPA!B:BE,44,FALSE))</f>
        <v> </v>
      </c>
    </row>
    <row r="40" spans="1:7" ht="15.95">
      <c r="A40" s="31">
        <f t="shared" si="0"/>
        <v>39</v>
      </c>
      <c r="B40" s="32" t="s">
        <v>523</v>
      </c>
      <c r="C40" s="32" t="s">
        <v>20</v>
      </c>
      <c r="D40" s="31" t="s">
        <v>21</v>
      </c>
      <c r="E40" s="185" t="str">
        <f>IF(D40="Dosen",VLOOKUP('Join TPA Dosen'!B40,Dosen!B:BC,6,FALSE),VLOOKUP(B40,TPA!B:BE,5,FALSE))</f>
        <v>6636770671130272</v>
      </c>
      <c r="F40" s="185" t="str">
        <f>IF(D40="Dosen",VLOOKUP('Join TPA Dosen'!B40,Dosen!B:BC,48,FALSE),VLOOKUP(B40,TPA!B:BE,52,FALSE))</f>
        <v>Bernadus Anggo Seno Aji, S.Kom., M.Kom.</v>
      </c>
      <c r="G40" s="185" t="str">
        <f>IF(D40="Dosen",VLOOKUP('Join TPA Dosen'!B40,Dosen!B:BC,32,FALSE),VLOOKUP(B40,TPA!B:BE,44,FALSE))</f>
        <v> </v>
      </c>
    </row>
    <row r="41" spans="1:7" ht="15.95">
      <c r="A41" s="31">
        <f t="shared" si="0"/>
        <v>40</v>
      </c>
      <c r="B41" s="32" t="s">
        <v>251</v>
      </c>
      <c r="C41" s="32" t="s">
        <v>20</v>
      </c>
      <c r="D41" s="31" t="s">
        <v>21</v>
      </c>
      <c r="E41" s="185" t="str">
        <f>IF(D41="Dosen",VLOOKUP('Join TPA Dosen'!B41,Dosen!B:BC,6,FALSE),VLOOKUP(B41,TPA!B:BE,5,FALSE))</f>
        <v>5936767668230352</v>
      </c>
      <c r="F41" s="185" t="str">
        <f>IF(D41="Dosen",VLOOKUP('Join TPA Dosen'!B41,Dosen!B:BC,48,FALSE),VLOOKUP(B41,TPA!B:BE,52,FALSE))</f>
        <v>Rokhmatul Insani, S.T., M.T.</v>
      </c>
      <c r="G41" s="185" t="str">
        <f>IF(D41="Dosen",VLOOKUP('Join TPA Dosen'!B41,Dosen!B:BC,32,FALSE),VLOOKUP(B41,TPA!B:BE,44,FALSE))</f>
        <v> </v>
      </c>
    </row>
    <row r="42" spans="1:7" ht="15.95">
      <c r="A42" s="31">
        <f t="shared" si="0"/>
        <v>41</v>
      </c>
      <c r="B42" s="32" t="s">
        <v>255</v>
      </c>
      <c r="C42" s="32" t="s">
        <v>20</v>
      </c>
      <c r="D42" s="31" t="s">
        <v>21</v>
      </c>
      <c r="E42" s="185" t="str">
        <f>IF(D42="Dosen",VLOOKUP('Join TPA Dosen'!B42,Dosen!B:BC,6,FALSE),VLOOKUP(B42,TPA!B:BE,5,FALSE))</f>
        <v>4150753654130133</v>
      </c>
      <c r="F42" s="185" t="str">
        <f>IF(D42="Dosen",VLOOKUP('Join TPA Dosen'!B42,Dosen!B:BC,48,FALSE),VLOOKUP(B42,TPA!B:BE,52,FALSE))</f>
        <v>Agus Sulistya, S.T., M.Sc., Ph.D</v>
      </c>
      <c r="G42" s="185" t="str">
        <f>IF(D42="Dosen",VLOOKUP('Join TPA Dosen'!B42,Dosen!B:BC,32,FALSE),VLOOKUP(B42,TPA!B:BE,44,FALSE))</f>
        <v> </v>
      </c>
    </row>
    <row r="43" spans="1:7" ht="15.95">
      <c r="A43" s="31">
        <f t="shared" si="0"/>
        <v>42</v>
      </c>
      <c r="B43" s="32" t="s">
        <v>497</v>
      </c>
      <c r="C43" s="32" t="s">
        <v>20</v>
      </c>
      <c r="D43" s="31" t="s">
        <v>21</v>
      </c>
      <c r="E43" s="185" t="str">
        <f>IF(D43="Dosen",VLOOKUP('Join TPA Dosen'!B43,Dosen!B:BC,6,FALSE),VLOOKUP(B43,TPA!B:BE,5,FALSE))</f>
        <v>7452769670230282</v>
      </c>
      <c r="F43" s="185" t="str">
        <f>IF(D43="Dosen",VLOOKUP('Join TPA Dosen'!B43,Dosen!B:BC,48,FALSE),VLOOKUP(B43,TPA!B:BE,52,FALSE))</f>
        <v>Risdilah Mimma Untsa, S.ST., M.T.</v>
      </c>
      <c r="G43" s="185" t="str">
        <f>IF(D43="Dosen",VLOOKUP('Join TPA Dosen'!B43,Dosen!B:BC,32,FALSE),VLOOKUP(B43,TPA!B:BE,44,FALSE))</f>
        <v> </v>
      </c>
    </row>
    <row r="44" spans="1:7" ht="15.95">
      <c r="A44" s="31">
        <f t="shared" si="0"/>
        <v>43</v>
      </c>
      <c r="B44" s="32" t="s">
        <v>427</v>
      </c>
      <c r="C44" s="32" t="s">
        <v>20</v>
      </c>
      <c r="D44" s="31" t="s">
        <v>21</v>
      </c>
      <c r="E44" s="185" t="str">
        <f>IF(D44="Dosen",VLOOKUP('Join TPA Dosen'!B44,Dosen!B:BC,6,FALSE),VLOOKUP(B44,TPA!B:BE,5,FALSE))</f>
        <v>4259751652130093</v>
      </c>
      <c r="F44" s="185" t="str">
        <f>IF(D44="Dosen",VLOOKUP('Join TPA Dosen'!B44,Dosen!B:BC,48,FALSE),VLOOKUP(B44,TPA!B:BE,52,FALSE))</f>
        <v>Dr. Susijanto Tri Rasmana, S.Kom., M.T.</v>
      </c>
      <c r="G44" s="185" t="str">
        <f>IF(D44="Dosen",VLOOKUP('Join TPA Dosen'!B44,Dosen!B:BC,32,FALSE),VLOOKUP(B44,TPA!B:BE,44,FALSE))</f>
        <v> </v>
      </c>
    </row>
    <row r="45" spans="1:7" ht="15.95">
      <c r="A45" s="31">
        <f t="shared" si="0"/>
        <v>44</v>
      </c>
      <c r="B45" s="32" t="s">
        <v>369</v>
      </c>
      <c r="C45" s="32" t="s">
        <v>20</v>
      </c>
      <c r="D45" s="31" t="s">
        <v>21</v>
      </c>
      <c r="E45" s="185" t="str">
        <f>IF(D45="Dosen",VLOOKUP('Join TPA Dosen'!B45,Dosen!B:BC,6,FALSE),VLOOKUP(B45,TPA!B:BE,5,FALSE))</f>
        <v>9033766667230323</v>
      </c>
      <c r="F45" s="185" t="str">
        <f>IF(D45="Dosen",VLOOKUP('Join TPA Dosen'!B45,Dosen!B:BC,48,FALSE),VLOOKUP(B45,TPA!B:BE,52,FALSE))</f>
        <v>Ayu Endah Wahyuni, S.T., M.T.</v>
      </c>
      <c r="G45" s="185" t="str">
        <f>IF(D45="Dosen",VLOOKUP('Join TPA Dosen'!B45,Dosen!B:BC,32,FALSE),VLOOKUP(B45,TPA!B:BE,44,FALSE))</f>
        <v> </v>
      </c>
    </row>
    <row r="46" spans="1:7" ht="15.95">
      <c r="A46" s="31">
        <f t="shared" si="0"/>
        <v>45</v>
      </c>
      <c r="B46" s="32" t="s">
        <v>260</v>
      </c>
      <c r="C46" s="32" t="s">
        <v>20</v>
      </c>
      <c r="D46" s="31" t="s">
        <v>21</v>
      </c>
      <c r="E46" s="185" t="str">
        <f>IF(D46="Dosen",VLOOKUP('Join TPA Dosen'!B46,Dosen!B:BC,6,FALSE),VLOOKUP(B46,TPA!B:BE,5,FALSE))</f>
        <v>3841768669130332</v>
      </c>
      <c r="F46" s="185" t="str">
        <f>IF(D46="Dosen",VLOOKUP('Join TPA Dosen'!B46,Dosen!B:BC,48,FALSE),VLOOKUP(B46,TPA!B:BE,52,FALSE))</f>
        <v>Muhamad Nasrullah, S.Kom., M.Kom.</v>
      </c>
      <c r="G46" s="185" t="str">
        <f>IF(D46="Dosen",VLOOKUP('Join TPA Dosen'!B46,Dosen!B:BC,32,FALSE),VLOOKUP(B46,TPA!B:BE,44,FALSE))</f>
        <v> </v>
      </c>
    </row>
    <row r="47" spans="1:7" ht="15.95">
      <c r="A47" s="31">
        <f t="shared" si="0"/>
        <v>46</v>
      </c>
      <c r="B47" s="32" t="s">
        <v>40</v>
      </c>
      <c r="C47" s="32" t="s">
        <v>20</v>
      </c>
      <c r="D47" s="31" t="s">
        <v>21</v>
      </c>
      <c r="E47" s="185" t="str">
        <f>IF(D47="Dosen",VLOOKUP('Join TPA Dosen'!B47,Dosen!B:BC,6,FALSE),VLOOKUP(B47,TPA!B:BE,5,FALSE))</f>
        <v>0536771672230252</v>
      </c>
      <c r="F47" s="185" t="str">
        <f>IF(D47="Dosen",VLOOKUP('Join TPA Dosen'!B47,Dosen!B:BC,48,FALSE),VLOOKUP(B47,TPA!B:BE,52,FALSE))</f>
        <v>Sekar Widyasari Putri, S.A.B., M.Si.</v>
      </c>
      <c r="G47" s="185" t="str">
        <f>IF(D47="Dosen",VLOOKUP('Join TPA Dosen'!B47,Dosen!B:BC,32,FALSE),VLOOKUP(B47,TPA!B:BE,44,FALSE))</f>
        <v> </v>
      </c>
    </row>
    <row r="48" spans="1:7" ht="15.95">
      <c r="A48" s="31">
        <f t="shared" si="0"/>
        <v>47</v>
      </c>
      <c r="B48" s="32" t="s">
        <v>45</v>
      </c>
      <c r="C48" s="32" t="s">
        <v>46</v>
      </c>
      <c r="D48" s="31" t="s">
        <v>21</v>
      </c>
      <c r="E48" s="185">
        <f>IF(D48="Dosen",VLOOKUP('Join TPA Dosen'!B48,Dosen!B:BC,6,FALSE),VLOOKUP(B48,TPA!B:BE,5,FALSE))</f>
        <v>0</v>
      </c>
      <c r="F48" s="185" t="str">
        <f>IF(D48="Dosen",VLOOKUP('Join TPA Dosen'!B48,Dosen!B:BC,48,FALSE),VLOOKUP(B48,TPA!B:BE,52,FALSE))</f>
        <v>Riza Akhsani Setyo Prayoga, S.Kom., M.MT.</v>
      </c>
      <c r="G48" s="185" t="str">
        <f>IF(D48="Dosen",VLOOKUP('Join TPA Dosen'!B48,Dosen!B:BC,32,FALSE),VLOOKUP(B48,TPA!B:BE,44,FALSE))</f>
        <v> </v>
      </c>
    </row>
    <row r="49" spans="1:7" ht="15.95">
      <c r="A49" s="31">
        <f t="shared" si="0"/>
        <v>48</v>
      </c>
      <c r="B49" s="32" t="s">
        <v>111</v>
      </c>
      <c r="C49" s="32" t="s">
        <v>20</v>
      </c>
      <c r="D49" s="31" t="s">
        <v>21</v>
      </c>
      <c r="E49" s="185" t="str">
        <f>IF(D49="Dosen",VLOOKUP('Join TPA Dosen'!B49,Dosen!B:BC,6,FALSE),VLOOKUP(B49,TPA!B:BE,5,FALSE))</f>
        <v>7845773674130212</v>
      </c>
      <c r="F49" s="185" t="str">
        <f>IF(D49="Dosen",VLOOKUP('Join TPA Dosen'!B49,Dosen!B:BC,48,FALSE),VLOOKUP(B49,TPA!B:BE,52,FALSE))</f>
        <v>Ahmad Wali Satria Bahari Johan, S.ST., M.Kom.</v>
      </c>
      <c r="G49" s="185" t="str">
        <f>IF(D49="Dosen",VLOOKUP('Join TPA Dosen'!B49,Dosen!B:BC,32,FALSE),VLOOKUP(B49,TPA!B:BE,44,FALSE))</f>
        <v> </v>
      </c>
    </row>
    <row r="50" spans="1:7" ht="15.95">
      <c r="A50" s="31">
        <f t="shared" si="0"/>
        <v>49</v>
      </c>
      <c r="B50" s="32" t="s">
        <v>116</v>
      </c>
      <c r="C50" s="32" t="s">
        <v>20</v>
      </c>
      <c r="D50" s="31" t="s">
        <v>21</v>
      </c>
      <c r="E50" s="185" t="str">
        <f>IF(D50="Dosen",VLOOKUP('Join TPA Dosen'!B50,Dosen!B:BC,6,FALSE),VLOOKUP(B50,TPA!B:BE,5,FALSE))</f>
        <v>2643772673130292</v>
      </c>
      <c r="F50" s="185" t="str">
        <f>IF(D50="Dosen",VLOOKUP('Join TPA Dosen'!B50,Dosen!B:BC,48,FALSE),VLOOKUP(B50,TPA!B:BE,52,FALSE))</f>
        <v>Muhammad Dzulfikar Fauzi, S.Kom., M.Cs.</v>
      </c>
      <c r="G50" s="185" t="str">
        <f>IF(D50="Dosen",VLOOKUP('Join TPA Dosen'!B50,Dosen!B:BC,32,FALSE),VLOOKUP(B50,TPA!B:BE,44,FALSE))</f>
        <v> </v>
      </c>
    </row>
    <row r="51" spans="1:7" ht="15.95">
      <c r="A51" s="31">
        <f t="shared" si="0"/>
        <v>50</v>
      </c>
      <c r="B51" s="32" t="s">
        <v>121</v>
      </c>
      <c r="C51" s="32" t="s">
        <v>20</v>
      </c>
      <c r="D51" s="31" t="s">
        <v>21</v>
      </c>
      <c r="E51" s="185" t="str">
        <f>IF(D51="Dosen",VLOOKUP('Join TPA Dosen'!B51,Dosen!B:BC,6,FALSE),VLOOKUP(B51,TPA!B:BE,5,FALSE))</f>
        <v>4138773674230223</v>
      </c>
      <c r="F51" s="185" t="str">
        <f>IF(D51="Dosen",VLOOKUP('Join TPA Dosen'!B51,Dosen!B:BC,48,FALSE),VLOOKUP(B51,TPA!B:BE,52,FALSE))</f>
        <v>Kharisma Monika Dian Pertiwi, S.Kom., M.Kom.</v>
      </c>
      <c r="G51" s="185" t="str">
        <f>IF(D51="Dosen",VLOOKUP('Join TPA Dosen'!B51,Dosen!B:BC,32,FALSE),VLOOKUP(B51,TPA!B:BE,44,FALSE))</f>
        <v> </v>
      </c>
    </row>
    <row r="52" spans="1:7" ht="15.95">
      <c r="A52" s="31">
        <f t="shared" si="0"/>
        <v>51</v>
      </c>
      <c r="B52" s="32" t="s">
        <v>125</v>
      </c>
      <c r="C52" s="32" t="s">
        <v>20</v>
      </c>
      <c r="D52" s="31" t="s">
        <v>21</v>
      </c>
      <c r="E52" s="185" t="str">
        <f>IF(D52="Dosen",VLOOKUP('Join TPA Dosen'!B52,Dosen!B:BC,6,FALSE),VLOOKUP(B52,TPA!B:BE,5,FALSE))</f>
        <v>2046775676130173</v>
      </c>
      <c r="F52" s="185" t="str">
        <f>IF(D52="Dosen",VLOOKUP('Join TPA Dosen'!B52,Dosen!B:BC,48,FALSE),VLOOKUP(B52,TPA!B:BE,52,FALSE))</f>
        <v>Rizky Fenaldo Maulana, S.Kom., M.Kom.</v>
      </c>
      <c r="G52" s="185" t="str">
        <f>IF(D52="Dosen",VLOOKUP('Join TPA Dosen'!B52,Dosen!B:BC,32,FALSE),VLOOKUP(B52,TPA!B:BE,44,FALSE))</f>
        <v> </v>
      </c>
    </row>
    <row r="53" spans="1:7" ht="15.95">
      <c r="A53" s="31">
        <f t="shared" si="0"/>
        <v>52</v>
      </c>
      <c r="B53" s="32" t="s">
        <v>200</v>
      </c>
      <c r="C53" s="32" t="s">
        <v>20</v>
      </c>
      <c r="D53" s="31" t="s">
        <v>21</v>
      </c>
      <c r="E53" s="185" t="str">
        <f>IF(D53="Dosen",VLOOKUP('Join TPA Dosen'!B53,Dosen!B:BC,6,FALSE),VLOOKUP(B53,TPA!B:BE,5,FALSE))</f>
        <v>1561772673230263</v>
      </c>
      <c r="F53" s="185" t="str">
        <f>IF(D53="Dosen",VLOOKUP('Join TPA Dosen'!B53,Dosen!B:BC,48,FALSE),VLOOKUP(B53,TPA!B:BE,52,FALSE))</f>
        <v>Amalia Nur Alifah, S.Si., M.Si.</v>
      </c>
      <c r="G53" s="185" t="str">
        <f>IF(D53="Dosen",VLOOKUP('Join TPA Dosen'!B53,Dosen!B:BC,32,FALSE),VLOOKUP(B53,TPA!B:BE,44,FALSE))</f>
        <v> </v>
      </c>
    </row>
    <row r="54" spans="1:7" ht="15.95">
      <c r="A54" s="31">
        <f t="shared" si="0"/>
        <v>53</v>
      </c>
      <c r="B54" s="32" t="s">
        <v>206</v>
      </c>
      <c r="C54" s="32" t="s">
        <v>46</v>
      </c>
      <c r="D54" s="31" t="s">
        <v>21</v>
      </c>
      <c r="E54" s="185" t="str">
        <f>IF(D54="Dosen",VLOOKUP('Join TPA Dosen'!B54,Dosen!B:BC,6,FALSE),VLOOKUP(B54,TPA!B:BE,5,FALSE))</f>
        <v>9439773674230232</v>
      </c>
      <c r="F54" s="185" t="str">
        <f>IF(D54="Dosen",VLOOKUP('Join TPA Dosen'!B54,Dosen!B:BC,48,FALSE),VLOOKUP(B54,TPA!B:BE,52,FALSE))</f>
        <v>Dr. Helisyah Nur Fadhilah, S.Si., M.Mat.</v>
      </c>
      <c r="G54" s="185" t="str">
        <f>IF(D54="Dosen",VLOOKUP('Join TPA Dosen'!B54,Dosen!B:BC,32,FALSE),VLOOKUP(B54,TPA!B:BE,44,FALSE))</f>
        <v> </v>
      </c>
    </row>
    <row r="55" spans="1:7" ht="15.95">
      <c r="A55" s="31">
        <f t="shared" si="0"/>
        <v>54</v>
      </c>
      <c r="B55" s="32" t="s">
        <v>211</v>
      </c>
      <c r="C55" s="32" t="s">
        <v>20</v>
      </c>
      <c r="D55" s="31" t="s">
        <v>21</v>
      </c>
      <c r="E55" s="185" t="str">
        <f>IF(D55="Dosen",VLOOKUP('Join TPA Dosen'!B55,Dosen!B:BC,6,FALSE),VLOOKUP(B55,TPA!B:BE,5,FALSE))</f>
        <v>3056773674130233</v>
      </c>
      <c r="F55" s="185" t="str">
        <f>IF(D55="Dosen",VLOOKUP('Join TPA Dosen'!B55,Dosen!B:BC,48,FALSE),VLOOKUP(B55,TPA!B:BE,52,FALSE))</f>
        <v>Moh. Hamim Zajuli Al Faroby, S.Si., M.Mat.</v>
      </c>
      <c r="G55" s="185" t="str">
        <f>IF(D55="Dosen",VLOOKUP('Join TPA Dosen'!B55,Dosen!B:BC,32,FALSE),VLOOKUP(B55,TPA!B:BE,44,FALSE))</f>
        <v> </v>
      </c>
    </row>
    <row r="56" spans="1:7" ht="15.95">
      <c r="A56" s="31">
        <f t="shared" si="0"/>
        <v>55</v>
      </c>
      <c r="B56" s="32" t="s">
        <v>457</v>
      </c>
      <c r="C56" s="32" t="s">
        <v>46</v>
      </c>
      <c r="D56" s="31" t="s">
        <v>21</v>
      </c>
      <c r="E56" s="185">
        <f>IF(D56="Dosen",VLOOKUP('Join TPA Dosen'!B56,Dosen!B:BC,6,FALSE),VLOOKUP(B56,TPA!B:BE,5,FALSE))</f>
        <v>0</v>
      </c>
      <c r="F56" s="185" t="str">
        <f>IF(D56="Dosen",VLOOKUP('Join TPA Dosen'!B56,Dosen!B:BC,48,FALSE),VLOOKUP(B56,TPA!B:BE,52,FALSE))</f>
        <v>Ahmad Faisal Dahlan, S.T., M.Eng.</v>
      </c>
      <c r="G56" s="185" t="str">
        <f>IF(D56="Dosen",VLOOKUP('Join TPA Dosen'!B56,Dosen!B:BC,32,FALSE),VLOOKUP(B56,TPA!B:BE,44,FALSE))</f>
        <v> </v>
      </c>
    </row>
    <row r="57" spans="1:7" ht="15.95">
      <c r="A57" s="31">
        <f t="shared" si="0"/>
        <v>56</v>
      </c>
      <c r="B57" s="32" t="s">
        <v>461</v>
      </c>
      <c r="C57" s="32" t="s">
        <v>20</v>
      </c>
      <c r="D57" s="31" t="s">
        <v>21</v>
      </c>
      <c r="E57" s="185" t="str">
        <f>IF(D57="Dosen",VLOOKUP('Join TPA Dosen'!B57,Dosen!B:BC,6,FALSE),VLOOKUP(B57,TPA!B:BE,5,FALSE))</f>
        <v>5539771672230282</v>
      </c>
      <c r="F57" s="185" t="str">
        <f>IF(D57="Dosen",VLOOKUP('Join TPA Dosen'!B57,Dosen!B:BC,48,FALSE),VLOOKUP(B57,TPA!B:BE,52,FALSE))</f>
        <v>Desita Nur Rachmaniar, S.T., M.Sc.</v>
      </c>
      <c r="G57" s="185" t="str">
        <f>IF(D57="Dosen",VLOOKUP('Join TPA Dosen'!B57,Dosen!B:BC,32,FALSE),VLOOKUP(B57,TPA!B:BE,44,FALSE))</f>
        <v> </v>
      </c>
    </row>
    <row r="58" spans="1:7" ht="15.95">
      <c r="A58" s="31">
        <f t="shared" si="0"/>
        <v>57</v>
      </c>
      <c r="B58" s="32" t="s">
        <v>465</v>
      </c>
      <c r="C58" s="32" t="s">
        <v>20</v>
      </c>
      <c r="D58" s="31" t="s">
        <v>21</v>
      </c>
      <c r="E58" s="185" t="str">
        <f>IF(D58="Dosen",VLOOKUP('Join TPA Dosen'!B58,Dosen!B:BC,6,FALSE),VLOOKUP(B58,TPA!B:BE,5,FALSE))</f>
        <v>8055773674230213</v>
      </c>
      <c r="F58" s="185" t="str">
        <f>IF(D58="Dosen",VLOOKUP('Join TPA Dosen'!B58,Dosen!B:BC,48,FALSE),VLOOKUP(B58,TPA!B:BE,52,FALSE))</f>
        <v>Granita Hajar, S.T., M.T.</v>
      </c>
      <c r="G58" s="185" t="str">
        <f>IF(D58="Dosen",VLOOKUP('Join TPA Dosen'!B58,Dosen!B:BC,32,FALSE),VLOOKUP(B58,TPA!B:BE,44,FALSE))</f>
        <v> </v>
      </c>
    </row>
    <row r="59" spans="1:7" ht="15.95">
      <c r="A59" s="31">
        <f t="shared" si="0"/>
        <v>58</v>
      </c>
      <c r="B59" s="32" t="s">
        <v>469</v>
      </c>
      <c r="C59" s="32" t="s">
        <v>20</v>
      </c>
      <c r="D59" s="31" t="s">
        <v>21</v>
      </c>
      <c r="E59" s="185" t="str">
        <f>IF(D59="Dosen",VLOOKUP('Join TPA Dosen'!B59,Dosen!B:BC,6,FALSE),VLOOKUP(B59,TPA!B:BE,5,FALSE))</f>
        <v>5844771672230322</v>
      </c>
      <c r="F59" s="185" t="str">
        <f>IF(D59="Dosen",VLOOKUP('Join TPA Dosen'!B59,Dosen!B:BC,48,FALSE),VLOOKUP(B59,TPA!B:BE,52,FALSE))</f>
        <v>Nisa Isrofi, S.T., M.T.</v>
      </c>
      <c r="G59" s="185" t="str">
        <f>IF(D59="Dosen",VLOOKUP('Join TPA Dosen'!B59,Dosen!B:BC,32,FALSE),VLOOKUP(B59,TPA!B:BE,44,FALSE))</f>
        <v> </v>
      </c>
    </row>
    <row r="60" spans="1:7" ht="15.95">
      <c r="A60" s="31">
        <f t="shared" si="0"/>
        <v>59</v>
      </c>
      <c r="B60" s="32" t="s">
        <v>501</v>
      </c>
      <c r="C60" s="32" t="s">
        <v>20</v>
      </c>
      <c r="D60" s="31" t="s">
        <v>21</v>
      </c>
      <c r="E60" s="185" t="str">
        <f>IF(D60="Dosen",VLOOKUP('Join TPA Dosen'!B60,Dosen!B:BC,6,FALSE),VLOOKUP(B60,TPA!B:BE,5,FALSE))</f>
        <v>0454769670130263</v>
      </c>
      <c r="F60" s="185" t="str">
        <f>IF(D60="Dosen",VLOOKUP('Join TPA Dosen'!B60,Dosen!B:BC,48,FALSE),VLOOKUP(B60,TPA!B:BE,52,FALSE))</f>
        <v>Dr. Fannush Shofi Akbar, S.ST.</v>
      </c>
      <c r="G60" s="185" t="str">
        <f>IF(D60="Dosen",VLOOKUP('Join TPA Dosen'!B60,Dosen!B:BC,32,FALSE),VLOOKUP(B60,TPA!B:BE,44,FALSE))</f>
        <v> </v>
      </c>
    </row>
    <row r="61" spans="1:7" ht="15.95">
      <c r="A61" s="31">
        <f t="shared" si="0"/>
        <v>60</v>
      </c>
      <c r="B61" s="32" t="s">
        <v>432</v>
      </c>
      <c r="C61" s="32" t="s">
        <v>46</v>
      </c>
      <c r="D61" s="31" t="s">
        <v>21</v>
      </c>
      <c r="E61" s="185">
        <f>IF(D61="Dosen",VLOOKUP('Join TPA Dosen'!B61,Dosen!B:BC,6,FALSE),VLOOKUP(B61,TPA!B:BE,5,FALSE))</f>
        <v>0</v>
      </c>
      <c r="F61" s="185" t="str">
        <f>IF(D61="Dosen",VLOOKUP('Join TPA Dosen'!B61,Dosen!B:BC,48,FALSE),VLOOKUP(B61,TPA!B:BE,52,FALSE))</f>
        <v>Aulia Rahma Annisa, S.ST., M.T.</v>
      </c>
      <c r="G61" s="185" t="str">
        <f>IF(D61="Dosen",VLOOKUP('Join TPA Dosen'!B61,Dosen!B:BC,32,FALSE),VLOOKUP(B61,TPA!B:BE,44,FALSE))</f>
        <v> </v>
      </c>
    </row>
    <row r="62" spans="1:7" ht="15.95">
      <c r="A62" s="31">
        <f t="shared" si="0"/>
        <v>61</v>
      </c>
      <c r="B62" s="32" t="s">
        <v>264</v>
      </c>
      <c r="C62" s="32" t="s">
        <v>20</v>
      </c>
      <c r="D62" s="31" t="s">
        <v>21</v>
      </c>
      <c r="E62" s="185" t="str">
        <f>IF(D62="Dosen",VLOOKUP('Join TPA Dosen'!B62,Dosen!B:BC,6,FALSE),VLOOKUP(B62,TPA!B:BE,5,FALSE))</f>
        <v>6152767668230373</v>
      </c>
      <c r="F62" s="185" t="str">
        <f>IF(D62="Dosen",VLOOKUP('Join TPA Dosen'!B62,Dosen!B:BC,48,FALSE),VLOOKUP(B62,TPA!B:BE,52,FALSE))</f>
        <v>Aris Kusumawati, S.Kom., M.Kom.</v>
      </c>
      <c r="G62" s="185" t="str">
        <f>IF(D62="Dosen",VLOOKUP('Join TPA Dosen'!B62,Dosen!B:BC,32,FALSE),VLOOKUP(B62,TPA!B:BE,44,FALSE))</f>
        <v> </v>
      </c>
    </row>
    <row r="63" spans="1:7" ht="15.95">
      <c r="A63" s="31">
        <f t="shared" si="0"/>
        <v>62</v>
      </c>
      <c r="B63" s="32" t="s">
        <v>268</v>
      </c>
      <c r="C63" s="32" t="s">
        <v>20</v>
      </c>
      <c r="D63" s="31" t="s">
        <v>21</v>
      </c>
      <c r="E63" s="185" t="str">
        <f>IF(D63="Dosen",VLOOKUP('Join TPA Dosen'!B63,Dosen!B:BC,6,FALSE),VLOOKUP(B63,TPA!B:BE,5,FALSE))</f>
        <v>7440769670130263</v>
      </c>
      <c r="F63" s="185" t="str">
        <f>IF(D63="Dosen",VLOOKUP('Join TPA Dosen'!B63,Dosen!B:BC,48,FALSE),VLOOKUP(B63,TPA!B:BE,52,FALSE))</f>
        <v>Mochamad Nizar Palefi Ma'ady, S.Kom., M.Kom., M.IM.</v>
      </c>
      <c r="G63" s="185" t="str">
        <f>IF(D63="Dosen",VLOOKUP('Join TPA Dosen'!B63,Dosen!B:BC,32,FALSE),VLOOKUP(B63,TPA!B:BE,44,FALSE))</f>
        <v> </v>
      </c>
    </row>
    <row r="64" spans="1:7" ht="15.95">
      <c r="A64" s="31">
        <f t="shared" si="0"/>
        <v>63</v>
      </c>
      <c r="B64" s="32" t="s">
        <v>273</v>
      </c>
      <c r="C64" s="32" t="s">
        <v>20</v>
      </c>
      <c r="D64" s="31" t="s">
        <v>21</v>
      </c>
      <c r="E64" s="185" t="str">
        <f>IF(D64="Dosen",VLOOKUP('Join TPA Dosen'!B64,Dosen!B:BC,6,FALSE),VLOOKUP(B64,TPA!B:BE,5,FALSE))</f>
        <v>0256765666130223</v>
      </c>
      <c r="F64" s="185" t="str">
        <f>IF(D64="Dosen",VLOOKUP('Join TPA Dosen'!B64,Dosen!B:BC,48,FALSE),VLOOKUP(B64,TPA!B:BE,52,FALSE))</f>
        <v>Purnama Anaking, S.Kom., M.Kom.</v>
      </c>
      <c r="G64" s="185" t="str">
        <f>IF(D64="Dosen",VLOOKUP('Join TPA Dosen'!B64,Dosen!B:BC,32,FALSE),VLOOKUP(B64,TPA!B:BE,44,FALSE))</f>
        <v> </v>
      </c>
    </row>
    <row r="65" spans="1:7" ht="15.95">
      <c r="A65" s="31">
        <f t="shared" si="0"/>
        <v>64</v>
      </c>
      <c r="B65" s="32" t="s">
        <v>506</v>
      </c>
      <c r="C65" s="32" t="s">
        <v>20</v>
      </c>
      <c r="D65" s="31" t="s">
        <v>21</v>
      </c>
      <c r="E65" s="185" t="str">
        <f>IF(D65="Dosen",VLOOKUP('Join TPA Dosen'!B65,Dosen!B:BC,6,FALSE),VLOOKUP(B65,TPA!B:BE,5,FALSE))</f>
        <v>9546774675230212</v>
      </c>
      <c r="F65" s="185" t="str">
        <f>IF(D65="Dosen",VLOOKUP('Join TPA Dosen'!B65,Dosen!B:BC,48,FALSE),VLOOKUP(B65,TPA!B:BE,52,FALSE))</f>
        <v>Arrizky Ayu Faradila Purnama, S.T., M.T.</v>
      </c>
      <c r="G65" s="185" t="str">
        <f>IF(D65="Dosen",VLOOKUP('Join TPA Dosen'!B65,Dosen!B:BC,32,FALSE),VLOOKUP(B65,TPA!B:BE,44,FALSE))</f>
        <v> </v>
      </c>
    </row>
    <row r="66" spans="1:7" ht="15.95">
      <c r="A66" s="31">
        <f t="shared" si="0"/>
        <v>65</v>
      </c>
      <c r="B66" s="32" t="s">
        <v>215</v>
      </c>
      <c r="C66" s="32" t="s">
        <v>20</v>
      </c>
      <c r="D66" s="31" t="s">
        <v>21</v>
      </c>
      <c r="E66" s="185" t="str">
        <f>IF(D66="Dosen",VLOOKUP('Join TPA Dosen'!B66,Dosen!B:BC,6,FALSE),VLOOKUP(B66,TPA!B:BE,5,FALSE))</f>
        <v>0262774675230173</v>
      </c>
      <c r="F66" s="185" t="str">
        <f>IF(D66="Dosen",VLOOKUP('Join TPA Dosen'!B66,Dosen!B:BC,48,FALSE),VLOOKUP(B66,TPA!B:BE,52,FALSE))</f>
        <v>Regita Putri Permata, S.Stat., M.Stat.</v>
      </c>
      <c r="G66" s="185" t="str">
        <f>IF(D66="Dosen",VLOOKUP('Join TPA Dosen'!B66,Dosen!B:BC,32,FALSE),VLOOKUP(B66,TPA!B:BE,44,FALSE))</f>
        <v> </v>
      </c>
    </row>
    <row r="67" spans="1:7" ht="15.95">
      <c r="A67" s="31">
        <f t="shared" si="0"/>
        <v>66</v>
      </c>
      <c r="B67" s="32" t="s">
        <v>220</v>
      </c>
      <c r="C67" s="32" t="s">
        <v>20</v>
      </c>
      <c r="D67" s="31" t="s">
        <v>21</v>
      </c>
      <c r="E67" s="185" t="str">
        <f>IF(D67="Dosen",VLOOKUP('Join TPA Dosen'!B67,Dosen!B:BC,6,FALSE),VLOOKUP(B67,TPA!B:BE,5,FALSE))</f>
        <v>1946768669230292</v>
      </c>
      <c r="F67" s="185" t="str">
        <f>IF(D67="Dosen",VLOOKUP('Join TPA Dosen'!B67,Dosen!B:BC,48,FALSE),VLOOKUP(B67,TPA!B:BE,52,FALSE))</f>
        <v>Rifdatun Ni'mah, S.Si., M.Si.</v>
      </c>
      <c r="G67" s="185" t="str">
        <f>IF(D67="Dosen",VLOOKUP('Join TPA Dosen'!B67,Dosen!B:BC,32,FALSE),VLOOKUP(B67,TPA!B:BE,44,FALSE))</f>
        <v> </v>
      </c>
    </row>
    <row r="68" spans="1:7" ht="15.95">
      <c r="A68" s="31">
        <f t="shared" ref="A68:A131" si="1">A67+1</f>
        <v>67</v>
      </c>
      <c r="B68" s="32" t="s">
        <v>510</v>
      </c>
      <c r="C68" s="32" t="s">
        <v>46</v>
      </c>
      <c r="D68" s="31" t="s">
        <v>21</v>
      </c>
      <c r="E68" s="185">
        <f>IF(D68="Dosen",VLOOKUP('Join TPA Dosen'!B68,Dosen!B:BC,6,FALSE),VLOOKUP(B68,TPA!B:BE,5,FALSE))</f>
        <v>0</v>
      </c>
      <c r="F68" s="185" t="str">
        <f>IF(D68="Dosen",VLOOKUP('Join TPA Dosen'!B68,Dosen!B:BC,48,FALSE),VLOOKUP(B68,TPA!B:BE,52,FALSE))</f>
        <v>Rifa Atul Izza Asyari, S.T., M.Sc.</v>
      </c>
      <c r="G68" s="185" t="str">
        <f>IF(D68="Dosen",VLOOKUP('Join TPA Dosen'!B68,Dosen!B:BC,32,FALSE),VLOOKUP(B68,TPA!B:BE,44,FALSE))</f>
        <v> </v>
      </c>
    </row>
    <row r="69" spans="1:7" ht="15.95">
      <c r="A69" s="31">
        <f t="shared" si="1"/>
        <v>68</v>
      </c>
      <c r="B69" s="32" t="s">
        <v>552</v>
      </c>
      <c r="C69" s="32" t="s">
        <v>20</v>
      </c>
      <c r="D69" s="31" t="s">
        <v>21</v>
      </c>
      <c r="E69" s="185" t="str">
        <f>IF(D69="Dosen",VLOOKUP('Join TPA Dosen'!B69,Dosen!B:BC,6,FALSE),VLOOKUP(B69,TPA!B:BE,5,FALSE))</f>
        <v>7545775676130142</v>
      </c>
      <c r="F69" s="185" t="str">
        <f>IF(D69="Dosen",VLOOKUP('Join TPA Dosen'!B69,Dosen!B:BC,48,FALSE),VLOOKUP(B69,TPA!B:BE,52,FALSE))</f>
        <v>Muhammad Adib Kamali, S.T., M.Eng.</v>
      </c>
      <c r="G69" s="185" t="str">
        <f>IF(D69="Dosen",VLOOKUP('Join TPA Dosen'!B69,Dosen!B:BC,32,FALSE),VLOOKUP(B69,TPA!B:BE,44,FALSE))</f>
        <v> </v>
      </c>
    </row>
    <row r="70" spans="1:7" ht="15.95">
      <c r="A70" s="31">
        <f t="shared" si="1"/>
        <v>69</v>
      </c>
      <c r="B70" s="32" t="s">
        <v>277</v>
      </c>
      <c r="C70" s="32" t="s">
        <v>20</v>
      </c>
      <c r="D70" s="31" t="s">
        <v>21</v>
      </c>
      <c r="E70" s="185" t="str">
        <f>IF(D70="Dosen",VLOOKUP('Join TPA Dosen'!B70,Dosen!B:BC,6,FALSE),VLOOKUP(B70,TPA!B:BE,5,FALSE))</f>
        <v>1351772673230253</v>
      </c>
      <c r="F70" s="185" t="str">
        <f>IF(D70="Dosen",VLOOKUP('Join TPA Dosen'!B70,Dosen!B:BC,48,FALSE),VLOOKUP(B70,TPA!B:BE,52,FALSE))</f>
        <v>Raulia Riski, S.Kom., M.Kom., M.M.S.</v>
      </c>
      <c r="G70" s="185" t="str">
        <f>IF(D70="Dosen",VLOOKUP('Join TPA Dosen'!B70,Dosen!B:BC,32,FALSE),VLOOKUP(B70,TPA!B:BE,44,FALSE))</f>
        <v> </v>
      </c>
    </row>
    <row r="71" spans="1:7" ht="15.95">
      <c r="A71" s="31">
        <f t="shared" si="1"/>
        <v>70</v>
      </c>
      <c r="B71" s="32" t="s">
        <v>224</v>
      </c>
      <c r="C71" s="32" t="s">
        <v>20</v>
      </c>
      <c r="D71" s="31" t="s">
        <v>21</v>
      </c>
      <c r="E71" s="185" t="str">
        <f>IF(D71="Dosen",VLOOKUP('Join TPA Dosen'!B71,Dosen!B:BC,6,FALSE),VLOOKUP(B71,TPA!B:BE,5,FALSE))</f>
        <v>6455771672230313</v>
      </c>
      <c r="F71" s="185" t="str">
        <f>IF(D71="Dosen",VLOOKUP('Join TPA Dosen'!B71,Dosen!B:BC,48,FALSE),VLOOKUP(B71,TPA!B:BE,52,FALSE))</f>
        <v>Sri Hidayati, S.Si., M.Stat.</v>
      </c>
      <c r="G71" s="185" t="str">
        <f>IF(D71="Dosen",VLOOKUP('Join TPA Dosen'!B71,Dosen!B:BC,32,FALSE),VLOOKUP(B71,TPA!B:BE,44,FALSE))</f>
        <v> </v>
      </c>
    </row>
    <row r="72" spans="1:7" ht="15.95">
      <c r="A72" s="31">
        <f t="shared" si="1"/>
        <v>71</v>
      </c>
      <c r="B72" s="32" t="s">
        <v>557</v>
      </c>
      <c r="C72" s="32" t="s">
        <v>46</v>
      </c>
      <c r="D72" s="31" t="s">
        <v>21</v>
      </c>
      <c r="E72" s="185">
        <f>IF(D72="Dosen",VLOOKUP('Join TPA Dosen'!B72,Dosen!B:BC,6,FALSE),VLOOKUP(B72,TPA!B:BE,5,FALSE))</f>
        <v>0</v>
      </c>
      <c r="F72" s="185" t="str">
        <f>IF(D72="Dosen",VLOOKUP('Join TPA Dosen'!B72,Dosen!B:BC,48,FALSE),VLOOKUP(B72,TPA!B:BE,52,FALSE))</f>
        <v>Fauzan Nusyura, S.T., M.T.</v>
      </c>
      <c r="G72" s="185" t="str">
        <f>IF(D72="Dosen",VLOOKUP('Join TPA Dosen'!B72,Dosen!B:BC,32,FALSE),VLOOKUP(B72,TPA!B:BE,44,FALSE))</f>
        <v> </v>
      </c>
    </row>
    <row r="73" spans="1:7" ht="15.95">
      <c r="A73" s="31">
        <f t="shared" si="1"/>
        <v>72</v>
      </c>
      <c r="B73" s="32" t="s">
        <v>50</v>
      </c>
      <c r="C73" s="32" t="s">
        <v>20</v>
      </c>
      <c r="D73" s="31" t="s">
        <v>21</v>
      </c>
      <c r="E73" s="185" t="str">
        <f>IF(D73="Dosen",VLOOKUP('Join TPA Dosen'!B73,Dosen!B:BC,6,FALSE),VLOOKUP(B73,TPA!B:BE,5,FALSE))</f>
        <v>7540767668130283</v>
      </c>
      <c r="F73" s="185" t="str">
        <f>IF(D73="Dosen",VLOOKUP('Join TPA Dosen'!B73,Dosen!B:BC,48,FALSE),VLOOKUP(B73,TPA!B:BE,52,FALSE))</f>
        <v>Caesareano Lafado Yesa, S.M.B., M.M.</v>
      </c>
      <c r="G73" s="185" t="str">
        <f>IF(D73="Dosen",VLOOKUP('Join TPA Dosen'!B73,Dosen!B:BC,32,FALSE),VLOOKUP(B73,TPA!B:BE,44,FALSE))</f>
        <v> </v>
      </c>
    </row>
    <row r="74" spans="1:7" ht="15.95">
      <c r="A74" s="31">
        <f t="shared" si="1"/>
        <v>73</v>
      </c>
      <c r="B74" s="32" t="s">
        <v>192</v>
      </c>
      <c r="C74" s="32" t="s">
        <v>20</v>
      </c>
      <c r="D74" s="31" t="s">
        <v>21</v>
      </c>
      <c r="E74" s="185" t="str">
        <f>IF(D74="Dosen",VLOOKUP('Join TPA Dosen'!B74,Dosen!B:BC,6,FALSE),VLOOKUP(B74,TPA!B:BE,5,FALSE))</f>
        <v>7860763664130242</v>
      </c>
      <c r="F74" s="185" t="str">
        <f>IF(D74="Dosen",VLOOKUP('Join TPA Dosen'!B74,Dosen!B:BC,48,FALSE),VLOOKUP(B74,TPA!B:BE,52,FALSE))</f>
        <v>Achmad Muzakki, S.Kom., M.Kom.</v>
      </c>
      <c r="G74" s="185" t="str">
        <f>IF(D74="Dosen",VLOOKUP('Join TPA Dosen'!B74,Dosen!B:BC,32,FALSE),VLOOKUP(B74,TPA!B:BE,44,FALSE))</f>
        <v> </v>
      </c>
    </row>
    <row r="75" spans="1:7" ht="15.95">
      <c r="A75" s="31">
        <f t="shared" si="1"/>
        <v>74</v>
      </c>
      <c r="B75" s="32" t="s">
        <v>386</v>
      </c>
      <c r="C75" s="32" t="s">
        <v>20</v>
      </c>
      <c r="D75" s="31" t="s">
        <v>21</v>
      </c>
      <c r="E75" s="185" t="str">
        <f>IF(D75="Dosen",VLOOKUP('Join TPA Dosen'!B75,Dosen!B:BC,6,FALSE),VLOOKUP(B75,TPA!B:BE,5,FALSE))</f>
        <v>8455774675230163</v>
      </c>
      <c r="F75" s="185" t="str">
        <f>IF(D75="Dosen",VLOOKUP('Join TPA Dosen'!B75,Dosen!B:BC,48,FALSE),VLOOKUP(B75,TPA!B:BE,52,FALSE))</f>
        <v>Silvi Istiqomah, S.T., M.T.</v>
      </c>
      <c r="G75" s="185" t="str">
        <f>IF(D75="Dosen",VLOOKUP('Join TPA Dosen'!B75,Dosen!B:BC,32,FALSE),VLOOKUP(B75,TPA!B:BE,44,FALSE))</f>
        <v> </v>
      </c>
    </row>
    <row r="76" spans="1:7" ht="15.95">
      <c r="A76" s="31">
        <f t="shared" si="1"/>
        <v>75</v>
      </c>
      <c r="B76" s="32" t="s">
        <v>28</v>
      </c>
      <c r="C76" s="32" t="s">
        <v>20</v>
      </c>
      <c r="D76" s="31" t="s">
        <v>21</v>
      </c>
      <c r="E76" s="185" t="str">
        <f>IF(D76="Dosen",VLOOKUP('Join TPA Dosen'!B76,Dosen!B:BC,6,FALSE),VLOOKUP(B76,TPA!B:BE,5,FALSE))</f>
        <v>2941770671230372</v>
      </c>
      <c r="F76" s="185" t="str">
        <f>IF(D76="Dosen",VLOOKUP('Join TPA Dosen'!B76,Dosen!B:BC,48,FALSE),VLOOKUP(B76,TPA!B:BE,52,FALSE))</f>
        <v>Darlin Aulia, S. E., M.S.Ak.</v>
      </c>
      <c r="G76" s="185" t="str">
        <f>IF(D76="Dosen",VLOOKUP('Join TPA Dosen'!B76,Dosen!B:BC,32,FALSE),VLOOKUP(B76,TPA!B:BE,44,FALSE))</f>
        <v> </v>
      </c>
    </row>
    <row r="77" spans="1:7" ht="15.95">
      <c r="A77" s="31">
        <f t="shared" si="1"/>
        <v>76</v>
      </c>
      <c r="B77" s="32" t="s">
        <v>390</v>
      </c>
      <c r="C77" s="32" t="s">
        <v>46</v>
      </c>
      <c r="D77" s="31" t="s">
        <v>21</v>
      </c>
      <c r="E77" s="185">
        <f>IF(D77="Dosen",VLOOKUP('Join TPA Dosen'!B77,Dosen!B:BC,6,FALSE),VLOOKUP(B77,TPA!B:BE,5,FALSE))</f>
        <v>0</v>
      </c>
      <c r="F77" s="185" t="str">
        <f>IF(D77="Dosen",VLOOKUP('Join TPA Dosen'!B77,Dosen!B:BC,48,FALSE),VLOOKUP(B77,TPA!B:BE,52,FALSE))</f>
        <v>Perdana Suteja Putra, S.T., M.T.</v>
      </c>
      <c r="G77" s="185" t="str">
        <f>IF(D77="Dosen",VLOOKUP('Join TPA Dosen'!B77,Dosen!B:BC,32,FALSE),VLOOKUP(B77,TPA!B:BE,44,FALSE))</f>
        <v> </v>
      </c>
    </row>
    <row r="78" spans="1:7" ht="15.95">
      <c r="A78" s="31">
        <f t="shared" si="1"/>
        <v>77</v>
      </c>
      <c r="B78" s="32" t="s">
        <v>435</v>
      </c>
      <c r="C78" s="32" t="s">
        <v>46</v>
      </c>
      <c r="D78" s="31" t="s">
        <v>21</v>
      </c>
      <c r="E78" s="185">
        <f>IF(D78="Dosen",VLOOKUP('Join TPA Dosen'!B78,Dosen!B:BC,6,FALSE),VLOOKUP(B78,TPA!B:BE,5,FALSE))</f>
        <v>0</v>
      </c>
      <c r="F78" s="185" t="str">
        <f>IF(D78="Dosen",VLOOKUP('Join TPA Dosen'!B78,Dosen!B:BC,48,FALSE),VLOOKUP(B78,TPA!B:BE,52,FALSE))</f>
        <v>Nanda Iryani, S.T., M.T.</v>
      </c>
      <c r="G78" s="185" t="str">
        <f>IF(D78="Dosen",VLOOKUP('Join TPA Dosen'!B78,Dosen!B:BC,32,FALSE),VLOOKUP(B78,TPA!B:BE,44,FALSE))</f>
        <v> </v>
      </c>
    </row>
    <row r="79" spans="1:7" ht="15.95">
      <c r="A79" s="31">
        <f t="shared" si="1"/>
        <v>78</v>
      </c>
      <c r="B79" s="32" t="s">
        <v>60</v>
      </c>
      <c r="C79" s="32" t="s">
        <v>20</v>
      </c>
      <c r="D79" s="31" t="s">
        <v>21</v>
      </c>
      <c r="E79" s="185" t="str">
        <f>IF(D79="Dosen",VLOOKUP('Join TPA Dosen'!B79,Dosen!B:BC,6,FALSE),VLOOKUP(B79,TPA!B:BE,5,FALSE))</f>
        <v>1138750652130163</v>
      </c>
      <c r="F79" s="185" t="str">
        <f>IF(D79="Dosen",VLOOKUP('Join TPA Dosen'!B79,Dosen!B:BC,48,FALSE),VLOOKUP(B79,TPA!B:BE,52,FALSE))</f>
        <v>Agoes Windarto, S.T., M.M.</v>
      </c>
      <c r="G79" s="185" t="str">
        <f>IF(D79="Dosen",VLOOKUP('Join TPA Dosen'!B79,Dosen!B:BC,32,FALSE),VLOOKUP(B79,TPA!B:BE,44,FALSE))</f>
        <v> </v>
      </c>
    </row>
    <row r="80" spans="1:7" ht="15.95">
      <c r="A80" s="31">
        <f t="shared" si="1"/>
        <v>79</v>
      </c>
      <c r="B80" s="32" t="s">
        <v>282</v>
      </c>
      <c r="C80" s="32" t="s">
        <v>20</v>
      </c>
      <c r="D80" s="31" t="s">
        <v>21</v>
      </c>
      <c r="E80" s="185" t="str">
        <f>IF(D80="Dosen",VLOOKUP('Join TPA Dosen'!B80,Dosen!B:BC,6,FALSE),VLOOKUP(B80,TPA!B:BE,5,FALSE))</f>
        <v>5142772673130293</v>
      </c>
      <c r="F80" s="185" t="str">
        <f>IF(D80="Dosen",VLOOKUP('Join TPA Dosen'!B80,Dosen!B:BC,48,FALSE),VLOOKUP(B80,TPA!B:BE,52,FALSE))</f>
        <v>Adzanil Rachmadhi Putra, S.Kom., M.Kom.</v>
      </c>
      <c r="G80" s="185" t="str">
        <f>IF(D80="Dosen",VLOOKUP('Join TPA Dosen'!B80,Dosen!B:BC,32,FALSE),VLOOKUP(B80,TPA!B:BE,44,FALSE))</f>
        <v> </v>
      </c>
    </row>
    <row r="81" spans="1:7" ht="15.95">
      <c r="A81" s="31">
        <f t="shared" si="1"/>
        <v>80</v>
      </c>
      <c r="B81" s="32" t="s">
        <v>286</v>
      </c>
      <c r="C81" s="32" t="s">
        <v>46</v>
      </c>
      <c r="D81" s="31" t="s">
        <v>21</v>
      </c>
      <c r="E81" s="185" t="str">
        <f>IF(D81="Dosen",VLOOKUP('Join TPA Dosen'!B81,Dosen!B:BC,6,FALSE),VLOOKUP(B81,TPA!B:BE,5,FALSE))</f>
        <v>1139771672230283</v>
      </c>
      <c r="F81" s="185" t="str">
        <f>IF(D81="Dosen",VLOOKUP('Join TPA Dosen'!B81,Dosen!B:BC,48,FALSE),VLOOKUP(B81,TPA!B:BE,52,FALSE))</f>
        <v>Affifiana Prisyanti, S.Kom., M.Kom.</v>
      </c>
      <c r="G81" s="185" t="str">
        <f>IF(D81="Dosen",VLOOKUP('Join TPA Dosen'!B81,Dosen!B:BC,32,FALSE),VLOOKUP(B81,TPA!B:BE,44,FALSE))</f>
        <v> </v>
      </c>
    </row>
    <row r="82" spans="1:7" ht="15.95">
      <c r="A82" s="31">
        <f t="shared" si="1"/>
        <v>81</v>
      </c>
      <c r="B82" s="32" t="s">
        <v>290</v>
      </c>
      <c r="C82" s="32" t="s">
        <v>20</v>
      </c>
      <c r="D82" s="31" t="s">
        <v>21</v>
      </c>
      <c r="E82" s="185" t="str">
        <f>IF(D82="Dosen",VLOOKUP('Join TPA Dosen'!B82,Dosen!B:BC,6,FALSE),VLOOKUP(B82,TPA!B:BE,5,FALSE))</f>
        <v>4861774675130202</v>
      </c>
      <c r="F82" s="185" t="str">
        <f>IF(D82="Dosen",VLOOKUP('Join TPA Dosen'!B82,Dosen!B:BC,48,FALSE),VLOOKUP(B82,TPA!B:BE,52,FALSE))</f>
        <v>Alifiansyah Arrizqy Hidayat, S.Kom., M.Kom.</v>
      </c>
      <c r="G82" s="185" t="str">
        <f>IF(D82="Dosen",VLOOKUP('Join TPA Dosen'!B82,Dosen!B:BC,32,FALSE),VLOOKUP(B82,TPA!B:BE,44,FALSE))</f>
        <v> </v>
      </c>
    </row>
    <row r="83" spans="1:7" ht="15.95">
      <c r="A83" s="31">
        <f t="shared" si="1"/>
        <v>82</v>
      </c>
      <c r="B83" s="32" t="s">
        <v>294</v>
      </c>
      <c r="C83" s="32" t="s">
        <v>20</v>
      </c>
      <c r="D83" s="31" t="s">
        <v>21</v>
      </c>
      <c r="E83" s="185" t="str">
        <f>IF(D83="Dosen",VLOOKUP('Join TPA Dosen'!B83,Dosen!B:BC,6,FALSE),VLOOKUP(B83,TPA!B:BE,5,FALSE))</f>
        <v>8256773674230223</v>
      </c>
      <c r="F83" s="185" t="str">
        <f>IF(D83="Dosen",VLOOKUP('Join TPA Dosen'!B83,Dosen!B:BC,48,FALSE),VLOOKUP(B83,TPA!B:BE,52,FALSE))</f>
        <v>Anisa Dzulkarnain, S.Kom., M.Kom.</v>
      </c>
      <c r="G83" s="185" t="str">
        <f>IF(D83="Dosen",VLOOKUP('Join TPA Dosen'!B83,Dosen!B:BC,32,FALSE),VLOOKUP(B83,TPA!B:BE,44,FALSE))</f>
        <v> </v>
      </c>
    </row>
    <row r="84" spans="1:7" ht="15.95">
      <c r="A84" s="31">
        <f t="shared" si="1"/>
        <v>83</v>
      </c>
      <c r="B84" s="32" t="s">
        <v>298</v>
      </c>
      <c r="C84" s="32" t="s">
        <v>20</v>
      </c>
      <c r="D84" s="31" t="s">
        <v>21</v>
      </c>
      <c r="E84" s="185" t="str">
        <f>IF(D84="Dosen",VLOOKUP('Join TPA Dosen'!B84,Dosen!B:BC,6,FALSE),VLOOKUP(B84,TPA!B:BE,5,FALSE))</f>
        <v>8446768669230222</v>
      </c>
      <c r="F84" s="185" t="str">
        <f>IF(D84="Dosen",VLOOKUP('Join TPA Dosen'!B84,Dosen!B:BC,48,FALSE),VLOOKUP(B84,TPA!B:BE,52,FALSE))</f>
        <v>Anita Hakim Nasution, S.T., M.T.</v>
      </c>
      <c r="G84" s="185" t="str">
        <f>IF(D84="Dosen",VLOOKUP('Join TPA Dosen'!B84,Dosen!B:BC,32,FALSE),VLOOKUP(B84,TPA!B:BE,44,FALSE))</f>
        <v> </v>
      </c>
    </row>
    <row r="85" spans="1:7" ht="15.95">
      <c r="A85" s="31">
        <f t="shared" si="1"/>
        <v>84</v>
      </c>
      <c r="B85" s="32" t="s">
        <v>302</v>
      </c>
      <c r="C85" s="32" t="s">
        <v>20</v>
      </c>
      <c r="D85" s="31" t="s">
        <v>21</v>
      </c>
      <c r="E85" s="185" t="str">
        <f>IF(D85="Dosen",VLOOKUP('Join TPA Dosen'!B85,Dosen!B:BC,6,FALSE),VLOOKUP(B85,TPA!B:BE,5,FALSE))</f>
        <v>9644771672130302</v>
      </c>
      <c r="F85" s="185" t="str">
        <f>IF(D85="Dosen",VLOOKUP('Join TPA Dosen'!B85,Dosen!B:BC,48,FALSE),VLOOKUP(B85,TPA!B:BE,52,FALSE))</f>
        <v>Arip Ramadan, S.Si., M.Stat.</v>
      </c>
      <c r="G85" s="185" t="str">
        <f>IF(D85="Dosen",VLOOKUP('Join TPA Dosen'!B85,Dosen!B:BC,32,FALSE),VLOOKUP(B85,TPA!B:BE,44,FALSE))</f>
        <v> </v>
      </c>
    </row>
    <row r="86" spans="1:7" ht="15.95">
      <c r="A86" s="31">
        <f t="shared" si="1"/>
        <v>85</v>
      </c>
      <c r="B86" s="32" t="s">
        <v>66</v>
      </c>
      <c r="C86" s="32" t="s">
        <v>20</v>
      </c>
      <c r="D86" s="31" t="s">
        <v>21</v>
      </c>
      <c r="E86" s="185" t="str">
        <f>IF(D86="Dosen",VLOOKUP('Join TPA Dosen'!B86,Dosen!B:BC,6,FALSE),VLOOKUP(B86,TPA!B:BE,5,FALSE))</f>
        <v>6933775676230162</v>
      </c>
      <c r="F86" s="185" t="str">
        <f>IF(D86="Dosen",VLOOKUP('Join TPA Dosen'!B86,Dosen!B:BC,48,FALSE),VLOOKUP(B86,TPA!B:BE,52,FALSE))</f>
        <v>Wachda Yuniar Rochmah, S.M., M.M.</v>
      </c>
      <c r="G86" s="185" t="str">
        <f>IF(D86="Dosen",VLOOKUP('Join TPA Dosen'!B86,Dosen!B:BC,32,FALSE),VLOOKUP(B86,TPA!B:BE,44,FALSE))</f>
        <v> </v>
      </c>
    </row>
    <row r="87" spans="1:7" ht="15.95">
      <c r="A87" s="31">
        <f t="shared" si="1"/>
        <v>86</v>
      </c>
      <c r="B87" s="32" t="s">
        <v>560</v>
      </c>
      <c r="C87" s="32" t="s">
        <v>20</v>
      </c>
      <c r="D87" s="31" t="s">
        <v>21</v>
      </c>
      <c r="E87" s="185" t="str">
        <f>IF(D87="Dosen",VLOOKUP('Join TPA Dosen'!B87,Dosen!B:BC,6,FALSE),VLOOKUP(B87,TPA!B:BE,5,FALSE))</f>
        <v>7354760661130183</v>
      </c>
      <c r="F87" s="185" t="str">
        <f>IF(D87="Dosen",VLOOKUP('Join TPA Dosen'!B87,Dosen!B:BC,48,FALSE),VLOOKUP(B87,TPA!B:BE,52,FALSE))</f>
        <v>Mustafa Kamal, S.Kom., M.Kom.</v>
      </c>
      <c r="G87" s="185" t="str">
        <f>IF(D87="Dosen",VLOOKUP('Join TPA Dosen'!B87,Dosen!B:BC,32,FALSE),VLOOKUP(B87,TPA!B:BE,44,FALSE))</f>
        <v> </v>
      </c>
    </row>
    <row r="88" spans="1:7" ht="15.95">
      <c r="A88" s="31">
        <f t="shared" si="1"/>
        <v>87</v>
      </c>
      <c r="B88" s="32" t="s">
        <v>564</v>
      </c>
      <c r="C88" s="32" t="s">
        <v>20</v>
      </c>
      <c r="D88" s="31" t="s">
        <v>21</v>
      </c>
      <c r="E88" s="185" t="str">
        <f>IF(D88="Dosen",VLOOKUP('Join TPA Dosen'!B88,Dosen!B:BC,6,FALSE),VLOOKUP(B88,TPA!B:BE,5,FALSE))</f>
        <v>0937773674130282</v>
      </c>
      <c r="F88" s="185" t="str">
        <f>IF(D88="Dosen",VLOOKUP('Join TPA Dosen'!B88,Dosen!B:BC,48,FALSE),VLOOKUP(B88,TPA!B:BE,52,FALSE))</f>
        <v>Yohanes Setiawan, S.Si., M.Kom.</v>
      </c>
      <c r="G88" s="185" t="str">
        <f>IF(D88="Dosen",VLOOKUP('Join TPA Dosen'!B88,Dosen!B:BC,32,FALSE),VLOOKUP(B88,TPA!B:BE,44,FALSE))</f>
        <v> </v>
      </c>
    </row>
    <row r="89" spans="1:7" ht="15.95">
      <c r="A89" s="31">
        <f t="shared" si="1"/>
        <v>88</v>
      </c>
      <c r="B89" s="32" t="s">
        <v>307</v>
      </c>
      <c r="C89" s="32" t="s">
        <v>20</v>
      </c>
      <c r="D89" s="31" t="s">
        <v>21</v>
      </c>
      <c r="E89" s="185" t="str">
        <f>IF(D89="Dosen",VLOOKUP('Join TPA Dosen'!B89,Dosen!B:BC,6,FALSE),VLOOKUP(B89,TPA!B:BE,5,FALSE))</f>
        <v>6447770671130292</v>
      </c>
      <c r="F89" s="185" t="str">
        <f>IF(D89="Dosen",VLOOKUP('Join TPA Dosen'!B89,Dosen!B:BC,48,FALSE),VLOOKUP(B89,TPA!B:BE,52,FALSE))</f>
        <v>Rosyid Abdillah, S.Si., M.Kom.</v>
      </c>
      <c r="G89" s="185" t="str">
        <f>IF(D89="Dosen",VLOOKUP('Join TPA Dosen'!B89,Dosen!B:BC,32,FALSE),VLOOKUP(B89,TPA!B:BE,44,FALSE))</f>
        <v> </v>
      </c>
    </row>
    <row r="90" spans="1:7" ht="15.95">
      <c r="A90" s="31">
        <f t="shared" si="1"/>
        <v>89</v>
      </c>
      <c r="B90" s="32" t="s">
        <v>129</v>
      </c>
      <c r="C90" s="32" t="s">
        <v>20</v>
      </c>
      <c r="D90" s="31" t="s">
        <v>21</v>
      </c>
      <c r="E90" s="185" t="str">
        <f>IF(D90="Dosen",VLOOKUP('Join TPA Dosen'!B90,Dosen!B:BC,6,FALSE),VLOOKUP(B90,TPA!B:BE,5,FALSE))</f>
        <v>7337773674230273</v>
      </c>
      <c r="F90" s="185" t="str">
        <f>IF(D90="Dosen",VLOOKUP('Join TPA Dosen'!B90,Dosen!B:BC,48,FALSE),VLOOKUP(B90,TPA!B:BE,52,FALSE))</f>
        <v>Vessa Rizky Oktavia, S.Kom., M.Kom.</v>
      </c>
      <c r="G90" s="185" t="str">
        <f>IF(D90="Dosen",VLOOKUP('Join TPA Dosen'!B90,Dosen!B:BC,32,FALSE),VLOOKUP(B90,TPA!B:BE,44,FALSE))</f>
        <v> </v>
      </c>
    </row>
    <row r="91" spans="1:7" ht="15.95">
      <c r="A91" s="31">
        <f t="shared" si="1"/>
        <v>90</v>
      </c>
      <c r="B91" s="32" t="s">
        <v>133</v>
      </c>
      <c r="C91" s="32" t="s">
        <v>20</v>
      </c>
      <c r="D91" s="31" t="s">
        <v>21</v>
      </c>
      <c r="E91" s="185" t="str">
        <f>IF(D91="Dosen",VLOOKUP('Join TPA Dosen'!B91,Dosen!B:BC,6,FALSE),VLOOKUP(B91,TPA!B:BE,5,FALSE))</f>
        <v>7542774675230212</v>
      </c>
      <c r="F91" s="185" t="str">
        <f>IF(D91="Dosen",VLOOKUP('Join TPA Dosen'!B91,Dosen!B:BC,48,FALSE),VLOOKUP(B91,TPA!B:BE,52,FALSE))</f>
        <v>Alqis Rausanfita, S.Kom., M.Kom.</v>
      </c>
      <c r="G91" s="185" t="str">
        <f>IF(D91="Dosen",VLOOKUP('Join TPA Dosen'!B91,Dosen!B:BC,32,FALSE),VLOOKUP(B91,TPA!B:BE,44,FALSE))</f>
        <v> </v>
      </c>
    </row>
    <row r="92" spans="1:7" ht="15.95">
      <c r="A92" s="31">
        <f t="shared" si="1"/>
        <v>91</v>
      </c>
      <c r="B92" s="32" t="s">
        <v>357</v>
      </c>
      <c r="C92" s="32" t="s">
        <v>20</v>
      </c>
      <c r="D92" s="31" t="s">
        <v>21</v>
      </c>
      <c r="E92" s="185" t="str">
        <f>IF(D92="Dosen",VLOOKUP('Join TPA Dosen'!B92,Dosen!B:BC,6,FALSE),VLOOKUP(B92,TPA!B:BE,5,FALSE))</f>
        <v>0959773674130252</v>
      </c>
      <c r="F92" s="185" t="str">
        <f>IF(D92="Dosen",VLOOKUP('Join TPA Dosen'!B92,Dosen!B:BC,48,FALSE),VLOOKUP(B92,TPA!B:BE,52,FALSE))</f>
        <v>Rifki Dwi Putranto, S.T., M.T.</v>
      </c>
      <c r="G92" s="185" t="str">
        <f>IF(D92="Dosen",VLOOKUP('Join TPA Dosen'!B92,Dosen!B:BC,32,FALSE),VLOOKUP(B92,TPA!B:BE,44,FALSE))</f>
        <v> </v>
      </c>
    </row>
    <row r="93" spans="1:7" ht="15.95">
      <c r="A93" s="31">
        <f t="shared" si="1"/>
        <v>92</v>
      </c>
      <c r="B93" s="32" t="s">
        <v>393</v>
      </c>
      <c r="C93" s="32" t="s">
        <v>20</v>
      </c>
      <c r="D93" s="31" t="s">
        <v>21</v>
      </c>
      <c r="E93" s="185" t="str">
        <f>IF(D93="Dosen",VLOOKUP('Join TPA Dosen'!B93,Dosen!B:BC,6,FALSE),VLOOKUP(B93,TPA!B:BE,5,FALSE))</f>
        <v>4051775676130153</v>
      </c>
      <c r="F93" s="185" t="str">
        <f>IF(D93="Dosen",VLOOKUP('Join TPA Dosen'!B93,Dosen!B:BC,48,FALSE),VLOOKUP(B93,TPA!B:BE,52,FALSE))</f>
        <v>Huki Chandra, S.T., M.Sc.</v>
      </c>
      <c r="G93" s="185" t="str">
        <f>IF(D93="Dosen",VLOOKUP('Join TPA Dosen'!B93,Dosen!B:BC,32,FALSE),VLOOKUP(B93,TPA!B:BE,44,FALSE))</f>
        <v> </v>
      </c>
    </row>
    <row r="94" spans="1:7" ht="15.95">
      <c r="A94" s="31">
        <f t="shared" si="1"/>
        <v>93</v>
      </c>
      <c r="B94" s="32" t="s">
        <v>312</v>
      </c>
      <c r="C94" s="32" t="s">
        <v>20</v>
      </c>
      <c r="D94" s="31" t="s">
        <v>21</v>
      </c>
      <c r="E94" s="185" t="str">
        <f>IF(D94="Dosen",VLOOKUP('Join TPA Dosen'!B94,Dosen!B:BC,6,FALSE),VLOOKUP(B94,TPA!B:BE,5,FALSE))</f>
        <v>5734776677230092</v>
      </c>
      <c r="F94" s="185" t="str">
        <f>IF(D94="Dosen",VLOOKUP('Join TPA Dosen'!B94,Dosen!B:BC,48,FALSE),VLOOKUP(B94,TPA!B:BE,52,FALSE))</f>
        <v>Tita Ayu Rospricilia, S.Kom., M.Kom.</v>
      </c>
      <c r="G94" s="185" t="str">
        <f>IF(D94="Dosen",VLOOKUP('Join TPA Dosen'!B94,Dosen!B:BC,32,FALSE),VLOOKUP(B94,TPA!B:BE,44,FALSE))</f>
        <v> </v>
      </c>
    </row>
    <row r="95" spans="1:7" ht="15.95">
      <c r="A95" s="31">
        <f t="shared" si="1"/>
        <v>94</v>
      </c>
      <c r="B95" s="32" t="s">
        <v>174</v>
      </c>
      <c r="C95" s="32" t="s">
        <v>20</v>
      </c>
      <c r="D95" s="31" t="s">
        <v>21</v>
      </c>
      <c r="E95" s="185" t="str">
        <f>IF(D95="Dosen",VLOOKUP('Join TPA Dosen'!B95,Dosen!B:BC,6,FALSE),VLOOKUP(B95,TPA!B:BE,5,FALSE))</f>
        <v>9834760661131142</v>
      </c>
      <c r="F95" s="185" t="str">
        <f>IF(D95="Dosen",VLOOKUP('Join TPA Dosen'!B95,Dosen!B:BC,48,FALSE),VLOOKUP(B95,TPA!B:BE,52,FALSE))</f>
        <v>Dahliar Ananda, S.T., M.T.</v>
      </c>
      <c r="G95" s="185" t="str">
        <f>IF(D95="Dosen",VLOOKUP('Join TPA Dosen'!B95,Dosen!B:BC,32,FALSE),VLOOKUP(B95,TPA!B:BE,44,FALSE))</f>
        <v> </v>
      </c>
    </row>
    <row r="96" spans="1:7" ht="15.95">
      <c r="A96" s="31">
        <f t="shared" si="1"/>
        <v>95</v>
      </c>
      <c r="B96" s="32" t="s">
        <v>514</v>
      </c>
      <c r="C96" s="32" t="s">
        <v>20</v>
      </c>
      <c r="D96" s="31" t="s">
        <v>21</v>
      </c>
      <c r="E96" s="185" t="str">
        <f>IF(D96="Dosen",VLOOKUP('Join TPA Dosen'!B96,Dosen!B:BC,6,FALSE),VLOOKUP(B96,TPA!B:BE,5,FALSE))</f>
        <v>5062768669131063</v>
      </c>
      <c r="F96" s="185" t="str">
        <f>IF(D96="Dosen",VLOOKUP('Join TPA Dosen'!B96,Dosen!B:BC,48,FALSE),VLOOKUP(B96,TPA!B:BE,52,FALSE))</f>
        <v>Hendy Briantoro, S.ST., M.T., Ph.D.</v>
      </c>
      <c r="G96" s="185" t="str">
        <f>IF(D96="Dosen",VLOOKUP('Join TPA Dosen'!B96,Dosen!B:BC,32,FALSE),VLOOKUP(B96,TPA!B:BE,44,FALSE))</f>
        <v> </v>
      </c>
    </row>
    <row r="97" spans="1:7" ht="15.95">
      <c r="A97" s="31">
        <f t="shared" si="1"/>
        <v>96</v>
      </c>
      <c r="B97" s="32" t="s">
        <v>316</v>
      </c>
      <c r="C97" s="32" t="s">
        <v>20</v>
      </c>
      <c r="D97" s="31" t="s">
        <v>21</v>
      </c>
      <c r="E97" s="185" t="str">
        <f>IF(D97="Dosen",VLOOKUP('Join TPA Dosen'!B97,Dosen!B:BC,6,FALSE),VLOOKUP(B97,TPA!B:BE,5,FALSE))</f>
        <v>1342772673230433</v>
      </c>
      <c r="F97" s="185" t="str">
        <f>IF(D97="Dosen",VLOOKUP('Join TPA Dosen'!B97,Dosen!B:BC,48,FALSE),VLOOKUP(B97,TPA!B:BE,52,FALSE))</f>
        <v>Berlian Rahmy Lidiawaty, S.ST., M.MT.</v>
      </c>
      <c r="G97" s="185" t="str">
        <f>IF(D97="Dosen",VLOOKUP('Join TPA Dosen'!B97,Dosen!B:BC,32,FALSE),VLOOKUP(B97,TPA!B:BE,44,FALSE))</f>
        <v> </v>
      </c>
    </row>
    <row r="98" spans="1:7" ht="15.95">
      <c r="A98" s="31">
        <f t="shared" si="1"/>
        <v>97</v>
      </c>
      <c r="B98" s="32" t="s">
        <v>488</v>
      </c>
      <c r="C98" s="32" t="s">
        <v>20</v>
      </c>
      <c r="D98" s="31" t="s">
        <v>21</v>
      </c>
      <c r="E98" s="185" t="str">
        <f>IF(D98="Dosen",VLOOKUP('Join TPA Dosen'!B98,Dosen!B:BC,6,FALSE),VLOOKUP(B98,TPA!B:BE,5,FALSE))</f>
        <v>4433754655131282</v>
      </c>
      <c r="F98" s="185" t="str">
        <f>IF(D98="Dosen",VLOOKUP('Join TPA Dosen'!B98,Dosen!B:BC,48,FALSE),VLOOKUP(B98,TPA!B:BE,52,FALSE))</f>
        <v>Dr. Mohammad Yanuar Hariyawan, S.T., M.T.</v>
      </c>
      <c r="G98" s="185">
        <f>IF(D98="Dosen",VLOOKUP('Join TPA Dosen'!B98,Dosen!B:BC,32,FALSE),VLOOKUP(B98,TPA!B:BE,44,FALSE))</f>
        <v>44641</v>
      </c>
    </row>
    <row r="99" spans="1:7" ht="15.95">
      <c r="A99" s="31">
        <f t="shared" si="1"/>
        <v>98</v>
      </c>
      <c r="B99" s="32" t="s">
        <v>361</v>
      </c>
      <c r="C99" s="32" t="s">
        <v>20</v>
      </c>
      <c r="D99" s="31" t="s">
        <v>21</v>
      </c>
      <c r="E99" s="185" t="str">
        <f>IF(D99="Dosen",VLOOKUP('Join TPA Dosen'!B99,Dosen!B:BC,6,FALSE),VLOOKUP(B99,TPA!B:BE,5,FALSE))</f>
        <v>8337768669130383</v>
      </c>
      <c r="F99" s="185" t="str">
        <f>IF(D99="Dosen",VLOOKUP('Join TPA Dosen'!B99,Dosen!B:BC,48,FALSE),VLOOKUP(B99,TPA!B:BE,52,FALSE))</f>
        <v>Dr. Chaironi Latif, S.Si.</v>
      </c>
      <c r="G99" s="185" t="str">
        <f>IF(D99="Dosen",VLOOKUP('Join TPA Dosen'!B99,Dosen!B:BC,32,FALSE),VLOOKUP(B99,TPA!B:BE,44,FALSE))</f>
        <v> </v>
      </c>
    </row>
    <row r="100" spans="1:7" ht="15.95">
      <c r="A100" s="31">
        <f t="shared" si="1"/>
        <v>99</v>
      </c>
      <c r="B100" s="32" t="s">
        <v>398</v>
      </c>
      <c r="C100" s="32" t="s">
        <v>20</v>
      </c>
      <c r="D100" s="31" t="s">
        <v>21</v>
      </c>
      <c r="E100" s="185" t="str">
        <f>IF(D100="Dosen",VLOOKUP('Join TPA Dosen'!B100,Dosen!B:BC,6,FALSE),VLOOKUP(B100,TPA!B:BE,5,FALSE))</f>
        <v>0250775676130133</v>
      </c>
      <c r="F100" s="185" t="str">
        <f>IF(D100="Dosen",VLOOKUP('Join TPA Dosen'!B100,Dosen!B:BC,48,FALSE),VLOOKUP(B100,TPA!B:BE,52,FALSE))</f>
        <v>Aufar Fikri Dimyati, S.T., M.T.</v>
      </c>
      <c r="G100" s="185" t="str">
        <f>IF(D100="Dosen",VLOOKUP('Join TPA Dosen'!B100,Dosen!B:BC,32,FALSE),VLOOKUP(B100,TPA!B:BE,44,FALSE))</f>
        <v> </v>
      </c>
    </row>
    <row r="101" spans="1:7" ht="15.95">
      <c r="A101" s="31">
        <f t="shared" si="1"/>
        <v>100</v>
      </c>
      <c r="B101" s="32" t="s">
        <v>325</v>
      </c>
      <c r="C101" s="32" t="s">
        <v>20</v>
      </c>
      <c r="D101" s="31" t="s">
        <v>21</v>
      </c>
      <c r="E101" s="185" t="str">
        <f>IF(D101="Dosen",VLOOKUP('Join TPA Dosen'!B101,Dosen!B:BC,6,FALSE),VLOOKUP(B101,TPA!B:BE,5,FALSE))</f>
        <v>5054777678130063</v>
      </c>
      <c r="F101" s="185" t="str">
        <f>IF(D101="Dosen",VLOOKUP('Join TPA Dosen'!B101,Dosen!B:BC,48,FALSE),VLOOKUP(B101,TPA!B:BE,52,FALSE))</f>
        <v>Muhammad Ilham Alhari, S.Kom., M.Kom.</v>
      </c>
      <c r="G101" s="185" t="str">
        <f>IF(D101="Dosen",VLOOKUP('Join TPA Dosen'!B101,Dosen!B:BC,32,FALSE),VLOOKUP(B101,TPA!B:BE,44,FALSE))</f>
        <v> </v>
      </c>
    </row>
    <row r="102" spans="1:7" ht="15.95">
      <c r="A102" s="31">
        <f t="shared" si="1"/>
        <v>101</v>
      </c>
      <c r="B102" s="32" t="s">
        <v>71</v>
      </c>
      <c r="C102" s="32" t="s">
        <v>46</v>
      </c>
      <c r="D102" s="31" t="s">
        <v>21</v>
      </c>
      <c r="E102" s="185" t="str">
        <f>IF(D102="Dosen",VLOOKUP('Join TPA Dosen'!B102,Dosen!B:BC,6,FALSE),VLOOKUP(B102,TPA!B:BE,5,FALSE))</f>
        <v>0459777678230052</v>
      </c>
      <c r="F102" s="185" t="str">
        <f>IF(D102="Dosen",VLOOKUP('Join TPA Dosen'!B102,Dosen!B:BC,48,FALSE),VLOOKUP(B102,TPA!B:BE,52,FALSE))</f>
        <v>Adisya Resti Rahmadanti, S.M., M.A.B.</v>
      </c>
      <c r="G102" s="185" t="str">
        <f>IF(D102="Dosen",VLOOKUP('Join TPA Dosen'!B102,Dosen!B:BC,32,FALSE),VLOOKUP(B102,TPA!B:BE,44,FALSE))</f>
        <v> </v>
      </c>
    </row>
    <row r="103" spans="1:7" ht="15.95">
      <c r="A103" s="31">
        <f t="shared" si="1"/>
        <v>102</v>
      </c>
      <c r="B103" s="32" t="s">
        <v>196</v>
      </c>
      <c r="C103" s="32" t="s">
        <v>20</v>
      </c>
      <c r="D103" s="31" t="s">
        <v>21</v>
      </c>
      <c r="E103" s="185" t="str">
        <f>IF(D103="Dosen",VLOOKUP('Join TPA Dosen'!B103,Dosen!B:BC,6,FALSE),VLOOKUP(B103,TPA!B:BE,5,FALSE))</f>
        <v>6950768669230322</v>
      </c>
      <c r="F103" s="185" t="str">
        <f>IF(D103="Dosen",VLOOKUP('Join TPA Dosen'!B103,Dosen!B:BC,48,FALSE),VLOOKUP(B103,TPA!B:BE,52,FALSE))</f>
        <v>Arni Muarifah Amri, S.T., M.T.</v>
      </c>
      <c r="G103" s="185" t="str">
        <f>IF(D103="Dosen",VLOOKUP('Join TPA Dosen'!B103,Dosen!B:BC,32,FALSE),VLOOKUP(B103,TPA!B:BE,44,FALSE))</f>
        <v> </v>
      </c>
    </row>
    <row r="104" spans="1:7" ht="15.95">
      <c r="A104" s="31">
        <f t="shared" si="1"/>
        <v>103</v>
      </c>
      <c r="B104" s="32" t="s">
        <v>137</v>
      </c>
      <c r="C104" s="32" t="s">
        <v>20</v>
      </c>
      <c r="D104" s="31" t="s">
        <v>21</v>
      </c>
      <c r="E104" s="185" t="str">
        <f>IF(D104="Dosen",VLOOKUP('Join TPA Dosen'!B104,Dosen!B:BC,6,FALSE),VLOOKUP(B104,TPA!B:BE,5,FALSE))</f>
        <v>5043775676130143</v>
      </c>
      <c r="F104" s="185" t="str">
        <f>IF(D104="Dosen",VLOOKUP('Join TPA Dosen'!B104,Dosen!B:BC,48,FALSE),VLOOKUP(B104,TPA!B:BE,52,FALSE))</f>
        <v>Daud Muhajir, S.Kom., M.Kom.</v>
      </c>
      <c r="G104" s="185" t="str">
        <f>IF(D104="Dosen",VLOOKUP('Join TPA Dosen'!B104,Dosen!B:BC,32,FALSE),VLOOKUP(B104,TPA!B:BE,44,FALSE))</f>
        <v> </v>
      </c>
    </row>
    <row r="105" spans="1:7" ht="15.95">
      <c r="A105" s="31">
        <f t="shared" si="1"/>
        <v>104</v>
      </c>
      <c r="B105" s="32" t="s">
        <v>141</v>
      </c>
      <c r="C105" s="32" t="s">
        <v>20</v>
      </c>
      <c r="D105" s="31" t="s">
        <v>21</v>
      </c>
      <c r="E105" s="185" t="str">
        <f>IF(D105="Dosen",VLOOKUP('Join TPA Dosen'!B105,Dosen!B:BC,6,FALSE),VLOOKUP(B105,TPA!B:BE,5,FALSE))</f>
        <v>3651774675230192</v>
      </c>
      <c r="F105" s="185" t="str">
        <f>IF(D105="Dosen",VLOOKUP('Join TPA Dosen'!B105,Dosen!B:BC,48,FALSE),VLOOKUP(B105,TPA!B:BE,52,FALSE))</f>
        <v>Dr. Dyah Putri Rahmawati, S.Stat.</v>
      </c>
      <c r="G105" s="185" t="str">
        <f>IF(D105="Dosen",VLOOKUP('Join TPA Dosen'!B105,Dosen!B:BC,32,FALSE),VLOOKUP(B105,TPA!B:BE,44,FALSE))</f>
        <v> </v>
      </c>
    </row>
    <row r="106" spans="1:7" ht="15.95">
      <c r="A106" s="31">
        <f t="shared" si="1"/>
        <v>105</v>
      </c>
      <c r="B106" s="32" t="s">
        <v>442</v>
      </c>
      <c r="C106" s="32" t="s">
        <v>20</v>
      </c>
      <c r="D106" s="31" t="s">
        <v>21</v>
      </c>
      <c r="E106" s="185" t="str">
        <f>IF(D106="Dosen",VLOOKUP('Join TPA Dosen'!B106,Dosen!B:BC,6,FALSE),VLOOKUP(B106,TPA!B:BE,5,FALSE))</f>
        <v>1336769670230333</v>
      </c>
      <c r="F106" s="185" t="str">
        <f>IF(D106="Dosen",VLOOKUP('Join TPA Dosen'!B106,Dosen!B:BC,48,FALSE),VLOOKUP(B106,TPA!B:BE,52,FALSE))</f>
        <v>Eka Sari Oktarina, S.Kom., M.Eng.</v>
      </c>
      <c r="G106" s="185" t="str">
        <f>IF(D106="Dosen",VLOOKUP('Join TPA Dosen'!B106,Dosen!B:BC,32,FALSE),VLOOKUP(B106,TPA!B:BE,44,FALSE))</f>
        <v> </v>
      </c>
    </row>
    <row r="107" spans="1:7" ht="15.95">
      <c r="A107" s="31">
        <f t="shared" si="1"/>
        <v>106</v>
      </c>
      <c r="B107" s="32" t="s">
        <v>76</v>
      </c>
      <c r="C107" s="32" t="s">
        <v>20</v>
      </c>
      <c r="D107" s="31" t="s">
        <v>21</v>
      </c>
      <c r="E107" s="185" t="str">
        <f>IF(D107="Dosen",VLOOKUP('Join TPA Dosen'!B107,Dosen!B:BC,6,FALSE),VLOOKUP(B107,TPA!B:BE,5,FALSE))</f>
        <v>5936777678230072</v>
      </c>
      <c r="F107" s="185" t="str">
        <f>IF(D107="Dosen",VLOOKUP('Join TPA Dosen'!B107,Dosen!B:BC,48,FALSE),VLOOKUP(B107,TPA!B:BE,52,FALSE))</f>
        <v>Krisnayanti Aditasari, S.M., M.MT.</v>
      </c>
      <c r="G107" s="185" t="str">
        <f>IF(D107="Dosen",VLOOKUP('Join TPA Dosen'!B107,Dosen!B:BC,32,FALSE),VLOOKUP(B107,TPA!B:BE,44,FALSE))</f>
        <v> </v>
      </c>
    </row>
    <row r="108" spans="1:7" ht="15.95">
      <c r="A108" s="31">
        <f t="shared" si="1"/>
        <v>107</v>
      </c>
      <c r="B108" s="32" t="s">
        <v>147</v>
      </c>
      <c r="C108" s="32" t="s">
        <v>20</v>
      </c>
      <c r="D108" s="31" t="s">
        <v>21</v>
      </c>
      <c r="E108" s="185" t="str">
        <f>IF(D108="Dosen",VLOOKUP('Join TPA Dosen'!B108,Dosen!B:BC,6,FALSE),VLOOKUP(B108,TPA!B:BE,5,FALSE))</f>
        <v>2635773674230322</v>
      </c>
      <c r="F108" s="185" t="str">
        <f>IF(D108="Dosen",VLOOKUP('Join TPA Dosen'!B108,Dosen!B:BC,48,FALSE),VLOOKUP(B108,TPA!B:BE,52,FALSE))</f>
        <v>Pima Hani Safitri, S.Kom., M.Kom.</v>
      </c>
      <c r="G108" s="185" t="str">
        <f>IF(D108="Dosen",VLOOKUP('Join TPA Dosen'!B108,Dosen!B:BC,32,FALSE),VLOOKUP(B108,TPA!B:BE,44,FALSE))</f>
        <v> </v>
      </c>
    </row>
    <row r="109" spans="1:7" ht="15.95">
      <c r="A109" s="31">
        <f t="shared" si="1"/>
        <v>108</v>
      </c>
      <c r="B109" s="32" t="s">
        <v>151</v>
      </c>
      <c r="C109" s="32" t="s">
        <v>20</v>
      </c>
      <c r="D109" s="31" t="s">
        <v>21</v>
      </c>
      <c r="E109" s="185" t="str">
        <f>IF(D109="Dosen",VLOOKUP('Join TPA Dosen'!B109,Dosen!B:BC,6,FALSE),VLOOKUP(B109,TPA!B:BE,5,FALSE))</f>
        <v>3146776677130103</v>
      </c>
      <c r="F109" s="185" t="str">
        <f>IF(D109="Dosen",VLOOKUP('Join TPA Dosen'!B109,Dosen!B:BC,48,FALSE),VLOOKUP(B109,TPA!B:BE,52,FALSE))</f>
        <v>Tanzilal Mustaqim, S.Kom., M.Kom.</v>
      </c>
      <c r="G109" s="185" t="str">
        <f>IF(D109="Dosen",VLOOKUP('Join TPA Dosen'!B109,Dosen!B:BC,32,FALSE),VLOOKUP(B109,TPA!B:BE,44,FALSE))</f>
        <v> </v>
      </c>
    </row>
    <row r="110" spans="1:7" ht="15.95">
      <c r="A110" s="31">
        <f t="shared" si="1"/>
        <v>109</v>
      </c>
      <c r="B110" s="32" t="s">
        <v>568</v>
      </c>
      <c r="C110" s="32" t="s">
        <v>20</v>
      </c>
      <c r="D110" s="31" t="s">
        <v>21</v>
      </c>
      <c r="E110" s="185" t="str">
        <f>IF(D110="Dosen",VLOOKUP('Join TPA Dosen'!B110,Dosen!B:BC,6,FALSE),VLOOKUP(B110,TPA!B:BE,5,FALSE))</f>
        <v>2943775676230162</v>
      </c>
      <c r="F110" s="185" t="str">
        <f>IF(D110="Dosen",VLOOKUP('Join TPA Dosen'!B110,Dosen!B:BC,48,FALSE),VLOOKUP(B110,TPA!B:BE,52,FALSE))</f>
        <v>Mastuty Ayu Ningtyas, S.Kom., M.MT.</v>
      </c>
      <c r="G110" s="185" t="str">
        <f>IF(D110="Dosen",VLOOKUP('Join TPA Dosen'!B110,Dosen!B:BC,32,FALSE),VLOOKUP(B110,TPA!B:BE,44,FALSE))</f>
        <v> </v>
      </c>
    </row>
    <row r="111" spans="1:7" ht="15.95">
      <c r="A111" s="31">
        <f t="shared" si="1"/>
        <v>110</v>
      </c>
      <c r="B111" s="32" t="s">
        <v>402</v>
      </c>
      <c r="C111" s="32" t="s">
        <v>20</v>
      </c>
      <c r="D111" s="31" t="s">
        <v>21</v>
      </c>
      <c r="E111" s="185" t="str">
        <f>IF(D111="Dosen",VLOOKUP('Join TPA Dosen'!B111,Dosen!B:BC,6,FALSE),VLOOKUP(B111,TPA!B:BE,5,FALSE))</f>
        <v>6438773674230212</v>
      </c>
      <c r="F111" s="185" t="str">
        <f>IF(D111="Dosen",VLOOKUP('Join TPA Dosen'!B111,Dosen!B:BC,48,FALSE),VLOOKUP(B111,TPA!B:BE,52,FALSE))</f>
        <v>Paramaditya Arismawati, S.T., M.T.</v>
      </c>
      <c r="G111" s="185" t="str">
        <f>IF(D111="Dosen",VLOOKUP('Join TPA Dosen'!B111,Dosen!B:BC,32,FALSE),VLOOKUP(B111,TPA!B:BE,44,FALSE))</f>
        <v> </v>
      </c>
    </row>
    <row r="112" spans="1:7" ht="15.95">
      <c r="A112" s="31">
        <f t="shared" si="1"/>
        <v>111</v>
      </c>
      <c r="B112" s="32" t="s">
        <v>366</v>
      </c>
      <c r="C112" s="32" t="s">
        <v>46</v>
      </c>
      <c r="D112" s="31" t="s">
        <v>21</v>
      </c>
      <c r="E112" s="185">
        <f>IF(D112="Dosen",VLOOKUP('Join TPA Dosen'!B112,Dosen!B:BC,6,FALSE),VLOOKUP(B112,TPA!B:BE,5,FALSE))</f>
        <v>0</v>
      </c>
      <c r="F112" s="185" t="str">
        <f>IF(D112="Dosen",VLOOKUP('Join TPA Dosen'!B112,Dosen!B:BC,48,FALSE),VLOOKUP(B112,TPA!B:BE,52,FALSE))</f>
        <v>Prof. Dr. Tri Arief Sardjono, S.T., M.T.</v>
      </c>
      <c r="G112" s="185" t="str">
        <f>IF(D112="Dosen",VLOOKUP('Join TPA Dosen'!B112,Dosen!B:BC,32,FALSE),VLOOKUP(B112,TPA!B:BE,44,FALSE))</f>
        <v> </v>
      </c>
    </row>
    <row r="113" spans="1:11" ht="15.95">
      <c r="A113" s="31">
        <f t="shared" si="1"/>
        <v>112</v>
      </c>
      <c r="B113" s="32" t="s">
        <v>473</v>
      </c>
      <c r="C113" s="32" t="s">
        <v>46</v>
      </c>
      <c r="D113" s="31" t="s">
        <v>21</v>
      </c>
      <c r="E113" s="185">
        <f>IF(D113="Dosen",VLOOKUP('Join TPA Dosen'!B113,Dosen!B:BC,6,FALSE),VLOOKUP(B113,TPA!B:BE,5,FALSE))</f>
        <v>0</v>
      </c>
      <c r="F113" s="185">
        <f>IF(D113="Dosen",VLOOKUP('Join TPA Dosen'!B113,Dosen!B:BC,48,FALSE),VLOOKUP(B113,TPA!B:BE,52,FALSE))</f>
        <v>0</v>
      </c>
      <c r="G113" s="185" t="str">
        <f>IF(D113="Dosen",VLOOKUP('Join TPA Dosen'!B113,Dosen!B:BC,32,FALSE),VLOOKUP(B113,TPA!B:BE,44,FALSE))</f>
        <v> </v>
      </c>
    </row>
    <row r="114" spans="1:11" ht="15.95">
      <c r="A114" s="31">
        <f t="shared" si="1"/>
        <v>113</v>
      </c>
      <c r="B114" s="32" t="s">
        <v>406</v>
      </c>
      <c r="C114" s="32" t="s">
        <v>46</v>
      </c>
      <c r="D114" s="31" t="s">
        <v>21</v>
      </c>
      <c r="E114" s="185">
        <f>IF(D114="Dosen",VLOOKUP('Join TPA Dosen'!B114,Dosen!B:BC,6,FALSE),VLOOKUP(B114,TPA!B:BE,5,FALSE))</f>
        <v>0</v>
      </c>
      <c r="F114" s="185" t="str">
        <f>IF(D114="Dosen",VLOOKUP('Join TPA Dosen'!B114,Dosen!B:BC,48,FALSE),VLOOKUP(B114,TPA!B:BE,52,FALSE))</f>
        <v>Dr. Bambang Lelono Widjiantoro, S.T., M.T.</v>
      </c>
      <c r="G114" s="185" t="str">
        <f>IF(D114="Dosen",VLOOKUP('Join TPA Dosen'!B114,Dosen!B:BC,32,FALSE),VLOOKUP(B114,TPA!B:BE,44,FALSE))</f>
        <v> </v>
      </c>
    </row>
    <row r="115" spans="1:11" ht="15.95">
      <c r="A115" s="31">
        <f t="shared" si="1"/>
        <v>114</v>
      </c>
      <c r="B115" s="32" t="s">
        <v>155</v>
      </c>
      <c r="C115" s="32" t="s">
        <v>20</v>
      </c>
      <c r="D115" s="31" t="s">
        <v>21</v>
      </c>
      <c r="E115" s="185" t="str">
        <f>IF(D115="Dosen",VLOOKUP('Join TPA Dosen'!B115,Dosen!B:BC,6,FALSE),VLOOKUP(B115,TPA!B:BE,5,FALSE))</f>
        <v>2843768669130322</v>
      </c>
      <c r="F115" s="185" t="str">
        <f>IF(D115="Dosen",VLOOKUP('Join TPA Dosen'!B115,Dosen!B:BC,48,FALSE),VLOOKUP(B115,TPA!B:BE,52,FALSE))</f>
        <v>Fandisya Rahman, S.Kom., M.Kom.</v>
      </c>
      <c r="G115" s="185" t="str">
        <f>IF(D115="Dosen",VLOOKUP('Join TPA Dosen'!B115,Dosen!B:BC,32,FALSE),VLOOKUP(B115,TPA!B:BE,44,FALSE))</f>
        <v> </v>
      </c>
    </row>
    <row r="116" spans="1:11" ht="15.95">
      <c r="A116" s="31">
        <f t="shared" si="1"/>
        <v>115</v>
      </c>
      <c r="B116" s="32" t="s">
        <v>81</v>
      </c>
      <c r="C116" s="32" t="s">
        <v>46</v>
      </c>
      <c r="D116" s="31" t="s">
        <v>21</v>
      </c>
      <c r="E116" s="185">
        <f>IF(D116="Dosen",VLOOKUP('Join TPA Dosen'!B116,Dosen!B:BC,6,FALSE),VLOOKUP(B116,TPA!B:BE,5,FALSE))</f>
        <v>0</v>
      </c>
      <c r="F116" s="185" t="str">
        <f>IF(D116="Dosen",VLOOKUP('Join TPA Dosen'!B116,Dosen!B:BC,48,FALSE),VLOOKUP(B116,TPA!B:BE,52,FALSE))</f>
        <v>Rudi Harianto, S.E., M.A.</v>
      </c>
      <c r="G116" s="185" t="str">
        <f>IF(D116="Dosen",VLOOKUP('Join TPA Dosen'!B116,Dosen!B:BC,32,FALSE),VLOOKUP(B116,TPA!B:BE,44,FALSE))</f>
        <v> </v>
      </c>
    </row>
    <row r="117" spans="1:11" ht="15.95">
      <c r="A117" s="31">
        <f t="shared" si="1"/>
        <v>116</v>
      </c>
      <c r="B117" s="32" t="s">
        <v>84</v>
      </c>
      <c r="C117" s="32" t="s">
        <v>20</v>
      </c>
      <c r="D117" s="31" t="s">
        <v>21</v>
      </c>
      <c r="E117" s="185" t="str">
        <f>IF(D117="Dosen",VLOOKUP('Join TPA Dosen'!B117,Dosen!B:BC,6,FALSE),VLOOKUP(B117,TPA!B:BE,5,FALSE))</f>
        <v>5149775676230303</v>
      </c>
      <c r="F117" s="185" t="str">
        <f>IF(D117="Dosen",VLOOKUP('Join TPA Dosen'!B117,Dosen!B:BC,48,FALSE),VLOOKUP(B117,TPA!B:BE,52,FALSE))</f>
        <v>N. Azizia Gia Mutiarasari, S.M., MBA</v>
      </c>
      <c r="G117" s="185" t="str">
        <f>IF(D117="Dosen",VLOOKUP('Join TPA Dosen'!B117,Dosen!B:BC,32,FALSE),VLOOKUP(B117,TPA!B:BE,44,FALSE))</f>
        <v> </v>
      </c>
    </row>
    <row r="118" spans="1:11" ht="15.95">
      <c r="A118" s="31">
        <f t="shared" si="1"/>
        <v>117</v>
      </c>
      <c r="B118" s="32" t="s">
        <v>19</v>
      </c>
      <c r="C118" s="32" t="s">
        <v>20</v>
      </c>
      <c r="D118" s="31" t="s">
        <v>21</v>
      </c>
      <c r="E118" s="185" t="str">
        <f>IF(D118="Dosen",VLOOKUP('Join TPA Dosen'!B118,Dosen!B:BC,6,FALSE),VLOOKUP(B118,TPA!B:BE,5,FALSE))</f>
        <v>9162758659130123</v>
      </c>
      <c r="F118" s="185" t="str">
        <f>IF(D118="Dosen",VLOOKUP('Join TPA Dosen'!B118,Dosen!B:BC,48,FALSE),VLOOKUP(B118,TPA!B:BE,52,FALSE))</f>
        <v>Dr.M. Bambang Agus Sumantri, S.IP., M.M.</v>
      </c>
      <c r="G118" s="185" t="str">
        <f>IF(D118="Dosen",VLOOKUP('Join TPA Dosen'!B118,Dosen!B:BC,32,FALSE),VLOOKUP(B118,TPA!B:BE,44,FALSE))</f>
        <v> </v>
      </c>
    </row>
    <row r="119" spans="1:11" ht="18">
      <c r="A119" s="31">
        <f t="shared" si="1"/>
        <v>118</v>
      </c>
      <c r="B119" s="33" t="s">
        <v>572</v>
      </c>
      <c r="C119" s="32" t="s">
        <v>20</v>
      </c>
      <c r="D119" s="31" t="s">
        <v>573</v>
      </c>
      <c r="E119" s="185" t="str">
        <f>IF(D119="Dosen",VLOOKUP('Join TPA Dosen'!B119,Dosen!B:BC,6,FALSE),VLOOKUP(B119,TPA!B:BE,5,FALSE))</f>
        <v>TETAP</v>
      </c>
      <c r="F119" s="185" t="str">
        <f>IF(D119="Dosen",VLOOKUP('Join TPA Dosen'!B119,Dosen!B:BC,48,FALSE),VLOOKUP(B119,TPA!B:BE,52,FALSE))</f>
        <v>L</v>
      </c>
      <c r="G119" s="185" t="str">
        <f>IF(D119="Dosen",VLOOKUP('Join TPA Dosen'!B119,Dosen!B:BC,32,FALSE),VLOOKUP(B119,TPA!B:BE,44,FALSE))</f>
        <v>S1</v>
      </c>
      <c r="K119" s="181" t="s">
        <v>721</v>
      </c>
    </row>
    <row r="120" spans="1:11" ht="18">
      <c r="A120" s="31">
        <f t="shared" si="1"/>
        <v>119</v>
      </c>
      <c r="B120" s="33" t="s">
        <v>577</v>
      </c>
      <c r="C120" s="32" t="s">
        <v>20</v>
      </c>
      <c r="D120" s="31" t="s">
        <v>573</v>
      </c>
      <c r="E120" s="185" t="str">
        <f>IF(D120="Dosen",VLOOKUP('Join TPA Dosen'!B120,Dosen!B:BC,6,FALSE),VLOOKUP(B120,TPA!B:BE,5,FALSE))</f>
        <v>TETAP</v>
      </c>
      <c r="F120" s="185" t="str">
        <f>IF(D120="Dosen",VLOOKUP('Join TPA Dosen'!B120,Dosen!B:BC,48,FALSE),VLOOKUP(B120,TPA!B:BE,52,FALSE))</f>
        <v>P</v>
      </c>
      <c r="G120" s="185" t="str">
        <f>IF(D120="Dosen",VLOOKUP('Join TPA Dosen'!B120,Dosen!B:BC,32,FALSE),VLOOKUP(B120,TPA!B:BE,44,FALSE))</f>
        <v>S2</v>
      </c>
      <c r="K120" s="391" t="s">
        <v>739</v>
      </c>
    </row>
    <row r="121" spans="1:11" ht="18">
      <c r="A121" s="31">
        <f t="shared" si="1"/>
        <v>120</v>
      </c>
      <c r="B121" s="33" t="s">
        <v>581</v>
      </c>
      <c r="C121" s="32" t="s">
        <v>20</v>
      </c>
      <c r="D121" s="31" t="s">
        <v>573</v>
      </c>
      <c r="E121" s="185" t="str">
        <f>IF(D121="Dosen",VLOOKUP('Join TPA Dosen'!B121,Dosen!B:BC,6,FALSE),VLOOKUP(B121,TPA!B:BE,5,FALSE))</f>
        <v>TETAP</v>
      </c>
      <c r="F121" s="185" t="str">
        <f>IF(D121="Dosen",VLOOKUP('Join TPA Dosen'!B121,Dosen!B:BC,48,FALSE),VLOOKUP(B121,TPA!B:BE,52,FALSE))</f>
        <v>P</v>
      </c>
      <c r="G121" s="185" t="str">
        <f>IF(D121="Dosen",VLOOKUP('Join TPA Dosen'!B121,Dosen!B:BC,32,FALSE),VLOOKUP(B121,TPA!B:BE,44,FALSE))</f>
        <v>S1</v>
      </c>
      <c r="K121" s="391" t="s">
        <v>740</v>
      </c>
    </row>
    <row r="122" spans="1:11" ht="18">
      <c r="A122" s="31">
        <f t="shared" si="1"/>
        <v>121</v>
      </c>
      <c r="B122" s="33" t="s">
        <v>585</v>
      </c>
      <c r="C122" s="32" t="s">
        <v>20</v>
      </c>
      <c r="D122" s="31" t="s">
        <v>573</v>
      </c>
      <c r="E122" s="185" t="str">
        <f>IF(D122="Dosen",VLOOKUP('Join TPA Dosen'!B122,Dosen!B:BC,6,FALSE),VLOOKUP(B122,TPA!B:BE,5,FALSE))</f>
        <v>TETAP</v>
      </c>
      <c r="F122" s="185" t="str">
        <f>IF(D122="Dosen",VLOOKUP('Join TPA Dosen'!B122,Dosen!B:BC,48,FALSE),VLOOKUP(B122,TPA!B:BE,52,FALSE))</f>
        <v>P</v>
      </c>
      <c r="G122" s="185" t="str">
        <f>IF(D122="Dosen",VLOOKUP('Join TPA Dosen'!B122,Dosen!B:BC,32,FALSE),VLOOKUP(B122,TPA!B:BE,44,FALSE))</f>
        <v>S1</v>
      </c>
      <c r="K122" s="391" t="s">
        <v>741</v>
      </c>
    </row>
    <row r="123" spans="1:11" ht="18">
      <c r="A123" s="31">
        <f t="shared" si="1"/>
        <v>122</v>
      </c>
      <c r="B123" s="33" t="s">
        <v>588</v>
      </c>
      <c r="C123" s="32" t="s">
        <v>20</v>
      </c>
      <c r="D123" s="31" t="s">
        <v>573</v>
      </c>
      <c r="E123" s="185" t="str">
        <f>IF(D123="Dosen",VLOOKUP('Join TPA Dosen'!B123,Dosen!B:BC,6,FALSE),VLOOKUP(B123,TPA!B:BE,5,FALSE))</f>
        <v>TETAP</v>
      </c>
      <c r="F123" s="185" t="str">
        <f>IF(D123="Dosen",VLOOKUP('Join TPA Dosen'!B123,Dosen!B:BC,48,FALSE),VLOOKUP(B123,TPA!B:BE,52,FALSE))</f>
        <v>P</v>
      </c>
      <c r="G123" s="185" t="str">
        <f>IF(D123="Dosen",VLOOKUP('Join TPA Dosen'!B123,Dosen!B:BC,32,FALSE),VLOOKUP(B123,TPA!B:BE,44,FALSE))</f>
        <v>D4</v>
      </c>
      <c r="K123" s="391" t="s">
        <v>742</v>
      </c>
    </row>
    <row r="124" spans="1:11" ht="18">
      <c r="A124" s="31">
        <f t="shared" si="1"/>
        <v>123</v>
      </c>
      <c r="B124" s="33" t="s">
        <v>592</v>
      </c>
      <c r="C124" s="32" t="s">
        <v>20</v>
      </c>
      <c r="D124" s="31" t="s">
        <v>573</v>
      </c>
      <c r="E124" s="185" t="str">
        <f>IF(D124="Dosen",VLOOKUP('Join TPA Dosen'!B124,Dosen!B:BC,6,FALSE),VLOOKUP(B124,TPA!B:BE,5,FALSE))</f>
        <v>TETAP</v>
      </c>
      <c r="F124" s="185" t="str">
        <f>IF(D124="Dosen",VLOOKUP('Join TPA Dosen'!B124,Dosen!B:BC,48,FALSE),VLOOKUP(B124,TPA!B:BE,52,FALSE))</f>
        <v>P</v>
      </c>
      <c r="G124" s="185" t="str">
        <f>IF(D124="Dosen",VLOOKUP('Join TPA Dosen'!B124,Dosen!B:BC,32,FALSE),VLOOKUP(B124,TPA!B:BE,44,FALSE))</f>
        <v>S1</v>
      </c>
      <c r="K124" s="391" t="s">
        <v>743</v>
      </c>
    </row>
    <row r="125" spans="1:11" ht="18">
      <c r="A125" s="31">
        <f t="shared" si="1"/>
        <v>124</v>
      </c>
      <c r="B125" s="33" t="s">
        <v>596</v>
      </c>
      <c r="C125" s="32" t="s">
        <v>20</v>
      </c>
      <c r="D125" s="31" t="s">
        <v>573</v>
      </c>
      <c r="E125" s="185" t="str">
        <f>IF(D125="Dosen",VLOOKUP('Join TPA Dosen'!B125,Dosen!B:BC,6,FALSE),VLOOKUP(B125,TPA!B:BE,5,FALSE))</f>
        <v>TETAP</v>
      </c>
      <c r="F125" s="185" t="str">
        <f>IF(D125="Dosen",VLOOKUP('Join TPA Dosen'!B125,Dosen!B:BC,48,FALSE),VLOOKUP(B125,TPA!B:BE,52,FALSE))</f>
        <v>P</v>
      </c>
      <c r="G125" s="185" t="str">
        <f>IF(D125="Dosen",VLOOKUP('Join TPA Dosen'!B125,Dosen!B:BC,32,FALSE),VLOOKUP(B125,TPA!B:BE,44,FALSE))</f>
        <v>S1</v>
      </c>
      <c r="K125" s="391" t="s">
        <v>744</v>
      </c>
    </row>
    <row r="126" spans="1:11" ht="18">
      <c r="A126" s="31">
        <f t="shared" si="1"/>
        <v>125</v>
      </c>
      <c r="B126" s="33" t="s">
        <v>599</v>
      </c>
      <c r="C126" s="32" t="s">
        <v>20</v>
      </c>
      <c r="D126" s="31" t="s">
        <v>573</v>
      </c>
      <c r="E126" s="185" t="str">
        <f>IF(D126="Dosen",VLOOKUP('Join TPA Dosen'!B126,Dosen!B:BC,6,FALSE),VLOOKUP(B126,TPA!B:BE,5,FALSE))</f>
        <v>TETAP</v>
      </c>
      <c r="F126" s="185" t="str">
        <f>IF(D126="Dosen",VLOOKUP('Join TPA Dosen'!B126,Dosen!B:BC,48,FALSE),VLOOKUP(B126,TPA!B:BE,52,FALSE))</f>
        <v>P</v>
      </c>
      <c r="G126" s="185" t="str">
        <f>IF(D126="Dosen",VLOOKUP('Join TPA Dosen'!B126,Dosen!B:BC,32,FALSE),VLOOKUP(B126,TPA!B:BE,44,FALSE))</f>
        <v>D4</v>
      </c>
      <c r="K126" s="391" t="s">
        <v>745</v>
      </c>
    </row>
    <row r="127" spans="1:11" ht="18">
      <c r="A127" s="31">
        <f t="shared" si="1"/>
        <v>126</v>
      </c>
      <c r="B127" s="33" t="s">
        <v>602</v>
      </c>
      <c r="C127" s="32" t="s">
        <v>20</v>
      </c>
      <c r="D127" s="31" t="s">
        <v>573</v>
      </c>
      <c r="E127" s="185" t="str">
        <f>IF(D127="Dosen",VLOOKUP('Join TPA Dosen'!B127,Dosen!B:BC,6,FALSE),VLOOKUP(B127,TPA!B:BE,5,FALSE))</f>
        <v>TETAP</v>
      </c>
      <c r="F127" s="185" t="str">
        <f>IF(D127="Dosen",VLOOKUP('Join TPA Dosen'!B127,Dosen!B:BC,48,FALSE),VLOOKUP(B127,TPA!B:BE,52,FALSE))</f>
        <v>L</v>
      </c>
      <c r="G127" s="185" t="str">
        <f>IF(D127="Dosen",VLOOKUP('Join TPA Dosen'!B127,Dosen!B:BC,32,FALSE),VLOOKUP(B127,TPA!B:BE,44,FALSE))</f>
        <v>D3</v>
      </c>
      <c r="K127" s="131" t="s">
        <v>746</v>
      </c>
    </row>
    <row r="128" spans="1:11" ht="18">
      <c r="A128" s="31">
        <f t="shared" si="1"/>
        <v>127</v>
      </c>
      <c r="B128" s="33" t="s">
        <v>606</v>
      </c>
      <c r="C128" s="32" t="s">
        <v>20</v>
      </c>
      <c r="D128" s="31" t="s">
        <v>573</v>
      </c>
      <c r="E128" s="185" t="str">
        <f>IF(D128="Dosen",VLOOKUP('Join TPA Dosen'!B128,Dosen!B:BC,6,FALSE),VLOOKUP(B128,TPA!B:BE,5,FALSE))</f>
        <v>TETAP</v>
      </c>
      <c r="F128" s="185" t="str">
        <f>IF(D128="Dosen",VLOOKUP('Join TPA Dosen'!B128,Dosen!B:BC,48,FALSE),VLOOKUP(B128,TPA!B:BE,52,FALSE))</f>
        <v>P</v>
      </c>
      <c r="G128" s="185" t="str">
        <f>IF(D128="Dosen",VLOOKUP('Join TPA Dosen'!B128,Dosen!B:BC,32,FALSE),VLOOKUP(B128,TPA!B:BE,44,FALSE))</f>
        <v>S2</v>
      </c>
      <c r="K128" s="131" t="s">
        <v>749</v>
      </c>
    </row>
    <row r="129" spans="1:11" ht="18">
      <c r="A129" s="31">
        <f t="shared" si="1"/>
        <v>128</v>
      </c>
      <c r="B129" s="33" t="s">
        <v>609</v>
      </c>
      <c r="C129" s="32" t="s">
        <v>20</v>
      </c>
      <c r="D129" s="31" t="s">
        <v>573</v>
      </c>
      <c r="E129" s="185" t="str">
        <f>IF(D129="Dosen",VLOOKUP('Join TPA Dosen'!B129,Dosen!B:BC,6,FALSE),VLOOKUP(B129,TPA!B:BE,5,FALSE))</f>
        <v>TETAP</v>
      </c>
      <c r="F129" s="185" t="str">
        <f>IF(D129="Dosen",VLOOKUP('Join TPA Dosen'!B129,Dosen!B:BC,48,FALSE),VLOOKUP(B129,TPA!B:BE,52,FALSE))</f>
        <v>P</v>
      </c>
      <c r="G129" s="185" t="str">
        <f>IF(D129="Dosen",VLOOKUP('Join TPA Dosen'!B129,Dosen!B:BC,32,FALSE),VLOOKUP(B129,TPA!B:BE,44,FALSE))</f>
        <v>S1</v>
      </c>
      <c r="K129" s="131" t="s">
        <v>750</v>
      </c>
    </row>
    <row r="130" spans="1:11" ht="18">
      <c r="A130" s="31">
        <f t="shared" si="1"/>
        <v>129</v>
      </c>
      <c r="B130" s="33" t="s">
        <v>613</v>
      </c>
      <c r="C130" s="32" t="s">
        <v>20</v>
      </c>
      <c r="D130" s="31" t="s">
        <v>573</v>
      </c>
      <c r="E130" s="185" t="str">
        <f>IF(D130="Dosen",VLOOKUP('Join TPA Dosen'!B130,Dosen!B:BC,6,FALSE),VLOOKUP(B130,TPA!B:BE,5,FALSE))</f>
        <v>TETAP</v>
      </c>
      <c r="F130" s="185" t="str">
        <f>IF(D130="Dosen",VLOOKUP('Join TPA Dosen'!B130,Dosen!B:BC,48,FALSE),VLOOKUP(B130,TPA!B:BE,52,FALSE))</f>
        <v>P</v>
      </c>
      <c r="G130" s="185" t="str">
        <f>IF(D130="Dosen",VLOOKUP('Join TPA Dosen'!B130,Dosen!B:BC,32,FALSE),VLOOKUP(B130,TPA!B:BE,44,FALSE))</f>
        <v>S1</v>
      </c>
      <c r="K130" s="131" t="s">
        <v>751</v>
      </c>
    </row>
    <row r="131" spans="1:11" ht="18">
      <c r="A131" s="31">
        <f t="shared" si="1"/>
        <v>130</v>
      </c>
      <c r="B131" s="33" t="s">
        <v>616</v>
      </c>
      <c r="C131" s="32" t="s">
        <v>20</v>
      </c>
      <c r="D131" s="31" t="s">
        <v>573</v>
      </c>
      <c r="E131" s="185" t="str">
        <f>IF(D131="Dosen",VLOOKUP('Join TPA Dosen'!B131,Dosen!B:BC,6,FALSE),VLOOKUP(B131,TPA!B:BE,5,FALSE))</f>
        <v>TETAP</v>
      </c>
      <c r="F131" s="185" t="str">
        <f>IF(D131="Dosen",VLOOKUP('Join TPA Dosen'!B131,Dosen!B:BC,48,FALSE),VLOOKUP(B131,TPA!B:BE,52,FALSE))</f>
        <v>P</v>
      </c>
      <c r="G131" s="185" t="str">
        <f>IF(D131="Dosen",VLOOKUP('Join TPA Dosen'!B131,Dosen!B:BC,32,FALSE),VLOOKUP(B131,TPA!B:BE,44,FALSE))</f>
        <v>S1</v>
      </c>
      <c r="K131" s="131" t="s">
        <v>752</v>
      </c>
    </row>
    <row r="132" spans="1:11" ht="15.95">
      <c r="A132" s="31">
        <f t="shared" ref="A132:A179" si="2">A131+1</f>
        <v>131</v>
      </c>
      <c r="B132" s="33" t="s">
        <v>619</v>
      </c>
      <c r="C132" s="32" t="s">
        <v>20</v>
      </c>
      <c r="D132" s="31" t="s">
        <v>573</v>
      </c>
      <c r="E132" s="185" t="str">
        <f>IF(D132="Dosen",VLOOKUP('Join TPA Dosen'!B132,Dosen!B:BC,6,FALSE),VLOOKUP(B132,TPA!B:BE,5,FALSE))</f>
        <v>TETAP</v>
      </c>
      <c r="F132" s="185" t="str">
        <f>IF(D132="Dosen",VLOOKUP('Join TPA Dosen'!B132,Dosen!B:BC,48,FALSE),VLOOKUP(B132,TPA!B:BE,52,FALSE))</f>
        <v>L</v>
      </c>
      <c r="G132" s="185" t="str">
        <f>IF(D132="Dosen",VLOOKUP('Join TPA Dosen'!B132,Dosen!B:BC,32,FALSE),VLOOKUP(B132,TPA!B:BE,44,FALSE))</f>
        <v>S1</v>
      </c>
    </row>
    <row r="133" spans="1:11" ht="15.95">
      <c r="A133" s="31">
        <f t="shared" si="2"/>
        <v>132</v>
      </c>
      <c r="B133" s="33" t="s">
        <v>623</v>
      </c>
      <c r="C133" s="32" t="s">
        <v>20</v>
      </c>
      <c r="D133" s="31" t="s">
        <v>573</v>
      </c>
      <c r="E133" s="185" t="str">
        <f>IF(D133="Dosen",VLOOKUP('Join TPA Dosen'!B133,Dosen!B:BC,6,FALSE),VLOOKUP(B133,TPA!B:BE,5,FALSE))</f>
        <v>TETAP</v>
      </c>
      <c r="F133" s="185" t="str">
        <f>IF(D133="Dosen",VLOOKUP('Join TPA Dosen'!B133,Dosen!B:BC,48,FALSE),VLOOKUP(B133,TPA!B:BE,52,FALSE))</f>
        <v>P</v>
      </c>
      <c r="G133" s="185" t="str">
        <f>IF(D133="Dosen",VLOOKUP('Join TPA Dosen'!B133,Dosen!B:BC,32,FALSE),VLOOKUP(B133,TPA!B:BE,44,FALSE))</f>
        <v>S1</v>
      </c>
    </row>
    <row r="134" spans="1:11" ht="15.95">
      <c r="A134" s="31">
        <f t="shared" si="2"/>
        <v>133</v>
      </c>
      <c r="B134" s="33" t="s">
        <v>627</v>
      </c>
      <c r="C134" s="32" t="s">
        <v>20</v>
      </c>
      <c r="D134" s="31" t="s">
        <v>573</v>
      </c>
      <c r="E134" s="185" t="str">
        <f>IF(D134="Dosen",VLOOKUP('Join TPA Dosen'!B134,Dosen!B:BC,6,FALSE),VLOOKUP(B134,TPA!B:BE,5,FALSE))</f>
        <v>TETAP</v>
      </c>
      <c r="F134" s="185" t="str">
        <f>IF(D134="Dosen",VLOOKUP('Join TPA Dosen'!B134,Dosen!B:BC,48,FALSE),VLOOKUP(B134,TPA!B:BE,52,FALSE))</f>
        <v>L</v>
      </c>
      <c r="G134" s="185" t="str">
        <f>IF(D134="Dosen",VLOOKUP('Join TPA Dosen'!B134,Dosen!B:BC,32,FALSE),VLOOKUP(B134,TPA!B:BE,44,FALSE))</f>
        <v>S1</v>
      </c>
    </row>
    <row r="135" spans="1:11" ht="15.95">
      <c r="A135" s="31">
        <f t="shared" si="2"/>
        <v>134</v>
      </c>
      <c r="B135" s="33" t="s">
        <v>630</v>
      </c>
      <c r="C135" s="32" t="s">
        <v>20</v>
      </c>
      <c r="D135" s="31" t="s">
        <v>573</v>
      </c>
      <c r="E135" s="185" t="str">
        <f>IF(D135="Dosen",VLOOKUP('Join TPA Dosen'!B135,Dosen!B:BC,6,FALSE),VLOOKUP(B135,TPA!B:BE,5,FALSE))</f>
        <v>TETAP</v>
      </c>
      <c r="F135" s="185" t="str">
        <f>IF(D135="Dosen",VLOOKUP('Join TPA Dosen'!B135,Dosen!B:BC,48,FALSE),VLOOKUP(B135,TPA!B:BE,52,FALSE))</f>
        <v>L</v>
      </c>
      <c r="G135" s="185" t="str">
        <f>IF(D135="Dosen",VLOOKUP('Join TPA Dosen'!B135,Dosen!B:BC,32,FALSE),VLOOKUP(B135,TPA!B:BE,44,FALSE))</f>
        <v>S1</v>
      </c>
    </row>
    <row r="136" spans="1:11" ht="15.95">
      <c r="A136" s="31">
        <f t="shared" si="2"/>
        <v>135</v>
      </c>
      <c r="B136" s="33" t="s">
        <v>633</v>
      </c>
      <c r="C136" s="32" t="s">
        <v>20</v>
      </c>
      <c r="D136" s="31" t="s">
        <v>573</v>
      </c>
      <c r="E136" s="185" t="str">
        <f>IF(D136="Dosen",VLOOKUP('Join TPA Dosen'!B136,Dosen!B:BC,6,FALSE),VLOOKUP(B136,TPA!B:BE,5,FALSE))</f>
        <v>TETAP</v>
      </c>
      <c r="F136" s="185" t="str">
        <f>IF(D136="Dosen",VLOOKUP('Join TPA Dosen'!B136,Dosen!B:BC,48,FALSE),VLOOKUP(B136,TPA!B:BE,52,FALSE))</f>
        <v>L</v>
      </c>
      <c r="G136" s="185" t="str">
        <f>IF(D136="Dosen",VLOOKUP('Join TPA Dosen'!B136,Dosen!B:BC,32,FALSE),VLOOKUP(B136,TPA!B:BE,44,FALSE))</f>
        <v>S1</v>
      </c>
    </row>
    <row r="137" spans="1:11" ht="15.95">
      <c r="A137" s="31">
        <f t="shared" si="2"/>
        <v>136</v>
      </c>
      <c r="B137" s="33" t="s">
        <v>637</v>
      </c>
      <c r="C137" s="32" t="s">
        <v>20</v>
      </c>
      <c r="D137" s="31" t="s">
        <v>573</v>
      </c>
      <c r="E137" s="185" t="str">
        <f>IF(D137="Dosen",VLOOKUP('Join TPA Dosen'!B137,Dosen!B:BC,6,FALSE),VLOOKUP(B137,TPA!B:BE,5,FALSE))</f>
        <v>TETAP</v>
      </c>
      <c r="F137" s="185" t="str">
        <f>IF(D137="Dosen",VLOOKUP('Join TPA Dosen'!B137,Dosen!B:BC,48,FALSE),VLOOKUP(B137,TPA!B:BE,52,FALSE))</f>
        <v>P</v>
      </c>
      <c r="G137" s="185" t="str">
        <f>IF(D137="Dosen",VLOOKUP('Join TPA Dosen'!B137,Dosen!B:BC,32,FALSE),VLOOKUP(B137,TPA!B:BE,44,FALSE))</f>
        <v>S1</v>
      </c>
    </row>
    <row r="138" spans="1:11" ht="15.95">
      <c r="A138" s="31">
        <f t="shared" si="2"/>
        <v>137</v>
      </c>
      <c r="B138" s="33" t="s">
        <v>641</v>
      </c>
      <c r="C138" s="32" t="s">
        <v>20</v>
      </c>
      <c r="D138" s="31" t="s">
        <v>573</v>
      </c>
      <c r="E138" s="185" t="str">
        <f>IF(D138="Dosen",VLOOKUP('Join TPA Dosen'!B138,Dosen!B:BC,6,FALSE),VLOOKUP(B138,TPA!B:BE,5,FALSE))</f>
        <v>TETAP</v>
      </c>
      <c r="F138" s="185" t="str">
        <f>IF(D138="Dosen",VLOOKUP('Join TPA Dosen'!B138,Dosen!B:BC,48,FALSE),VLOOKUP(B138,TPA!B:BE,52,FALSE))</f>
        <v>L</v>
      </c>
      <c r="G138" s="185" t="str">
        <f>IF(D138="Dosen",VLOOKUP('Join TPA Dosen'!B138,Dosen!B:BC,32,FALSE),VLOOKUP(B138,TPA!B:BE,44,FALSE))</f>
        <v>D4</v>
      </c>
    </row>
    <row r="139" spans="1:11" ht="15.95">
      <c r="A139" s="31">
        <f t="shared" si="2"/>
        <v>138</v>
      </c>
      <c r="B139" s="33" t="s">
        <v>643</v>
      </c>
      <c r="C139" s="32" t="s">
        <v>20</v>
      </c>
      <c r="D139" s="31" t="s">
        <v>573</v>
      </c>
      <c r="E139" s="185" t="str">
        <f>IF(D139="Dosen",VLOOKUP('Join TPA Dosen'!B139,Dosen!B:BC,6,FALSE),VLOOKUP(B139,TPA!B:BE,5,FALSE))</f>
        <v>TETAP</v>
      </c>
      <c r="F139" s="185" t="str">
        <f>IF(D139="Dosen",VLOOKUP('Join TPA Dosen'!B139,Dosen!B:BC,48,FALSE),VLOOKUP(B139,TPA!B:BE,52,FALSE))</f>
        <v>P</v>
      </c>
      <c r="G139" s="185" t="str">
        <f>IF(D139="Dosen",VLOOKUP('Join TPA Dosen'!B139,Dosen!B:BC,32,FALSE),VLOOKUP(B139,TPA!B:BE,44,FALSE))</f>
        <v>S1</v>
      </c>
    </row>
    <row r="140" spans="1:11" ht="15.95">
      <c r="A140" s="31">
        <f t="shared" si="2"/>
        <v>139</v>
      </c>
      <c r="B140" s="33" t="s">
        <v>645</v>
      </c>
      <c r="C140" s="32" t="s">
        <v>20</v>
      </c>
      <c r="D140" s="31" t="s">
        <v>573</v>
      </c>
      <c r="E140" s="185" t="str">
        <f>IF(D140="Dosen",VLOOKUP('Join TPA Dosen'!B140,Dosen!B:BC,6,FALSE),VLOOKUP(B140,TPA!B:BE,5,FALSE))</f>
        <v>TETAP</v>
      </c>
      <c r="F140" s="185" t="str">
        <f>IF(D140="Dosen",VLOOKUP('Join TPA Dosen'!B140,Dosen!B:BC,48,FALSE),VLOOKUP(B140,TPA!B:BE,52,FALSE))</f>
        <v>P</v>
      </c>
      <c r="G140" s="185" t="str">
        <f>IF(D140="Dosen",VLOOKUP('Join TPA Dosen'!B140,Dosen!B:BC,32,FALSE),VLOOKUP(B140,TPA!B:BE,44,FALSE))</f>
        <v>S1</v>
      </c>
    </row>
    <row r="141" spans="1:11" ht="15.95">
      <c r="A141" s="31">
        <f t="shared" si="2"/>
        <v>140</v>
      </c>
      <c r="B141" s="33" t="s">
        <v>648</v>
      </c>
      <c r="C141" s="32" t="s">
        <v>20</v>
      </c>
      <c r="D141" s="31" t="s">
        <v>573</v>
      </c>
      <c r="E141" s="185" t="str">
        <f>IF(D141="Dosen",VLOOKUP('Join TPA Dosen'!B141,Dosen!B:BC,6,FALSE),VLOOKUP(B141,TPA!B:BE,5,FALSE))</f>
        <v>TETAP</v>
      </c>
      <c r="F141" s="185" t="str">
        <f>IF(D141="Dosen",VLOOKUP('Join TPA Dosen'!B141,Dosen!B:BC,48,FALSE),VLOOKUP(B141,TPA!B:BE,52,FALSE))</f>
        <v>L</v>
      </c>
      <c r="G141" s="185" t="str">
        <f>IF(D141="Dosen",VLOOKUP('Join TPA Dosen'!B141,Dosen!B:BC,32,FALSE),VLOOKUP(B141,TPA!B:BE,44,FALSE))</f>
        <v>D3</v>
      </c>
    </row>
    <row r="142" spans="1:11" ht="15.95">
      <c r="A142" s="31">
        <f t="shared" si="2"/>
        <v>141</v>
      </c>
      <c r="B142" s="33" t="s">
        <v>652</v>
      </c>
      <c r="C142" s="32" t="s">
        <v>20</v>
      </c>
      <c r="D142" s="31" t="s">
        <v>573</v>
      </c>
      <c r="E142" s="185" t="str">
        <f>IF(D142="Dosen",VLOOKUP('Join TPA Dosen'!B142,Dosen!B:BC,6,FALSE),VLOOKUP(B142,TPA!B:BE,5,FALSE))</f>
        <v>TETAP</v>
      </c>
      <c r="F142" s="185" t="str">
        <f>IF(D142="Dosen",VLOOKUP('Join TPA Dosen'!B142,Dosen!B:BC,48,FALSE),VLOOKUP(B142,TPA!B:BE,52,FALSE))</f>
        <v>P</v>
      </c>
      <c r="G142" s="185" t="str">
        <f>IF(D142="Dosen",VLOOKUP('Join TPA Dosen'!B142,Dosen!B:BC,32,FALSE),VLOOKUP(B142,TPA!B:BE,44,FALSE))</f>
        <v>S1</v>
      </c>
    </row>
    <row r="143" spans="1:11" ht="15.95">
      <c r="A143" s="31">
        <f t="shared" si="2"/>
        <v>142</v>
      </c>
      <c r="B143" s="33" t="s">
        <v>655</v>
      </c>
      <c r="C143" s="32" t="s">
        <v>20</v>
      </c>
      <c r="D143" s="31" t="s">
        <v>573</v>
      </c>
      <c r="E143" s="185" t="str">
        <f>IF(D143="Dosen",VLOOKUP('Join TPA Dosen'!B143,Dosen!B:BC,6,FALSE),VLOOKUP(B143,TPA!B:BE,5,FALSE))</f>
        <v>TETAP</v>
      </c>
      <c r="F143" s="185" t="str">
        <f>IF(D143="Dosen",VLOOKUP('Join TPA Dosen'!B143,Dosen!B:BC,48,FALSE),VLOOKUP(B143,TPA!B:BE,52,FALSE))</f>
        <v>P</v>
      </c>
      <c r="G143" s="185" t="str">
        <f>IF(D143="Dosen",VLOOKUP('Join TPA Dosen'!B143,Dosen!B:BC,32,FALSE),VLOOKUP(B143,TPA!B:BE,44,FALSE))</f>
        <v>S1</v>
      </c>
    </row>
    <row r="144" spans="1:11" ht="15.95">
      <c r="A144" s="31">
        <f t="shared" si="2"/>
        <v>143</v>
      </c>
      <c r="B144" s="33" t="s">
        <v>658</v>
      </c>
      <c r="C144" s="32" t="s">
        <v>46</v>
      </c>
      <c r="D144" s="31" t="s">
        <v>573</v>
      </c>
      <c r="E144" s="185" t="str">
        <f>IF(D144="Dosen",VLOOKUP('Join TPA Dosen'!B144,Dosen!B:BC,6,FALSE),VLOOKUP(B144,TPA!B:BE,5,FALSE))</f>
        <v>TETAP</v>
      </c>
      <c r="F144" s="185" t="str">
        <f>IF(D144="Dosen",VLOOKUP('Join TPA Dosen'!B144,Dosen!B:BC,48,FALSE),VLOOKUP(B144,TPA!B:BE,52,FALSE))</f>
        <v>P</v>
      </c>
      <c r="G144" s="185" t="str">
        <f>IF(D144="Dosen",VLOOKUP('Join TPA Dosen'!B144,Dosen!B:BC,32,FALSE),VLOOKUP(B144,TPA!B:BE,44,FALSE))</f>
        <v>S1</v>
      </c>
    </row>
    <row r="145" spans="1:7" ht="15.95">
      <c r="A145" s="31">
        <f t="shared" si="2"/>
        <v>144</v>
      </c>
      <c r="B145" s="33" t="s">
        <v>660</v>
      </c>
      <c r="C145" s="32" t="s">
        <v>20</v>
      </c>
      <c r="D145" s="31" t="s">
        <v>573</v>
      </c>
      <c r="E145" s="185" t="str">
        <f>IF(D145="Dosen",VLOOKUP('Join TPA Dosen'!B145,Dosen!B:BC,6,FALSE),VLOOKUP(B145,TPA!B:BE,5,FALSE))</f>
        <v>TETAP</v>
      </c>
      <c r="F145" s="185" t="str">
        <f>IF(D145="Dosen",VLOOKUP('Join TPA Dosen'!B145,Dosen!B:BC,48,FALSE),VLOOKUP(B145,TPA!B:BE,52,FALSE))</f>
        <v>L</v>
      </c>
      <c r="G145" s="185" t="str">
        <f>IF(D145="Dosen",VLOOKUP('Join TPA Dosen'!B145,Dosen!B:BC,32,FALSE),VLOOKUP(B145,TPA!B:BE,44,FALSE))</f>
        <v>S1</v>
      </c>
    </row>
    <row r="146" spans="1:7" ht="15.95">
      <c r="A146" s="31">
        <f t="shared" si="2"/>
        <v>145</v>
      </c>
      <c r="B146" s="33" t="s">
        <v>664</v>
      </c>
      <c r="C146" s="32" t="s">
        <v>20</v>
      </c>
      <c r="D146" s="31" t="s">
        <v>573</v>
      </c>
      <c r="E146" s="185" t="str">
        <f>IF(D146="Dosen",VLOOKUP('Join TPA Dosen'!B146,Dosen!B:BC,6,FALSE),VLOOKUP(B146,TPA!B:BE,5,FALSE))</f>
        <v>TETAP</v>
      </c>
      <c r="F146" s="185" t="str">
        <f>IF(D146="Dosen",VLOOKUP('Join TPA Dosen'!B146,Dosen!B:BC,48,FALSE),VLOOKUP(B146,TPA!B:BE,52,FALSE))</f>
        <v>P</v>
      </c>
      <c r="G146" s="185" t="str">
        <f>IF(D146="Dosen",VLOOKUP('Join TPA Dosen'!B146,Dosen!B:BC,32,FALSE),VLOOKUP(B146,TPA!B:BE,44,FALSE))</f>
        <v>D4</v>
      </c>
    </row>
    <row r="147" spans="1:7" ht="15.95">
      <c r="A147" s="31">
        <f t="shared" si="2"/>
        <v>146</v>
      </c>
      <c r="B147" s="33" t="s">
        <v>666</v>
      </c>
      <c r="C147" s="32" t="s">
        <v>20</v>
      </c>
      <c r="D147" s="31" t="s">
        <v>573</v>
      </c>
      <c r="E147" s="185" t="str">
        <f>IF(D147="Dosen",VLOOKUP('Join TPA Dosen'!B147,Dosen!B:BC,6,FALSE),VLOOKUP(B147,TPA!B:BE,5,FALSE))</f>
        <v>TETAP</v>
      </c>
      <c r="F147" s="185" t="str">
        <f>IF(D147="Dosen",VLOOKUP('Join TPA Dosen'!B147,Dosen!B:BC,48,FALSE),VLOOKUP(B147,TPA!B:BE,52,FALSE))</f>
        <v>L</v>
      </c>
      <c r="G147" s="185" t="str">
        <f>IF(D147="Dosen",VLOOKUP('Join TPA Dosen'!B147,Dosen!B:BC,32,FALSE),VLOOKUP(B147,TPA!B:BE,44,FALSE))</f>
        <v>S1</v>
      </c>
    </row>
    <row r="148" spans="1:7" ht="15.95">
      <c r="A148" s="31">
        <f t="shared" si="2"/>
        <v>147</v>
      </c>
      <c r="B148" s="33" t="s">
        <v>668</v>
      </c>
      <c r="C148" s="32" t="s">
        <v>20</v>
      </c>
      <c r="D148" s="31" t="s">
        <v>573</v>
      </c>
      <c r="E148" s="185" t="str">
        <f>IF(D148="Dosen",VLOOKUP('Join TPA Dosen'!B148,Dosen!B:BC,6,FALSE),VLOOKUP(B148,TPA!B:BE,5,FALSE))</f>
        <v>TETAP</v>
      </c>
      <c r="F148" s="185" t="str">
        <f>IF(D148="Dosen",VLOOKUP('Join TPA Dosen'!B148,Dosen!B:BC,48,FALSE),VLOOKUP(B148,TPA!B:BE,52,FALSE))</f>
        <v>L</v>
      </c>
      <c r="G148" s="185" t="str">
        <f>IF(D148="Dosen",VLOOKUP('Join TPA Dosen'!B148,Dosen!B:BC,32,FALSE),VLOOKUP(B148,TPA!B:BE,44,FALSE))</f>
        <v>S1</v>
      </c>
    </row>
    <row r="149" spans="1:7" ht="15.95">
      <c r="A149" s="31">
        <f t="shared" si="2"/>
        <v>148</v>
      </c>
      <c r="B149" s="33" t="s">
        <v>671</v>
      </c>
      <c r="C149" s="32" t="s">
        <v>20</v>
      </c>
      <c r="D149" s="31" t="s">
        <v>573</v>
      </c>
      <c r="E149" s="185" t="str">
        <f>IF(D149="Dosen",VLOOKUP('Join TPA Dosen'!B149,Dosen!B:BC,6,FALSE),VLOOKUP(B149,TPA!B:BE,5,FALSE))</f>
        <v>TETAP</v>
      </c>
      <c r="F149" s="185" t="str">
        <f>IF(D149="Dosen",VLOOKUP('Join TPA Dosen'!B149,Dosen!B:BC,48,FALSE),VLOOKUP(B149,TPA!B:BE,52,FALSE))</f>
        <v>P</v>
      </c>
      <c r="G149" s="185" t="str">
        <f>IF(D149="Dosen",VLOOKUP('Join TPA Dosen'!B149,Dosen!B:BC,32,FALSE),VLOOKUP(B149,TPA!B:BE,44,FALSE))</f>
        <v>S1</v>
      </c>
    </row>
    <row r="150" spans="1:7" ht="15.95">
      <c r="A150" s="31">
        <f t="shared" si="2"/>
        <v>149</v>
      </c>
      <c r="B150" s="33" t="s">
        <v>673</v>
      </c>
      <c r="C150" s="32" t="s">
        <v>20</v>
      </c>
      <c r="D150" s="31" t="s">
        <v>573</v>
      </c>
      <c r="E150" s="185" t="str">
        <f>IF(D150="Dosen",VLOOKUP('Join TPA Dosen'!B150,Dosen!B:BC,6,FALSE),VLOOKUP(B150,TPA!B:BE,5,FALSE))</f>
        <v>PROFESIONAL</v>
      </c>
      <c r="F150" s="185" t="str">
        <f>IF(D150="Dosen",VLOOKUP('Join TPA Dosen'!B150,Dosen!B:BC,48,FALSE),VLOOKUP(B150,TPA!B:BE,52,FALSE))</f>
        <v>P</v>
      </c>
      <c r="G150" s="185" t="str">
        <f>IF(D150="Dosen",VLOOKUP('Join TPA Dosen'!B150,Dosen!B:BC,32,FALSE),VLOOKUP(B150,TPA!B:BE,44,FALSE))</f>
        <v>S1</v>
      </c>
    </row>
    <row r="151" spans="1:7" ht="15.95">
      <c r="A151" s="31">
        <f t="shared" si="2"/>
        <v>150</v>
      </c>
      <c r="B151" s="33" t="s">
        <v>676</v>
      </c>
      <c r="C151" s="32" t="s">
        <v>20</v>
      </c>
      <c r="D151" s="31" t="s">
        <v>573</v>
      </c>
      <c r="E151" s="185" t="str">
        <f>IF(D151="Dosen",VLOOKUP('Join TPA Dosen'!B151,Dosen!B:BC,6,FALSE),VLOOKUP(B151,TPA!B:BE,5,FALSE))</f>
        <v>PROFESIONAL</v>
      </c>
      <c r="F151" s="185" t="str">
        <f>IF(D151="Dosen",VLOOKUP('Join TPA Dosen'!B151,Dosen!B:BC,48,FALSE),VLOOKUP(B151,TPA!B:BE,52,FALSE))</f>
        <v>P</v>
      </c>
      <c r="G151" s="185" t="str">
        <f>IF(D151="Dosen",VLOOKUP('Join TPA Dosen'!B151,Dosen!B:BC,32,FALSE),VLOOKUP(B151,TPA!B:BE,44,FALSE))</f>
        <v>S1</v>
      </c>
    </row>
    <row r="152" spans="1:7" ht="15.95">
      <c r="A152" s="31">
        <f t="shared" si="2"/>
        <v>151</v>
      </c>
      <c r="B152" s="33" t="s">
        <v>679</v>
      </c>
      <c r="C152" s="32" t="s">
        <v>20</v>
      </c>
      <c r="D152" s="31" t="s">
        <v>573</v>
      </c>
      <c r="E152" s="185" t="str">
        <f>IF(D152="Dosen",VLOOKUP('Join TPA Dosen'!B152,Dosen!B:BC,6,FALSE),VLOOKUP(B152,TPA!B:BE,5,FALSE))</f>
        <v>PROFESIONAL</v>
      </c>
      <c r="F152" s="185" t="str">
        <f>IF(D152="Dosen",VLOOKUP('Join TPA Dosen'!B152,Dosen!B:BC,48,FALSE),VLOOKUP(B152,TPA!B:BE,52,FALSE))</f>
        <v>L</v>
      </c>
      <c r="G152" s="185" t="str">
        <f>IF(D152="Dosen",VLOOKUP('Join TPA Dosen'!B152,Dosen!B:BC,32,FALSE),VLOOKUP(B152,TPA!B:BE,44,FALSE))</f>
        <v>S1</v>
      </c>
    </row>
    <row r="153" spans="1:7" ht="15.95">
      <c r="A153" s="31">
        <f t="shared" si="2"/>
        <v>152</v>
      </c>
      <c r="B153" s="33" t="s">
        <v>746</v>
      </c>
      <c r="C153" s="32" t="s">
        <v>46</v>
      </c>
      <c r="D153" s="31" t="s">
        <v>573</v>
      </c>
      <c r="E153" s="185" t="str">
        <f>IF(D153="Dosen",VLOOKUP('Join TPA Dosen'!B153,Dosen!B:BC,6,FALSE),VLOOKUP(B153,TPA!B:BE,5,FALSE))</f>
        <v>PROFESIONAL</v>
      </c>
      <c r="F153" s="185" t="str">
        <f>IF(D153="Dosen",VLOOKUP('Join TPA Dosen'!B153,Dosen!B:BC,48,FALSE),VLOOKUP(B153,TPA!B:BE,52,FALSE))</f>
        <v>L</v>
      </c>
      <c r="G153" s="185" t="str">
        <f>IF(D153="Dosen",VLOOKUP('Join TPA Dosen'!B153,Dosen!B:BC,32,FALSE),VLOOKUP(B153,TPA!B:BE,44,FALSE))</f>
        <v>S1</v>
      </c>
    </row>
    <row r="154" spans="1:7" ht="15.95">
      <c r="A154" s="31">
        <f t="shared" si="2"/>
        <v>153</v>
      </c>
      <c r="B154" s="33" t="s">
        <v>682</v>
      </c>
      <c r="C154" s="32" t="s">
        <v>20</v>
      </c>
      <c r="D154" s="31" t="s">
        <v>573</v>
      </c>
      <c r="E154" s="185" t="str">
        <f>IF(D154="Dosen",VLOOKUP('Join TPA Dosen'!B154,Dosen!B:BC,6,FALSE),VLOOKUP(B154,TPA!B:BE,5,FALSE))</f>
        <v>PROFESIONAL</v>
      </c>
      <c r="F154" s="185" t="str">
        <f>IF(D154="Dosen",VLOOKUP('Join TPA Dosen'!B154,Dosen!B:BC,48,FALSE),VLOOKUP(B154,TPA!B:BE,52,FALSE))</f>
        <v>P</v>
      </c>
      <c r="G154" s="185" t="str">
        <f>IF(D154="Dosen",VLOOKUP('Join TPA Dosen'!B154,Dosen!B:BC,32,FALSE),VLOOKUP(B154,TPA!B:BE,44,FALSE))</f>
        <v>S1</v>
      </c>
    </row>
    <row r="155" spans="1:7" ht="15.95">
      <c r="A155" s="31">
        <f t="shared" si="2"/>
        <v>154</v>
      </c>
      <c r="B155" s="33" t="s">
        <v>684</v>
      </c>
      <c r="C155" s="32" t="s">
        <v>20</v>
      </c>
      <c r="D155" s="31" t="s">
        <v>573</v>
      </c>
      <c r="E155" s="185" t="str">
        <f>IF(D155="Dosen",VLOOKUP('Join TPA Dosen'!B155,Dosen!B:BC,6,FALSE),VLOOKUP(B155,TPA!B:BE,5,FALSE))</f>
        <v>PROFESIONAL</v>
      </c>
      <c r="F155" s="185" t="str">
        <f>IF(D155="Dosen",VLOOKUP('Join TPA Dosen'!B155,Dosen!B:BC,48,FALSE),VLOOKUP(B155,TPA!B:BE,52,FALSE))</f>
        <v>L</v>
      </c>
      <c r="G155" s="185" t="str">
        <f>IF(D155="Dosen",VLOOKUP('Join TPA Dosen'!B155,Dosen!B:BC,32,FALSE),VLOOKUP(B155,TPA!B:BE,44,FALSE))</f>
        <v>S1</v>
      </c>
    </row>
    <row r="156" spans="1:7" ht="15.95">
      <c r="A156" s="31">
        <f t="shared" si="2"/>
        <v>155</v>
      </c>
      <c r="B156" s="33" t="s">
        <v>687</v>
      </c>
      <c r="C156" s="32" t="s">
        <v>20</v>
      </c>
      <c r="D156" s="31" t="s">
        <v>573</v>
      </c>
      <c r="E156" s="185" t="str">
        <f>IF(D156="Dosen",VLOOKUP('Join TPA Dosen'!B156,Dosen!B:BC,6,FALSE),VLOOKUP(B156,TPA!B:BE,5,FALSE))</f>
        <v>PROFESIONAL</v>
      </c>
      <c r="F156" s="185" t="str">
        <f>IF(D156="Dosen",VLOOKUP('Join TPA Dosen'!B156,Dosen!B:BC,48,FALSE),VLOOKUP(B156,TPA!B:BE,52,FALSE))</f>
        <v>L</v>
      </c>
      <c r="G156" s="185" t="str">
        <f>IF(D156="Dosen",VLOOKUP('Join TPA Dosen'!B156,Dosen!B:BC,32,FALSE),VLOOKUP(B156,TPA!B:BE,44,FALSE))</f>
        <v>S1</v>
      </c>
    </row>
    <row r="157" spans="1:7" ht="15.95">
      <c r="A157" s="31">
        <f t="shared" si="2"/>
        <v>156</v>
      </c>
      <c r="B157" s="33" t="s">
        <v>689</v>
      </c>
      <c r="C157" s="32" t="s">
        <v>20</v>
      </c>
      <c r="D157" s="31" t="s">
        <v>573</v>
      </c>
      <c r="E157" s="185" t="str">
        <f>IF(D157="Dosen",VLOOKUP('Join TPA Dosen'!B157,Dosen!B:BC,6,FALSE),VLOOKUP(B157,TPA!B:BE,5,FALSE))</f>
        <v>TLH</v>
      </c>
      <c r="F157" s="185" t="str">
        <f>IF(D157="Dosen",VLOOKUP('Join TPA Dosen'!B157,Dosen!B:BC,48,FALSE),VLOOKUP(B157,TPA!B:BE,52,FALSE))</f>
        <v>P</v>
      </c>
      <c r="G157" s="185" t="str">
        <f>IF(D157="Dosen",VLOOKUP('Join TPA Dosen'!B157,Dosen!B:BC,32,FALSE),VLOOKUP(B157,TPA!B:BE,44,FALSE))</f>
        <v>SMA</v>
      </c>
    </row>
    <row r="158" spans="1:7" ht="15.95">
      <c r="A158" s="31">
        <f t="shared" si="2"/>
        <v>157</v>
      </c>
      <c r="B158" s="33" t="s">
        <v>693</v>
      </c>
      <c r="C158" s="32" t="s">
        <v>694</v>
      </c>
      <c r="D158" s="31" t="s">
        <v>573</v>
      </c>
      <c r="E158" s="185" t="str">
        <f>IF(D158="Dosen",VLOOKUP('Join TPA Dosen'!B158,Dosen!B:BC,6,FALSE),VLOOKUP(B158,TPA!B:BE,5,FALSE))</f>
        <v>OUTSOURCE</v>
      </c>
      <c r="F158" s="185" t="str">
        <f>IF(D158="Dosen",VLOOKUP('Join TPA Dosen'!B158,Dosen!B:BC,48,FALSE),VLOOKUP(B158,TPA!B:BE,52,FALSE))</f>
        <v>P</v>
      </c>
      <c r="G158" s="185" t="str">
        <f>IF(D158="Dosen",VLOOKUP('Join TPA Dosen'!B158,Dosen!B:BC,32,FALSE),VLOOKUP(B158,TPA!B:BE,44,FALSE))</f>
        <v>SMA</v>
      </c>
    </row>
    <row r="159" spans="1:7" ht="15.95">
      <c r="A159" s="31">
        <f t="shared" si="2"/>
        <v>158</v>
      </c>
      <c r="B159" s="33" t="s">
        <v>697</v>
      </c>
      <c r="C159" s="32" t="s">
        <v>694</v>
      </c>
      <c r="D159" s="31" t="s">
        <v>573</v>
      </c>
      <c r="E159" s="185" t="str">
        <f>IF(D159="Dosen",VLOOKUP('Join TPA Dosen'!B159,Dosen!B:BC,6,FALSE),VLOOKUP(B159,TPA!B:BE,5,FALSE))</f>
        <v>OUTSOURCE</v>
      </c>
      <c r="F159" s="185" t="str">
        <f>IF(D159="Dosen",VLOOKUP('Join TPA Dosen'!B159,Dosen!B:BC,48,FALSE),VLOOKUP(B159,TPA!B:BE,52,FALSE))</f>
        <v>L</v>
      </c>
      <c r="G159" s="185" t="str">
        <f>IF(D159="Dosen",VLOOKUP('Join TPA Dosen'!B159,Dosen!B:BC,32,FALSE),VLOOKUP(B159,TPA!B:BE,44,FALSE))</f>
        <v>SMA</v>
      </c>
    </row>
    <row r="160" spans="1:7" ht="15.95">
      <c r="A160" s="31">
        <f t="shared" si="2"/>
        <v>159</v>
      </c>
      <c r="B160" s="33" t="s">
        <v>699</v>
      </c>
      <c r="C160" s="32" t="s">
        <v>20</v>
      </c>
      <c r="D160" s="31" t="s">
        <v>573</v>
      </c>
      <c r="E160" s="185" t="str">
        <f>IF(D160="Dosen",VLOOKUP('Join TPA Dosen'!B160,Dosen!B:BC,6,FALSE),VLOOKUP(B160,TPA!B:BE,5,FALSE))</f>
        <v>OUTSOURCE</v>
      </c>
      <c r="F160" s="185" t="str">
        <f>IF(D160="Dosen",VLOOKUP('Join TPA Dosen'!B160,Dosen!B:BC,48,FALSE),VLOOKUP(B160,TPA!B:BE,52,FALSE))</f>
        <v>L</v>
      </c>
      <c r="G160" s="185" t="str">
        <f>IF(D160="Dosen",VLOOKUP('Join TPA Dosen'!B160,Dosen!B:BC,32,FALSE),VLOOKUP(B160,TPA!B:BE,44,FALSE))</f>
        <v>D1</v>
      </c>
    </row>
    <row r="161" spans="1:7" ht="15.95">
      <c r="A161" s="31">
        <f t="shared" si="2"/>
        <v>160</v>
      </c>
      <c r="B161" s="33" t="s">
        <v>703</v>
      </c>
      <c r="C161" s="32" t="s">
        <v>694</v>
      </c>
      <c r="D161" s="31" t="s">
        <v>573</v>
      </c>
      <c r="E161" s="185" t="str">
        <f>IF(D161="Dosen",VLOOKUP('Join TPA Dosen'!B161,Dosen!B:BC,6,FALSE),VLOOKUP(B161,TPA!B:BE,5,FALSE))</f>
        <v>Koperasi</v>
      </c>
      <c r="F161" s="185" t="str">
        <f>IF(D161="Dosen",VLOOKUP('Join TPA Dosen'!B161,Dosen!B:BC,48,FALSE),VLOOKUP(B161,TPA!B:BE,52,FALSE))</f>
        <v>L</v>
      </c>
      <c r="G161" s="185" t="str">
        <f>IF(D161="Dosen",VLOOKUP('Join TPA Dosen'!B161,Dosen!B:BC,32,FALSE),VLOOKUP(B161,TPA!B:BE,44,FALSE))</f>
        <v>S1</v>
      </c>
    </row>
    <row r="162" spans="1:7" ht="15.95">
      <c r="A162" s="31">
        <f t="shared" si="2"/>
        <v>161</v>
      </c>
      <c r="B162" s="33" t="s">
        <v>705</v>
      </c>
      <c r="C162" s="32" t="s">
        <v>20</v>
      </c>
      <c r="D162" s="31" t="s">
        <v>573</v>
      </c>
      <c r="E162" s="185" t="str">
        <f>IF(D162="Dosen",VLOOKUP('Join TPA Dosen'!B162,Dosen!B:BC,6,FALSE),VLOOKUP(B162,TPA!B:BE,5,FALSE))</f>
        <v>TLH</v>
      </c>
      <c r="F162" s="185" t="str">
        <f>IF(D162="Dosen",VLOOKUP('Join TPA Dosen'!B162,Dosen!B:BC,48,FALSE),VLOOKUP(B162,TPA!B:BE,52,FALSE))</f>
        <v>P</v>
      </c>
      <c r="G162" s="185" t="str">
        <f>IF(D162="Dosen",VLOOKUP('Join TPA Dosen'!B162,Dosen!B:BC,32,FALSE),VLOOKUP(B162,TPA!B:BE,44,FALSE))</f>
        <v>D3</v>
      </c>
    </row>
    <row r="163" spans="1:7" ht="15.95">
      <c r="A163" s="31">
        <f t="shared" si="2"/>
        <v>162</v>
      </c>
      <c r="B163" s="33" t="s">
        <v>708</v>
      </c>
      <c r="C163" s="32" t="s">
        <v>20</v>
      </c>
      <c r="D163" s="31" t="s">
        <v>573</v>
      </c>
      <c r="E163" s="185" t="str">
        <f>IF(D163="Dosen",VLOOKUP('Join TPA Dosen'!B163,Dosen!B:BC,6,FALSE),VLOOKUP(B163,TPA!B:BE,5,FALSE))</f>
        <v>PROFESIONAL</v>
      </c>
      <c r="F163" s="185" t="str">
        <f>IF(D163="Dosen",VLOOKUP('Join TPA Dosen'!B163,Dosen!B:BC,48,FALSE),VLOOKUP(B163,TPA!B:BE,52,FALSE))</f>
        <v>P</v>
      </c>
      <c r="G163" s="185" t="str">
        <f>IF(D163="Dosen",VLOOKUP('Join TPA Dosen'!B163,Dosen!B:BC,32,FALSE),VLOOKUP(B163,TPA!B:BE,44,FALSE))</f>
        <v>S1</v>
      </c>
    </row>
    <row r="164" spans="1:7" ht="15.95">
      <c r="A164" s="31">
        <f t="shared" si="2"/>
        <v>163</v>
      </c>
      <c r="B164" s="33" t="s">
        <v>711</v>
      </c>
      <c r="C164" s="32" t="s">
        <v>20</v>
      </c>
      <c r="D164" s="31" t="s">
        <v>573</v>
      </c>
      <c r="E164" s="185" t="str">
        <f>IF(D164="Dosen",VLOOKUP('Join TPA Dosen'!B164,Dosen!B:BC,6,FALSE),VLOOKUP(B164,TPA!B:BE,5,FALSE))</f>
        <v>PROFESIONAL</v>
      </c>
      <c r="F164" s="185" t="str">
        <f>IF(D164="Dosen",VLOOKUP('Join TPA Dosen'!B164,Dosen!B:BC,48,FALSE),VLOOKUP(B164,TPA!B:BE,52,FALSE))</f>
        <v>P</v>
      </c>
      <c r="G164" s="185" t="str">
        <f>IF(D164="Dosen",VLOOKUP('Join TPA Dosen'!B164,Dosen!B:BC,32,FALSE),VLOOKUP(B164,TPA!B:BE,44,FALSE))</f>
        <v>S1</v>
      </c>
    </row>
    <row r="165" spans="1:7" ht="15.95">
      <c r="A165" s="31">
        <f t="shared" si="2"/>
        <v>164</v>
      </c>
      <c r="B165" s="33" t="s">
        <v>717</v>
      </c>
      <c r="C165" s="32" t="s">
        <v>20</v>
      </c>
      <c r="D165" s="31" t="s">
        <v>573</v>
      </c>
      <c r="E165" s="185" t="str">
        <f>IF(D165="Dosen",VLOOKUP('Join TPA Dosen'!B165,Dosen!B:BC,6,FALSE),VLOOKUP(B165,TPA!B:BE,5,FALSE))</f>
        <v>TLH</v>
      </c>
      <c r="F165" s="185" t="str">
        <f>IF(D165="Dosen",VLOOKUP('Join TPA Dosen'!B165,Dosen!B:BC,48,FALSE),VLOOKUP(B165,TPA!B:BE,52,FALSE))</f>
        <v>L</v>
      </c>
      <c r="G165" s="185" t="str">
        <f>IF(D165="Dosen",VLOOKUP('Join TPA Dosen'!B165,Dosen!B:BC,32,FALSE),VLOOKUP(B165,TPA!B:BE,44,FALSE))</f>
        <v>S1</v>
      </c>
    </row>
    <row r="166" spans="1:7" ht="15.95">
      <c r="A166" s="31">
        <f t="shared" si="2"/>
        <v>165</v>
      </c>
      <c r="B166" s="33" t="s">
        <v>721</v>
      </c>
      <c r="C166" s="32" t="s">
        <v>46</v>
      </c>
      <c r="D166" s="31" t="s">
        <v>573</v>
      </c>
      <c r="E166" s="185" t="str">
        <f>IF(D166="Dosen",VLOOKUP('Join TPA Dosen'!B166,Dosen!B:BC,6,FALSE),VLOOKUP(B166,TPA!B:BE,5,FALSE))</f>
        <v>TLH</v>
      </c>
      <c r="F166" s="185" t="str">
        <f>IF(D166="Dosen",VLOOKUP('Join TPA Dosen'!B166,Dosen!B:BC,48,FALSE),VLOOKUP(B166,TPA!B:BE,52,FALSE))</f>
        <v>L</v>
      </c>
      <c r="G166" s="185" t="str">
        <f>IF(D166="Dosen",VLOOKUP('Join TPA Dosen'!B166,Dosen!B:BC,32,FALSE),VLOOKUP(B166,TPA!B:BE,44,FALSE))</f>
        <v>S1</v>
      </c>
    </row>
    <row r="167" spans="1:7" ht="15.95">
      <c r="A167" s="31">
        <f t="shared" si="2"/>
        <v>166</v>
      </c>
      <c r="B167" s="33" t="s">
        <v>723</v>
      </c>
      <c r="C167" s="32" t="s">
        <v>20</v>
      </c>
      <c r="D167" s="31" t="s">
        <v>573</v>
      </c>
      <c r="E167" s="185" t="str">
        <f>IF(D167="Dosen",VLOOKUP('Join TPA Dosen'!B167,Dosen!B:BC,6,FALSE),VLOOKUP(B167,TPA!B:BE,5,FALSE))</f>
        <v>TLH</v>
      </c>
      <c r="F167" s="185" t="str">
        <f>IF(D167="Dosen",VLOOKUP('Join TPA Dosen'!B167,Dosen!B:BC,48,FALSE),VLOOKUP(B167,TPA!B:BE,52,FALSE))</f>
        <v>L</v>
      </c>
      <c r="G167" s="185" t="str">
        <f>IF(D167="Dosen",VLOOKUP('Join TPA Dosen'!B167,Dosen!B:BC,32,FALSE),VLOOKUP(B167,TPA!B:BE,44,FALSE))</f>
        <v>S1</v>
      </c>
    </row>
    <row r="168" spans="1:7" ht="15.95">
      <c r="A168" s="31">
        <f t="shared" si="2"/>
        <v>167</v>
      </c>
      <c r="B168" s="33" t="s">
        <v>726</v>
      </c>
      <c r="C168" s="32" t="s">
        <v>20</v>
      </c>
      <c r="D168" s="31" t="s">
        <v>573</v>
      </c>
      <c r="E168" s="185" t="str">
        <f>IF(D168="Dosen",VLOOKUP('Join TPA Dosen'!B168,Dosen!B:BC,6,FALSE),VLOOKUP(B168,TPA!B:BE,5,FALSE))</f>
        <v>TLH</v>
      </c>
      <c r="F168" s="185" t="str">
        <f>IF(D168="Dosen",VLOOKUP('Join TPA Dosen'!B168,Dosen!B:BC,48,FALSE),VLOOKUP(B168,TPA!B:BE,52,FALSE))</f>
        <v>P</v>
      </c>
      <c r="G168" s="185" t="str">
        <f>IF(D168="Dosen",VLOOKUP('Join TPA Dosen'!B168,Dosen!B:BC,32,FALSE),VLOOKUP(B168,TPA!B:BE,44,FALSE))</f>
        <v>S1</v>
      </c>
    </row>
    <row r="169" spans="1:7" ht="15.95">
      <c r="A169" s="31">
        <f t="shared" si="2"/>
        <v>168</v>
      </c>
      <c r="B169" s="33" t="s">
        <v>715</v>
      </c>
      <c r="C169" s="32" t="s">
        <v>20</v>
      </c>
      <c r="D169" s="31" t="s">
        <v>573</v>
      </c>
      <c r="E169" s="185" t="str">
        <f>IF(D169="Dosen",VLOOKUP('Join TPA Dosen'!B169,Dosen!B:BC,6,FALSE),VLOOKUP(B169,TPA!B:BE,5,FALSE))</f>
        <v>PROFESIONAL</v>
      </c>
      <c r="F169" s="185" t="str">
        <f>IF(D169="Dosen",VLOOKUP('Join TPA Dosen'!B169,Dosen!B:BC,48,FALSE),VLOOKUP(B169,TPA!B:BE,52,FALSE))</f>
        <v>L</v>
      </c>
      <c r="G169" s="185" t="str">
        <f>IF(D169="Dosen",VLOOKUP('Join TPA Dosen'!B169,Dosen!B:BC,32,FALSE),VLOOKUP(B169,TPA!B:BE,44,FALSE))</f>
        <v>S1</v>
      </c>
    </row>
    <row r="170" spans="1:7" ht="15.95">
      <c r="A170" s="31">
        <f t="shared" si="2"/>
        <v>169</v>
      </c>
      <c r="B170" s="33" t="s">
        <v>728</v>
      </c>
      <c r="C170" s="32" t="s">
        <v>46</v>
      </c>
      <c r="D170" s="31" t="s">
        <v>573</v>
      </c>
      <c r="E170" s="185" t="str">
        <f>IF(D170="Dosen",VLOOKUP('Join TPA Dosen'!B170,Dosen!B:BC,6,FALSE),VLOOKUP(B170,TPA!B:BE,5,FALSE))</f>
        <v>TLH</v>
      </c>
      <c r="F170" s="185" t="str">
        <f>IF(D170="Dosen",VLOOKUP('Join TPA Dosen'!B170,Dosen!B:BC,48,FALSE),VLOOKUP(B170,TPA!B:BE,52,FALSE))</f>
        <v>L</v>
      </c>
      <c r="G170" s="185" t="str">
        <f>IF(D170="Dosen",VLOOKUP('Join TPA Dosen'!B170,Dosen!B:BC,32,FALSE),VLOOKUP(B170,TPA!B:BE,44,FALSE))</f>
        <v>S1</v>
      </c>
    </row>
    <row r="171" spans="1:7" ht="15.95">
      <c r="A171" s="31">
        <f t="shared" si="2"/>
        <v>170</v>
      </c>
      <c r="B171" s="33" t="s">
        <v>732</v>
      </c>
      <c r="C171" s="32" t="s">
        <v>20</v>
      </c>
      <c r="D171" s="31" t="s">
        <v>573</v>
      </c>
      <c r="E171" s="185" t="str">
        <f>IF(D171="Dosen",VLOOKUP('Join TPA Dosen'!B171,Dosen!B:BC,6,FALSE),VLOOKUP(B171,TPA!B:BE,5,FALSE))</f>
        <v>TLH</v>
      </c>
      <c r="F171" s="185" t="str">
        <f>IF(D171="Dosen",VLOOKUP('Join TPA Dosen'!B171,Dosen!B:BC,48,FALSE),VLOOKUP(B171,TPA!B:BE,52,FALSE))</f>
        <v>P</v>
      </c>
      <c r="G171" s="185" t="str">
        <f>IF(D171="Dosen",VLOOKUP('Join TPA Dosen'!B171,Dosen!B:BC,32,FALSE),VLOOKUP(B171,TPA!B:BE,44,FALSE))</f>
        <v>S1</v>
      </c>
    </row>
    <row r="172" spans="1:7" ht="18.95">
      <c r="A172" s="31">
        <f t="shared" si="2"/>
        <v>171</v>
      </c>
      <c r="B172" s="162" t="s">
        <v>160</v>
      </c>
      <c r="C172" s="185" t="s">
        <v>20</v>
      </c>
      <c r="D172" s="185" t="s">
        <v>21</v>
      </c>
      <c r="E172" s="185" t="str">
        <f>IF(D172="Dosen",VLOOKUP('Join TPA Dosen'!B172,Dosen!B:BC,6,FALSE),VLOOKUP(B172,TPA!B:BE,5,FALSE))</f>
        <v>6961776677130132</v>
      </c>
      <c r="F172" s="185" t="s">
        <v>775</v>
      </c>
      <c r="G172" s="185" t="str">
        <f>IF(D172="Dosen",VLOOKUP('Join TPA Dosen'!B172,Dosen!B:BC,32,FALSE),VLOOKUP(B172,TPA!B:BE,44,FALSE))</f>
        <v> </v>
      </c>
    </row>
    <row r="173" spans="1:7" ht="15.95">
      <c r="A173" s="31">
        <f t="shared" si="2"/>
        <v>172</v>
      </c>
      <c r="B173" s="185" t="s">
        <v>736</v>
      </c>
      <c r="C173" s="185" t="s">
        <v>20</v>
      </c>
      <c r="D173" s="185" t="s">
        <v>573</v>
      </c>
      <c r="E173" s="185" t="str">
        <f>IF(D173="Dosen",VLOOKUP('Join TPA Dosen'!B173,Dosen!B:BC,6,FALSE),VLOOKUP(B173,TPA!B:BE,5,FALSE))</f>
        <v>TLH</v>
      </c>
      <c r="F173" s="185" t="str">
        <f>IF(D173="Dosen",VLOOKUP('Join TPA Dosen'!B173,Dosen!B:BC,48,FALSE),VLOOKUP(B173,TPA!B:BE,52,FALSE))</f>
        <v>L</v>
      </c>
      <c r="G173" s="185" t="str">
        <f>IF(D173="Dosen",VLOOKUP('Join TPA Dosen'!B173,Dosen!B:BC,32,FALSE),VLOOKUP(B173,TPA!B:BE,44,FALSE))</f>
        <v>S1</v>
      </c>
    </row>
    <row r="174" spans="1:7" ht="18.95">
      <c r="A174" s="31">
        <f t="shared" si="2"/>
        <v>173</v>
      </c>
      <c r="B174" s="162" t="s">
        <v>453</v>
      </c>
      <c r="C174" s="162" t="s">
        <v>20</v>
      </c>
      <c r="D174" s="162" t="s">
        <v>21</v>
      </c>
      <c r="E174" s="185" t="str">
        <f>IF(D174="Dosen",VLOOKUP('Join TPA Dosen'!B174,Dosen!B:BC,6,FALSE),VLOOKUP(B174,TPA!B:BE,5,FALSE))</f>
        <v>4634760661230252</v>
      </c>
      <c r="F174" s="185" t="s">
        <v>1603</v>
      </c>
      <c r="G174" s="185" t="s">
        <v>879</v>
      </c>
    </row>
    <row r="175" spans="1:7" ht="18.95">
      <c r="A175" s="31">
        <f t="shared" si="2"/>
        <v>174</v>
      </c>
      <c r="B175" s="186" t="s">
        <v>89</v>
      </c>
      <c r="C175" s="162" t="s">
        <v>20</v>
      </c>
      <c r="D175" s="162" t="s">
        <v>21</v>
      </c>
      <c r="E175" s="185" t="str">
        <f>IF(D175="Dosen",VLOOKUP('Join TPA Dosen'!B175,Dosen!B:BC,6,FALSE),VLOOKUP(B175,TPA!B:BE,5,FALSE))</f>
        <v>7545773674230262</v>
      </c>
      <c r="F175" s="185" t="s">
        <v>1603</v>
      </c>
      <c r="G175" s="185" t="s">
        <v>854</v>
      </c>
    </row>
    <row r="176" spans="1:7" ht="18.95">
      <c r="A176" s="31">
        <f t="shared" si="2"/>
        <v>175</v>
      </c>
      <c r="B176" s="411" t="s">
        <v>94</v>
      </c>
      <c r="C176" s="162" t="s">
        <v>20</v>
      </c>
      <c r="D176" s="162" t="s">
        <v>21</v>
      </c>
      <c r="E176" s="185">
        <f>IF(D176="Dosen",VLOOKUP('Join TPA Dosen'!B176,Dosen!B:BC,6,FALSE),VLOOKUP(B176,TPA!B:BE,5,FALSE))</f>
        <v>0</v>
      </c>
      <c r="F176" s="185" t="s">
        <v>1603</v>
      </c>
      <c r="G176" s="185" t="s">
        <v>854</v>
      </c>
    </row>
    <row r="177" spans="1:7" ht="18.95">
      <c r="A177" s="31">
        <f t="shared" si="2"/>
        <v>176</v>
      </c>
      <c r="B177" s="411" t="s">
        <v>229</v>
      </c>
      <c r="C177" s="162" t="s">
        <v>20</v>
      </c>
      <c r="D177" s="162" t="s">
        <v>21</v>
      </c>
      <c r="E177" s="185" t="str">
        <f>IF(D177="Dosen",VLOOKUP('Join TPA Dosen'!B177,Dosen!B:BC,6,FALSE),VLOOKUP(B177,TPA!B:BE,5,FALSE))</f>
        <v>3237777678130113</v>
      </c>
      <c r="F177" s="185" t="s">
        <v>775</v>
      </c>
      <c r="G177" s="185" t="s">
        <v>854</v>
      </c>
    </row>
    <row r="178" spans="1:7" ht="18.95">
      <c r="A178" s="31">
        <f t="shared" si="2"/>
        <v>177</v>
      </c>
      <c r="B178" s="162" t="s">
        <v>102</v>
      </c>
      <c r="C178" s="162" t="s">
        <v>20</v>
      </c>
      <c r="D178" s="162" t="s">
        <v>21</v>
      </c>
      <c r="E178" s="185">
        <f>IF(D178="Dosen",VLOOKUP('Join TPA Dosen'!B178,Dosen!B:BC,6,FALSE),VLOOKUP(B178,TPA!B:BE,5,FALSE))</f>
        <v>0</v>
      </c>
      <c r="F178" s="185" t="s">
        <v>775</v>
      </c>
      <c r="G178" s="185" t="s">
        <v>879</v>
      </c>
    </row>
    <row r="179" spans="1:7" ht="18.95">
      <c r="A179" s="31">
        <f t="shared" si="2"/>
        <v>178</v>
      </c>
      <c r="B179" s="162" t="s">
        <v>165</v>
      </c>
      <c r="C179" s="162" t="s">
        <v>20</v>
      </c>
      <c r="D179" s="162" t="s">
        <v>21</v>
      </c>
      <c r="E179" s="185" t="str">
        <f>IF(D179="Dosen",VLOOKUP('Join TPA Dosen'!B179,Dosen!B:BC,6,FALSE),VLOOKUP(B179,TPA!B:BE,5,FALSE))</f>
        <v>1438776677230172</v>
      </c>
      <c r="F179" s="185" t="s">
        <v>1603</v>
      </c>
      <c r="G179" s="185" t="s">
        <v>854</v>
      </c>
    </row>
    <row r="180" spans="1:7" ht="18.95">
      <c r="A180" s="185">
        <v>179</v>
      </c>
      <c r="B180" s="132" t="s">
        <v>2412</v>
      </c>
      <c r="C180" s="132" t="s">
        <v>20</v>
      </c>
      <c r="D180" s="162" t="s">
        <v>21</v>
      </c>
      <c r="E180" s="185" t="e">
        <f>IF(D180="Dosen",VLOOKUP('Join TPA Dosen'!B180,Dosen!B:BC,6,FALSE),VLOOKUP(B180,TPA!B:BE,5,FALSE))</f>
        <v>#N/A</v>
      </c>
      <c r="F180" s="185" t="s">
        <v>1603</v>
      </c>
      <c r="G180" s="185" t="s">
        <v>854</v>
      </c>
    </row>
  </sheetData>
  <autoFilter ref="A1:E177" xr:uid="{534FA5FD-E110-4C64-A51C-83B49A4BD1AD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AB40-8631-4B35-BE87-CC761EB7E30E}">
  <dimension ref="A1:I130"/>
  <sheetViews>
    <sheetView topLeftCell="A109" workbookViewId="0">
      <selection activeCell="H125" sqref="H125"/>
    </sheetView>
  </sheetViews>
  <sheetFormatPr defaultColWidth="8.85546875" defaultRowHeight="15"/>
  <cols>
    <col min="1" max="1" width="28.85546875" bestFit="1" customWidth="1"/>
    <col min="2" max="3" width="12" bestFit="1" customWidth="1"/>
    <col min="9" max="9" width="45.42578125" customWidth="1"/>
  </cols>
  <sheetData>
    <row r="1" spans="1:9">
      <c r="A1" t="s">
        <v>758</v>
      </c>
      <c r="B1" t="s">
        <v>812</v>
      </c>
      <c r="C1" t="s">
        <v>813</v>
      </c>
      <c r="D1" t="s">
        <v>824</v>
      </c>
      <c r="E1" t="s">
        <v>2413</v>
      </c>
      <c r="F1" t="s">
        <v>831</v>
      </c>
      <c r="G1" t="s">
        <v>2414</v>
      </c>
      <c r="H1" t="s">
        <v>2415</v>
      </c>
      <c r="I1" t="s">
        <v>810</v>
      </c>
    </row>
    <row r="2" spans="1:9">
      <c r="A2" t="s">
        <v>474</v>
      </c>
      <c r="B2" t="s">
        <v>1312</v>
      </c>
      <c r="C2" s="145">
        <v>22674</v>
      </c>
      <c r="D2" t="s">
        <v>21</v>
      </c>
      <c r="E2" t="s">
        <v>2416</v>
      </c>
      <c r="F2" t="s">
        <v>2417</v>
      </c>
      <c r="G2" t="s">
        <v>2418</v>
      </c>
      <c r="H2" t="s">
        <v>2419</v>
      </c>
      <c r="I2" t="s">
        <v>2304</v>
      </c>
    </row>
    <row r="3" spans="1:9">
      <c r="A3" t="s">
        <v>339</v>
      </c>
      <c r="B3" t="s">
        <v>1308</v>
      </c>
      <c r="C3" s="145">
        <v>31941</v>
      </c>
      <c r="D3" t="s">
        <v>21</v>
      </c>
      <c r="E3" t="s">
        <v>2420</v>
      </c>
      <c r="F3" t="s">
        <v>2421</v>
      </c>
      <c r="G3" t="s">
        <v>2418</v>
      </c>
      <c r="H3" t="s">
        <v>2422</v>
      </c>
      <c r="I3" t="s">
        <v>2316</v>
      </c>
    </row>
    <row r="4" spans="1:9">
      <c r="A4" t="s">
        <v>352</v>
      </c>
      <c r="B4" t="s">
        <v>2007</v>
      </c>
      <c r="C4" s="145">
        <v>32315</v>
      </c>
      <c r="D4" t="s">
        <v>21</v>
      </c>
      <c r="E4" t="s">
        <v>2420</v>
      </c>
      <c r="F4" t="s">
        <v>2423</v>
      </c>
      <c r="G4" t="s">
        <v>2418</v>
      </c>
      <c r="H4" t="s">
        <v>2424</v>
      </c>
      <c r="I4" t="s">
        <v>2425</v>
      </c>
    </row>
    <row r="5" spans="1:9">
      <c r="A5" t="s">
        <v>544</v>
      </c>
      <c r="B5" t="s">
        <v>2426</v>
      </c>
      <c r="C5" s="145">
        <v>33763</v>
      </c>
      <c r="D5" t="s">
        <v>21</v>
      </c>
      <c r="E5" t="s">
        <v>2427</v>
      </c>
      <c r="F5" t="s">
        <v>2428</v>
      </c>
      <c r="G5" t="s">
        <v>1096</v>
      </c>
      <c r="H5" t="s">
        <v>2429</v>
      </c>
      <c r="I5" t="s">
        <v>2343</v>
      </c>
    </row>
    <row r="6" spans="1:9">
      <c r="A6" t="s">
        <v>334</v>
      </c>
      <c r="B6" t="s">
        <v>1699</v>
      </c>
      <c r="C6" s="145">
        <v>34114</v>
      </c>
      <c r="D6" t="s">
        <v>841</v>
      </c>
      <c r="E6" t="s">
        <v>2420</v>
      </c>
      <c r="F6" t="s">
        <v>2430</v>
      </c>
      <c r="G6" t="s">
        <v>2418</v>
      </c>
      <c r="H6" t="s">
        <v>2431</v>
      </c>
      <c r="I6" t="s">
        <v>2432</v>
      </c>
    </row>
    <row r="7" spans="1:9">
      <c r="A7" t="s">
        <v>343</v>
      </c>
      <c r="B7" t="s">
        <v>1308</v>
      </c>
      <c r="C7" s="145">
        <v>33752</v>
      </c>
      <c r="D7" t="s">
        <v>1000</v>
      </c>
      <c r="E7" t="s">
        <v>2420</v>
      </c>
      <c r="F7" t="s">
        <v>2433</v>
      </c>
      <c r="G7" t="s">
        <v>2418</v>
      </c>
      <c r="H7" t="s">
        <v>2434</v>
      </c>
      <c r="I7" t="s">
        <v>2292</v>
      </c>
    </row>
    <row r="8" spans="1:9">
      <c r="A8" t="s">
        <v>519</v>
      </c>
      <c r="B8" t="s">
        <v>2007</v>
      </c>
      <c r="C8" s="145">
        <v>32794</v>
      </c>
      <c r="D8" t="s">
        <v>21</v>
      </c>
      <c r="E8" t="s">
        <v>2416</v>
      </c>
      <c r="F8" t="s">
        <v>2435</v>
      </c>
      <c r="G8" t="s">
        <v>2418</v>
      </c>
      <c r="H8" t="s">
        <v>2436</v>
      </c>
      <c r="I8" t="s">
        <v>2305</v>
      </c>
    </row>
    <row r="9" spans="1:9">
      <c r="A9" t="s">
        <v>536</v>
      </c>
      <c r="B9" t="s">
        <v>1308</v>
      </c>
      <c r="C9" s="145">
        <v>32126</v>
      </c>
      <c r="D9" t="s">
        <v>21</v>
      </c>
      <c r="E9" t="s">
        <v>2437</v>
      </c>
      <c r="F9" t="s">
        <v>2438</v>
      </c>
      <c r="G9" t="s">
        <v>1096</v>
      </c>
      <c r="H9" t="s">
        <v>2439</v>
      </c>
      <c r="I9" t="s">
        <v>2440</v>
      </c>
    </row>
    <row r="10" spans="1:9">
      <c r="A10" t="s">
        <v>540</v>
      </c>
      <c r="B10" t="s">
        <v>2441</v>
      </c>
      <c r="C10" s="145">
        <v>28872</v>
      </c>
      <c r="D10" t="s">
        <v>841</v>
      </c>
      <c r="E10" t="s">
        <v>2427</v>
      </c>
      <c r="F10" t="s">
        <v>2442</v>
      </c>
      <c r="G10" t="s">
        <v>1096</v>
      </c>
      <c r="H10" t="s">
        <v>2443</v>
      </c>
      <c r="I10" t="s">
        <v>2288</v>
      </c>
    </row>
    <row r="11" spans="1:9">
      <c r="A11" t="s">
        <v>408</v>
      </c>
      <c r="B11" t="s">
        <v>2444</v>
      </c>
      <c r="C11" s="145">
        <v>31812</v>
      </c>
      <c r="D11" t="s">
        <v>21</v>
      </c>
      <c r="E11" t="s">
        <v>2445</v>
      </c>
      <c r="F11" t="s">
        <v>2446</v>
      </c>
      <c r="G11" t="s">
        <v>1296</v>
      </c>
      <c r="H11" t="s">
        <v>2447</v>
      </c>
      <c r="I11" t="s">
        <v>2326</v>
      </c>
    </row>
    <row r="12" spans="1:9">
      <c r="A12" t="s">
        <v>179</v>
      </c>
      <c r="B12" t="s">
        <v>2444</v>
      </c>
      <c r="C12" s="145">
        <v>31927</v>
      </c>
      <c r="D12" t="s">
        <v>1000</v>
      </c>
      <c r="E12" t="s">
        <v>2448</v>
      </c>
      <c r="F12" t="s">
        <v>915</v>
      </c>
      <c r="G12" t="s">
        <v>1096</v>
      </c>
      <c r="H12" t="s">
        <v>2449</v>
      </c>
      <c r="I12" t="s">
        <v>2372</v>
      </c>
    </row>
    <row r="13" spans="1:9">
      <c r="A13" t="s">
        <v>528</v>
      </c>
      <c r="B13" t="s">
        <v>2450</v>
      </c>
      <c r="C13" s="145">
        <v>34513</v>
      </c>
      <c r="D13" t="s">
        <v>2451</v>
      </c>
      <c r="E13" t="s">
        <v>2427</v>
      </c>
      <c r="F13" t="s">
        <v>2452</v>
      </c>
      <c r="G13" t="s">
        <v>1096</v>
      </c>
      <c r="H13" t="s">
        <v>2453</v>
      </c>
      <c r="I13" t="s">
        <v>2454</v>
      </c>
    </row>
    <row r="14" spans="1:9">
      <c r="A14" t="s">
        <v>329</v>
      </c>
      <c r="B14" t="s">
        <v>1776</v>
      </c>
      <c r="C14" s="145">
        <v>33759</v>
      </c>
      <c r="D14" t="s">
        <v>2451</v>
      </c>
      <c r="E14" t="s">
        <v>2455</v>
      </c>
      <c r="F14" t="s">
        <v>2456</v>
      </c>
      <c r="G14" t="s">
        <v>2418</v>
      </c>
      <c r="H14" t="s">
        <v>2457</v>
      </c>
      <c r="I14" t="s">
        <v>2458</v>
      </c>
    </row>
    <row r="15" spans="1:9">
      <c r="A15" t="s">
        <v>183</v>
      </c>
      <c r="B15" t="s">
        <v>1825</v>
      </c>
      <c r="C15" s="145">
        <v>29929</v>
      </c>
      <c r="D15" t="s">
        <v>21</v>
      </c>
      <c r="E15" t="s">
        <v>2437</v>
      </c>
      <c r="F15" t="s">
        <v>2459</v>
      </c>
      <c r="G15" t="s">
        <v>1096</v>
      </c>
      <c r="H15" t="s">
        <v>2460</v>
      </c>
      <c r="I15" t="s">
        <v>2375</v>
      </c>
    </row>
    <row r="16" spans="1:9">
      <c r="A16" t="s">
        <v>234</v>
      </c>
      <c r="B16" t="s">
        <v>1308</v>
      </c>
      <c r="C16" s="145">
        <v>32947</v>
      </c>
      <c r="D16" t="s">
        <v>21</v>
      </c>
      <c r="E16" t="s">
        <v>2461</v>
      </c>
      <c r="F16" t="s">
        <v>2462</v>
      </c>
      <c r="G16" t="s">
        <v>1296</v>
      </c>
      <c r="H16" t="s">
        <v>2463</v>
      </c>
      <c r="I16" t="s">
        <v>2356</v>
      </c>
    </row>
    <row r="17" spans="1:9">
      <c r="A17" t="s">
        <v>484</v>
      </c>
      <c r="B17" t="s">
        <v>1834</v>
      </c>
      <c r="C17" s="145">
        <v>33020</v>
      </c>
      <c r="D17" t="s">
        <v>21</v>
      </c>
      <c r="E17" t="s">
        <v>2416</v>
      </c>
      <c r="F17" t="s">
        <v>2464</v>
      </c>
      <c r="G17" t="s">
        <v>2418</v>
      </c>
      <c r="H17" t="s">
        <v>2465</v>
      </c>
      <c r="I17" t="s">
        <v>2308</v>
      </c>
    </row>
    <row r="18" spans="1:9">
      <c r="A18" t="s">
        <v>417</v>
      </c>
      <c r="B18" t="s">
        <v>1308</v>
      </c>
      <c r="C18" s="145">
        <v>33250</v>
      </c>
      <c r="D18" t="s">
        <v>21</v>
      </c>
      <c r="E18" t="s">
        <v>2420</v>
      </c>
      <c r="F18" t="s">
        <v>2466</v>
      </c>
      <c r="G18" t="s">
        <v>2418</v>
      </c>
      <c r="H18" t="s">
        <v>2467</v>
      </c>
      <c r="I18" t="s">
        <v>2468</v>
      </c>
    </row>
    <row r="19" spans="1:9">
      <c r="A19" t="s">
        <v>492</v>
      </c>
      <c r="B19" t="s">
        <v>2469</v>
      </c>
      <c r="C19" s="145">
        <v>34427</v>
      </c>
      <c r="D19" t="s">
        <v>1019</v>
      </c>
      <c r="E19" t="s">
        <v>2416</v>
      </c>
      <c r="F19" t="s">
        <v>2470</v>
      </c>
      <c r="G19" t="s">
        <v>2418</v>
      </c>
      <c r="H19" t="s">
        <v>2471</v>
      </c>
      <c r="I19" t="s">
        <v>2472</v>
      </c>
    </row>
    <row r="20" spans="1:9">
      <c r="A20" t="s">
        <v>480</v>
      </c>
      <c r="B20" t="s">
        <v>2444</v>
      </c>
      <c r="C20" s="145">
        <v>28649</v>
      </c>
      <c r="D20" t="s">
        <v>21</v>
      </c>
      <c r="E20" t="s">
        <v>2416</v>
      </c>
      <c r="F20" t="s">
        <v>952</v>
      </c>
      <c r="G20" t="s">
        <v>2418</v>
      </c>
      <c r="H20" t="s">
        <v>2473</v>
      </c>
      <c r="I20" t="s">
        <v>2307</v>
      </c>
    </row>
    <row r="21" spans="1:9">
      <c r="A21" t="s">
        <v>533</v>
      </c>
      <c r="B21" t="s">
        <v>2474</v>
      </c>
      <c r="C21" s="145">
        <v>33408</v>
      </c>
      <c r="D21" t="s">
        <v>21</v>
      </c>
      <c r="E21" t="e">
        <v>#N/A</v>
      </c>
      <c r="F21" t="e">
        <v>#N/A</v>
      </c>
      <c r="G21" t="s">
        <v>1096</v>
      </c>
      <c r="I21" t="s">
        <v>2475</v>
      </c>
    </row>
    <row r="22" spans="1:9">
      <c r="A22" t="s">
        <v>247</v>
      </c>
      <c r="B22" t="s">
        <v>2476</v>
      </c>
      <c r="C22" s="145">
        <v>33018</v>
      </c>
      <c r="D22" t="s">
        <v>21</v>
      </c>
      <c r="E22" t="s">
        <v>2445</v>
      </c>
      <c r="F22" t="s">
        <v>2477</v>
      </c>
      <c r="G22" t="s">
        <v>1296</v>
      </c>
      <c r="H22" t="s">
        <v>2478</v>
      </c>
      <c r="I22" t="s">
        <v>2355</v>
      </c>
    </row>
    <row r="23" spans="1:9">
      <c r="A23" t="s">
        <v>347</v>
      </c>
      <c r="B23" t="s">
        <v>1295</v>
      </c>
      <c r="C23" s="145">
        <v>33761</v>
      </c>
      <c r="D23" t="s">
        <v>21</v>
      </c>
      <c r="E23" t="s">
        <v>2455</v>
      </c>
      <c r="F23" t="s">
        <v>1198</v>
      </c>
      <c r="G23" t="s">
        <v>2418</v>
      </c>
      <c r="H23" t="s">
        <v>2479</v>
      </c>
      <c r="I23" t="s">
        <v>2298</v>
      </c>
    </row>
    <row r="24" spans="1:9">
      <c r="A24" t="s">
        <v>321</v>
      </c>
      <c r="B24" t="s">
        <v>2480</v>
      </c>
      <c r="C24" s="145">
        <v>33210</v>
      </c>
      <c r="D24" t="s">
        <v>1000</v>
      </c>
      <c r="E24" t="s">
        <v>2461</v>
      </c>
      <c r="F24" t="s">
        <v>1109</v>
      </c>
      <c r="G24" t="s">
        <v>1296</v>
      </c>
      <c r="H24" t="s">
        <v>2481</v>
      </c>
      <c r="I24" t="s">
        <v>2353</v>
      </c>
    </row>
    <row r="25" spans="1:9">
      <c r="A25" t="s">
        <v>438</v>
      </c>
      <c r="B25" t="s">
        <v>1858</v>
      </c>
      <c r="C25" s="145">
        <v>32260</v>
      </c>
      <c r="D25" t="s">
        <v>21</v>
      </c>
      <c r="E25" t="s">
        <v>2482</v>
      </c>
      <c r="F25" t="s">
        <v>1260</v>
      </c>
      <c r="G25" t="s">
        <v>2418</v>
      </c>
      <c r="H25" t="s">
        <v>2483</v>
      </c>
      <c r="I25" t="s">
        <v>2315</v>
      </c>
    </row>
    <row r="26" spans="1:9">
      <c r="A26" t="s">
        <v>548</v>
      </c>
      <c r="B26" t="s">
        <v>1704</v>
      </c>
      <c r="C26" s="145">
        <v>33151</v>
      </c>
      <c r="D26" t="s">
        <v>21</v>
      </c>
      <c r="E26" t="s">
        <v>2427</v>
      </c>
      <c r="F26" t="s">
        <v>2484</v>
      </c>
      <c r="G26" t="s">
        <v>1096</v>
      </c>
      <c r="H26" t="s">
        <v>2485</v>
      </c>
      <c r="I26" t="s">
        <v>2344</v>
      </c>
    </row>
    <row r="27" spans="1:9">
      <c r="A27" t="s">
        <v>34</v>
      </c>
      <c r="B27" t="s">
        <v>1728</v>
      </c>
      <c r="C27" s="145">
        <v>33046</v>
      </c>
      <c r="D27" t="s">
        <v>21</v>
      </c>
      <c r="E27" t="s">
        <v>2486</v>
      </c>
      <c r="F27" t="s">
        <v>2487</v>
      </c>
      <c r="G27" t="s">
        <v>944</v>
      </c>
      <c r="H27" t="s">
        <v>2488</v>
      </c>
      <c r="I27" t="s">
        <v>2404</v>
      </c>
    </row>
    <row r="28" spans="1:9">
      <c r="A28" t="s">
        <v>169</v>
      </c>
      <c r="B28" t="s">
        <v>1785</v>
      </c>
      <c r="C28" s="145">
        <v>32017</v>
      </c>
      <c r="D28" t="s">
        <v>21</v>
      </c>
      <c r="E28" t="s">
        <v>2448</v>
      </c>
      <c r="F28" t="s">
        <v>1044</v>
      </c>
      <c r="G28" t="s">
        <v>1096</v>
      </c>
      <c r="H28" t="s">
        <v>2489</v>
      </c>
      <c r="I28" t="s">
        <v>2377</v>
      </c>
    </row>
    <row r="29" spans="1:9">
      <c r="A29" t="s">
        <v>243</v>
      </c>
      <c r="B29" t="s">
        <v>1308</v>
      </c>
      <c r="C29" s="145">
        <v>31645</v>
      </c>
      <c r="D29" t="s">
        <v>21</v>
      </c>
      <c r="E29" t="s">
        <v>2445</v>
      </c>
      <c r="F29" t="s">
        <v>2490</v>
      </c>
      <c r="G29" t="s">
        <v>1296</v>
      </c>
      <c r="H29" t="s">
        <v>2491</v>
      </c>
      <c r="I29" t="s">
        <v>2354</v>
      </c>
    </row>
    <row r="30" spans="1:9">
      <c r="A30" t="s">
        <v>187</v>
      </c>
      <c r="B30" t="s">
        <v>1312</v>
      </c>
      <c r="C30" s="145">
        <v>34402</v>
      </c>
      <c r="D30" t="s">
        <v>21</v>
      </c>
      <c r="E30" t="s">
        <v>2437</v>
      </c>
      <c r="F30" t="s">
        <v>2492</v>
      </c>
      <c r="G30" t="s">
        <v>1096</v>
      </c>
      <c r="H30" t="s">
        <v>2493</v>
      </c>
      <c r="I30" t="s">
        <v>2494</v>
      </c>
    </row>
    <row r="31" spans="1:9">
      <c r="A31" t="s">
        <v>412</v>
      </c>
      <c r="B31" t="s">
        <v>1308</v>
      </c>
      <c r="C31" s="145">
        <v>34014</v>
      </c>
      <c r="D31" t="s">
        <v>21</v>
      </c>
      <c r="E31" t="s">
        <v>2420</v>
      </c>
      <c r="F31" t="s">
        <v>2495</v>
      </c>
      <c r="G31" t="s">
        <v>2418</v>
      </c>
      <c r="H31" t="s">
        <v>2496</v>
      </c>
      <c r="I31" t="s">
        <v>2497</v>
      </c>
    </row>
    <row r="32" spans="1:9">
      <c r="A32" t="s">
        <v>106</v>
      </c>
      <c r="B32" t="s">
        <v>1316</v>
      </c>
      <c r="C32" s="145">
        <v>33874</v>
      </c>
      <c r="D32" t="s">
        <v>1019</v>
      </c>
      <c r="E32" t="s">
        <v>2437</v>
      </c>
      <c r="F32" t="s">
        <v>2498</v>
      </c>
      <c r="G32" t="s">
        <v>1096</v>
      </c>
      <c r="H32" t="s">
        <v>2499</v>
      </c>
      <c r="I32" t="s">
        <v>2220</v>
      </c>
    </row>
    <row r="33" spans="1:9">
      <c r="A33" t="s">
        <v>378</v>
      </c>
      <c r="B33" t="s">
        <v>2007</v>
      </c>
      <c r="C33" s="145">
        <v>33749</v>
      </c>
      <c r="D33" t="s">
        <v>841</v>
      </c>
      <c r="E33" t="s">
        <v>2445</v>
      </c>
      <c r="F33" t="s">
        <v>2500</v>
      </c>
      <c r="G33" t="s">
        <v>1296</v>
      </c>
      <c r="H33" t="s">
        <v>2501</v>
      </c>
      <c r="I33" t="s">
        <v>2325</v>
      </c>
    </row>
    <row r="34" spans="1:9">
      <c r="A34" t="s">
        <v>382</v>
      </c>
      <c r="B34" t="s">
        <v>1607</v>
      </c>
      <c r="C34" s="145">
        <v>34131</v>
      </c>
      <c r="D34" t="s">
        <v>21</v>
      </c>
      <c r="E34" t="s">
        <v>2502</v>
      </c>
      <c r="F34" t="s">
        <v>2503</v>
      </c>
      <c r="G34" t="s">
        <v>1296</v>
      </c>
      <c r="H34" t="s">
        <v>2504</v>
      </c>
      <c r="I34" t="s">
        <v>2327</v>
      </c>
    </row>
    <row r="35" spans="1:9">
      <c r="A35" t="s">
        <v>55</v>
      </c>
      <c r="B35" t="s">
        <v>1308</v>
      </c>
      <c r="C35" s="145">
        <v>31453</v>
      </c>
      <c r="D35" t="s">
        <v>21</v>
      </c>
      <c r="E35" t="s">
        <v>2505</v>
      </c>
      <c r="F35" t="s">
        <v>972</v>
      </c>
      <c r="G35" t="s">
        <v>944</v>
      </c>
      <c r="H35" t="s">
        <v>2506</v>
      </c>
      <c r="I35" t="s">
        <v>2406</v>
      </c>
    </row>
    <row r="36" spans="1:9">
      <c r="A36" t="s">
        <v>422</v>
      </c>
      <c r="B36" t="s">
        <v>1312</v>
      </c>
      <c r="C36" s="145">
        <v>30457</v>
      </c>
      <c r="D36" t="s">
        <v>21</v>
      </c>
      <c r="E36" t="s">
        <v>2482</v>
      </c>
      <c r="F36" t="s">
        <v>975</v>
      </c>
      <c r="G36" t="s">
        <v>2418</v>
      </c>
      <c r="H36" t="s">
        <v>2507</v>
      </c>
      <c r="I36" t="s">
        <v>2319</v>
      </c>
    </row>
    <row r="37" spans="1:9">
      <c r="A37" t="s">
        <v>447</v>
      </c>
      <c r="B37" t="s">
        <v>2508</v>
      </c>
      <c r="C37" s="145">
        <v>32934</v>
      </c>
      <c r="D37" t="s">
        <v>2451</v>
      </c>
      <c r="E37" t="s">
        <v>2445</v>
      </c>
      <c r="F37" t="s">
        <v>2509</v>
      </c>
      <c r="G37" t="s">
        <v>1296</v>
      </c>
      <c r="H37" t="s">
        <v>2510</v>
      </c>
      <c r="I37" t="s">
        <v>2286</v>
      </c>
    </row>
    <row r="38" spans="1:9">
      <c r="A38" t="s">
        <v>239</v>
      </c>
      <c r="B38" t="s">
        <v>2511</v>
      </c>
      <c r="C38" s="145">
        <v>33840</v>
      </c>
      <c r="D38" t="s">
        <v>21</v>
      </c>
      <c r="E38" t="s">
        <v>2445</v>
      </c>
      <c r="F38" t="s">
        <v>2512</v>
      </c>
      <c r="G38" t="s">
        <v>1296</v>
      </c>
      <c r="H38" t="s">
        <v>2513</v>
      </c>
      <c r="I38" t="s">
        <v>2514</v>
      </c>
    </row>
    <row r="39" spans="1:9">
      <c r="A39" t="s">
        <v>374</v>
      </c>
      <c r="B39" t="s">
        <v>2515</v>
      </c>
      <c r="C39" s="145">
        <v>34276</v>
      </c>
      <c r="D39" t="s">
        <v>21</v>
      </c>
      <c r="E39" t="s">
        <v>2516</v>
      </c>
      <c r="F39" t="s">
        <v>1229</v>
      </c>
      <c r="G39" t="s">
        <v>1296</v>
      </c>
      <c r="H39" t="s">
        <v>2517</v>
      </c>
      <c r="I39" t="s">
        <v>2328</v>
      </c>
    </row>
    <row r="40" spans="1:9">
      <c r="A40" t="s">
        <v>523</v>
      </c>
      <c r="B40" t="s">
        <v>2518</v>
      </c>
      <c r="C40" s="145">
        <v>33697</v>
      </c>
      <c r="D40" t="s">
        <v>1000</v>
      </c>
      <c r="E40" t="s">
        <v>2437</v>
      </c>
      <c r="F40" t="s">
        <v>2519</v>
      </c>
      <c r="G40" t="s">
        <v>1096</v>
      </c>
      <c r="H40" t="s">
        <v>2520</v>
      </c>
      <c r="I40" t="s">
        <v>2340</v>
      </c>
    </row>
    <row r="41" spans="1:9">
      <c r="A41" t="s">
        <v>251</v>
      </c>
      <c r="B41" t="s">
        <v>1295</v>
      </c>
      <c r="C41" s="145">
        <v>32663</v>
      </c>
      <c r="D41" t="s">
        <v>21</v>
      </c>
      <c r="E41" t="s">
        <v>2461</v>
      </c>
      <c r="F41" t="s">
        <v>2521</v>
      </c>
      <c r="G41" t="s">
        <v>1296</v>
      </c>
      <c r="H41" t="s">
        <v>2522</v>
      </c>
      <c r="I41" t="s">
        <v>2357</v>
      </c>
    </row>
    <row r="42" spans="1:9">
      <c r="A42" t="s">
        <v>255</v>
      </c>
      <c r="B42" t="s">
        <v>2523</v>
      </c>
      <c r="C42" s="145">
        <v>27624</v>
      </c>
      <c r="D42" t="s">
        <v>991</v>
      </c>
      <c r="E42" t="s">
        <v>2461</v>
      </c>
      <c r="F42" t="s">
        <v>2524</v>
      </c>
      <c r="G42" t="s">
        <v>1296</v>
      </c>
      <c r="H42" t="s">
        <v>2525</v>
      </c>
      <c r="I42" t="s">
        <v>2526</v>
      </c>
    </row>
    <row r="43" spans="1:9">
      <c r="A43" t="s">
        <v>497</v>
      </c>
      <c r="B43" t="s">
        <v>1308</v>
      </c>
      <c r="C43" s="145">
        <v>33258</v>
      </c>
      <c r="D43" t="s">
        <v>21</v>
      </c>
      <c r="E43" t="s">
        <v>2482</v>
      </c>
      <c r="F43" t="s">
        <v>2527</v>
      </c>
      <c r="G43" t="s">
        <v>2418</v>
      </c>
      <c r="H43" t="s">
        <v>2528</v>
      </c>
      <c r="I43" t="s">
        <v>2309</v>
      </c>
    </row>
    <row r="44" spans="1:9">
      <c r="A44" t="s">
        <v>427</v>
      </c>
      <c r="B44" t="s">
        <v>1308</v>
      </c>
      <c r="C44" s="145">
        <v>26934</v>
      </c>
      <c r="D44" t="s">
        <v>1019</v>
      </c>
      <c r="E44" t="s">
        <v>2420</v>
      </c>
      <c r="F44" t="s">
        <v>2529</v>
      </c>
      <c r="G44" t="s">
        <v>2418</v>
      </c>
      <c r="H44" t="s">
        <v>2530</v>
      </c>
      <c r="I44" t="s">
        <v>2211</v>
      </c>
    </row>
    <row r="45" spans="1:9">
      <c r="A45" t="s">
        <v>369</v>
      </c>
      <c r="B45" t="s">
        <v>1728</v>
      </c>
      <c r="C45" s="145">
        <v>32325</v>
      </c>
      <c r="D45" t="s">
        <v>1000</v>
      </c>
      <c r="E45" t="s">
        <v>2502</v>
      </c>
      <c r="F45" t="s">
        <v>2531</v>
      </c>
      <c r="G45" t="s">
        <v>1296</v>
      </c>
      <c r="H45" t="s">
        <v>2532</v>
      </c>
      <c r="I45" t="s">
        <v>2322</v>
      </c>
    </row>
    <row r="46" spans="1:9">
      <c r="A46" t="s">
        <v>260</v>
      </c>
      <c r="B46" t="s">
        <v>1617</v>
      </c>
      <c r="C46" s="145">
        <v>33002</v>
      </c>
      <c r="D46" t="s">
        <v>1019</v>
      </c>
      <c r="E46" t="s">
        <v>2445</v>
      </c>
      <c r="F46" t="s">
        <v>2533</v>
      </c>
      <c r="G46" t="s">
        <v>1296</v>
      </c>
      <c r="H46" t="s">
        <v>2534</v>
      </c>
      <c r="I46" t="s">
        <v>2261</v>
      </c>
    </row>
    <row r="47" spans="1:9">
      <c r="A47" t="s">
        <v>40</v>
      </c>
      <c r="B47" t="s">
        <v>1636</v>
      </c>
      <c r="C47" s="145">
        <v>34061</v>
      </c>
      <c r="D47" t="s">
        <v>1153</v>
      </c>
      <c r="E47" t="s">
        <v>2486</v>
      </c>
      <c r="F47" t="s">
        <v>2535</v>
      </c>
      <c r="G47" t="s">
        <v>944</v>
      </c>
      <c r="H47" t="s">
        <v>2536</v>
      </c>
      <c r="I47" t="s">
        <v>2224</v>
      </c>
    </row>
    <row r="48" spans="1:9">
      <c r="A48" t="s">
        <v>45</v>
      </c>
      <c r="B48" t="s">
        <v>2537</v>
      </c>
      <c r="C48" s="145">
        <v>34454</v>
      </c>
      <c r="D48" t="s">
        <v>21</v>
      </c>
      <c r="E48" t="s">
        <v>2505</v>
      </c>
      <c r="F48" t="s">
        <v>2538</v>
      </c>
      <c r="G48" t="s">
        <v>944</v>
      </c>
      <c r="H48" t="s">
        <v>2539</v>
      </c>
      <c r="I48" t="s">
        <v>2540</v>
      </c>
    </row>
    <row r="49" spans="1:9">
      <c r="A49" t="s">
        <v>111</v>
      </c>
      <c r="B49" t="s">
        <v>1607</v>
      </c>
      <c r="C49" s="145">
        <v>34832</v>
      </c>
      <c r="D49" t="s">
        <v>1153</v>
      </c>
      <c r="E49" t="s">
        <v>2437</v>
      </c>
      <c r="F49" t="s">
        <v>2541</v>
      </c>
      <c r="G49" t="s">
        <v>1096</v>
      </c>
      <c r="H49" t="s">
        <v>2542</v>
      </c>
      <c r="I49" t="s">
        <v>2263</v>
      </c>
    </row>
    <row r="50" spans="1:9">
      <c r="A50" t="s">
        <v>116</v>
      </c>
      <c r="B50" t="s">
        <v>1935</v>
      </c>
      <c r="C50" s="145">
        <v>34641</v>
      </c>
      <c r="D50" t="s">
        <v>1000</v>
      </c>
      <c r="E50" t="s">
        <v>2437</v>
      </c>
      <c r="F50" t="s">
        <v>2543</v>
      </c>
      <c r="G50" t="s">
        <v>1096</v>
      </c>
      <c r="H50" t="s">
        <v>2544</v>
      </c>
      <c r="I50" t="s">
        <v>2381</v>
      </c>
    </row>
    <row r="51" spans="1:9">
      <c r="A51" t="s">
        <v>121</v>
      </c>
      <c r="B51" t="s">
        <v>2444</v>
      </c>
      <c r="C51" s="145">
        <v>34858</v>
      </c>
      <c r="D51" t="s">
        <v>21</v>
      </c>
      <c r="E51" t="s">
        <v>2427</v>
      </c>
      <c r="F51" t="s">
        <v>2545</v>
      </c>
      <c r="G51" t="s">
        <v>1096</v>
      </c>
      <c r="H51" t="s">
        <v>2546</v>
      </c>
      <c r="I51" t="s">
        <v>2384</v>
      </c>
    </row>
    <row r="52" spans="1:9">
      <c r="A52" t="s">
        <v>125</v>
      </c>
      <c r="B52" t="s">
        <v>1728</v>
      </c>
      <c r="C52" s="145">
        <v>35625</v>
      </c>
      <c r="D52" t="s">
        <v>1019</v>
      </c>
      <c r="E52" t="s">
        <v>2427</v>
      </c>
      <c r="F52" t="s">
        <v>2547</v>
      </c>
      <c r="G52" t="s">
        <v>1096</v>
      </c>
      <c r="H52" t="s">
        <v>2548</v>
      </c>
      <c r="I52" t="s">
        <v>2240</v>
      </c>
    </row>
    <row r="53" spans="1:9">
      <c r="A53" t="s">
        <v>200</v>
      </c>
      <c r="B53" t="s">
        <v>2549</v>
      </c>
      <c r="C53" s="145">
        <v>34697</v>
      </c>
      <c r="D53" t="s">
        <v>21</v>
      </c>
      <c r="E53" t="s">
        <v>2437</v>
      </c>
      <c r="F53" t="s">
        <v>2550</v>
      </c>
      <c r="G53" t="s">
        <v>1096</v>
      </c>
      <c r="H53" t="s">
        <v>2551</v>
      </c>
      <c r="I53" t="s">
        <v>2397</v>
      </c>
    </row>
    <row r="54" spans="1:9">
      <c r="A54" t="s">
        <v>206</v>
      </c>
      <c r="B54" t="s">
        <v>1825</v>
      </c>
      <c r="C54" s="145">
        <v>34881</v>
      </c>
      <c r="D54" t="s">
        <v>21</v>
      </c>
      <c r="E54" t="s">
        <v>2437</v>
      </c>
      <c r="F54" t="s">
        <v>2552</v>
      </c>
      <c r="G54" t="s">
        <v>1096</v>
      </c>
      <c r="H54" t="s">
        <v>2553</v>
      </c>
      <c r="I54" t="s">
        <v>2554</v>
      </c>
    </row>
    <row r="55" spans="1:9">
      <c r="A55" t="s">
        <v>211</v>
      </c>
      <c r="B55" t="s">
        <v>1590</v>
      </c>
      <c r="C55" s="145">
        <v>34904</v>
      </c>
      <c r="D55" t="s">
        <v>1000</v>
      </c>
      <c r="E55" t="s">
        <v>2437</v>
      </c>
      <c r="F55" t="s">
        <v>2555</v>
      </c>
      <c r="G55" t="s">
        <v>1096</v>
      </c>
      <c r="H55" t="s">
        <v>2556</v>
      </c>
      <c r="I55" t="s">
        <v>2394</v>
      </c>
    </row>
    <row r="56" spans="1:9">
      <c r="A56" t="s">
        <v>457</v>
      </c>
      <c r="B56" t="s">
        <v>1312</v>
      </c>
      <c r="C56" s="145">
        <v>34358</v>
      </c>
      <c r="D56" t="s">
        <v>21</v>
      </c>
      <c r="E56" t="s">
        <v>511</v>
      </c>
      <c r="F56" t="s">
        <v>2557</v>
      </c>
      <c r="G56" t="s">
        <v>1296</v>
      </c>
      <c r="I56" t="s">
        <v>2558</v>
      </c>
    </row>
    <row r="57" spans="1:9">
      <c r="A57" t="s">
        <v>461</v>
      </c>
      <c r="B57" t="s">
        <v>1902</v>
      </c>
      <c r="C57" s="145">
        <v>34152</v>
      </c>
      <c r="D57" t="s">
        <v>21</v>
      </c>
      <c r="E57" t="s">
        <v>2445</v>
      </c>
      <c r="F57" t="s">
        <v>2559</v>
      </c>
      <c r="G57" t="s">
        <v>1296</v>
      </c>
      <c r="H57" t="s">
        <v>2560</v>
      </c>
      <c r="I57" t="s">
        <v>2337</v>
      </c>
    </row>
    <row r="58" spans="1:9">
      <c r="A58" t="s">
        <v>465</v>
      </c>
      <c r="B58" t="s">
        <v>1308</v>
      </c>
      <c r="C58" s="145">
        <v>34903</v>
      </c>
      <c r="D58" t="s">
        <v>21</v>
      </c>
      <c r="E58" t="s">
        <v>2445</v>
      </c>
      <c r="F58" t="s">
        <v>2561</v>
      </c>
      <c r="G58" t="s">
        <v>1296</v>
      </c>
      <c r="H58" t="s">
        <v>2562</v>
      </c>
      <c r="I58" t="s">
        <v>2338</v>
      </c>
    </row>
    <row r="59" spans="1:9">
      <c r="A59" t="s">
        <v>469</v>
      </c>
      <c r="B59" t="s">
        <v>1704</v>
      </c>
      <c r="C59" s="145">
        <v>34308</v>
      </c>
      <c r="D59" t="s">
        <v>1000</v>
      </c>
      <c r="E59" t="s">
        <v>2445</v>
      </c>
      <c r="F59" t="s">
        <v>2563</v>
      </c>
      <c r="G59" t="s">
        <v>1296</v>
      </c>
      <c r="H59" t="s">
        <v>2564</v>
      </c>
      <c r="I59" t="s">
        <v>2334</v>
      </c>
    </row>
    <row r="60" spans="1:9">
      <c r="A60" t="s">
        <v>501</v>
      </c>
      <c r="B60" t="s">
        <v>1308</v>
      </c>
      <c r="C60" s="145">
        <v>33564</v>
      </c>
      <c r="D60" t="s">
        <v>1000</v>
      </c>
      <c r="E60" t="s">
        <v>2416</v>
      </c>
      <c r="F60" t="s">
        <v>2565</v>
      </c>
      <c r="G60" t="s">
        <v>2418</v>
      </c>
      <c r="H60" t="s">
        <v>2566</v>
      </c>
      <c r="I60" t="s">
        <v>2567</v>
      </c>
    </row>
    <row r="61" spans="1:9">
      <c r="A61" t="s">
        <v>432</v>
      </c>
      <c r="B61" t="s">
        <v>1308</v>
      </c>
      <c r="C61" s="145">
        <v>33392</v>
      </c>
      <c r="D61" t="s">
        <v>21</v>
      </c>
      <c r="E61" t="s">
        <v>2420</v>
      </c>
      <c r="F61" t="s">
        <v>2568</v>
      </c>
      <c r="G61" t="s">
        <v>2418</v>
      </c>
      <c r="H61" t="s">
        <v>2569</v>
      </c>
      <c r="I61" t="s">
        <v>2570</v>
      </c>
    </row>
    <row r="62" spans="1:9">
      <c r="A62" t="s">
        <v>264</v>
      </c>
      <c r="B62" t="s">
        <v>1776</v>
      </c>
      <c r="C62" s="145">
        <v>32740</v>
      </c>
      <c r="D62" t="s">
        <v>21</v>
      </c>
      <c r="E62" t="s">
        <v>2445</v>
      </c>
      <c r="F62" t="s">
        <v>2571</v>
      </c>
      <c r="G62" t="s">
        <v>1296</v>
      </c>
      <c r="H62" t="s">
        <v>2572</v>
      </c>
      <c r="I62" t="s">
        <v>2358</v>
      </c>
    </row>
    <row r="63" spans="1:9">
      <c r="A63" t="s">
        <v>268</v>
      </c>
      <c r="B63" t="s">
        <v>1607</v>
      </c>
      <c r="C63" s="145">
        <v>33550</v>
      </c>
      <c r="D63" t="s">
        <v>2295</v>
      </c>
      <c r="E63" t="s">
        <v>2461</v>
      </c>
      <c r="F63" t="s">
        <v>2573</v>
      </c>
      <c r="G63" t="s">
        <v>1296</v>
      </c>
      <c r="H63" t="s">
        <v>2574</v>
      </c>
      <c r="I63" t="s">
        <v>2349</v>
      </c>
    </row>
    <row r="64" spans="1:9">
      <c r="A64" t="s">
        <v>273</v>
      </c>
      <c r="B64" t="s">
        <v>1699</v>
      </c>
      <c r="C64" s="145">
        <v>32044</v>
      </c>
      <c r="D64" t="s">
        <v>21</v>
      </c>
      <c r="E64" t="s">
        <v>2461</v>
      </c>
      <c r="F64" t="s">
        <v>2575</v>
      </c>
      <c r="G64" t="s">
        <v>1296</v>
      </c>
      <c r="H64" t="s">
        <v>2576</v>
      </c>
      <c r="I64" t="s">
        <v>2359</v>
      </c>
    </row>
    <row r="65" spans="1:9">
      <c r="A65" t="s">
        <v>506</v>
      </c>
      <c r="B65" t="s">
        <v>1324</v>
      </c>
      <c r="C65" s="145">
        <v>35109</v>
      </c>
      <c r="D65" t="s">
        <v>21</v>
      </c>
      <c r="E65" t="s">
        <v>2416</v>
      </c>
      <c r="F65" t="s">
        <v>2577</v>
      </c>
      <c r="G65" t="s">
        <v>2418</v>
      </c>
      <c r="H65" t="s">
        <v>2578</v>
      </c>
      <c r="I65" t="s">
        <v>2579</v>
      </c>
    </row>
    <row r="66" spans="1:9">
      <c r="A66" t="s">
        <v>215</v>
      </c>
      <c r="B66" t="s">
        <v>1842</v>
      </c>
      <c r="C66" s="145">
        <v>35338</v>
      </c>
      <c r="D66" t="s">
        <v>21</v>
      </c>
      <c r="E66" t="s">
        <v>2437</v>
      </c>
      <c r="F66" t="s">
        <v>2580</v>
      </c>
      <c r="G66" t="s">
        <v>1096</v>
      </c>
      <c r="H66" t="s">
        <v>2581</v>
      </c>
      <c r="I66" t="s">
        <v>2398</v>
      </c>
    </row>
    <row r="67" spans="1:9">
      <c r="A67" t="s">
        <v>220</v>
      </c>
      <c r="B67" t="s">
        <v>1825</v>
      </c>
      <c r="C67" s="145">
        <v>33038</v>
      </c>
      <c r="D67" t="s">
        <v>21</v>
      </c>
      <c r="E67" t="s">
        <v>2437</v>
      </c>
      <c r="F67" t="s">
        <v>2582</v>
      </c>
      <c r="G67" t="s">
        <v>1096</v>
      </c>
      <c r="H67" t="s">
        <v>2583</v>
      </c>
      <c r="I67" t="s">
        <v>2399</v>
      </c>
    </row>
    <row r="68" spans="1:9">
      <c r="A68" t="s">
        <v>510</v>
      </c>
      <c r="B68" t="s">
        <v>2584</v>
      </c>
      <c r="C68" s="145">
        <v>33598</v>
      </c>
      <c r="D68" t="s">
        <v>21</v>
      </c>
      <c r="E68">
        <v>0</v>
      </c>
      <c r="F68" t="s">
        <v>2585</v>
      </c>
      <c r="G68" t="s">
        <v>2418</v>
      </c>
      <c r="I68" t="s">
        <v>2586</v>
      </c>
    </row>
    <row r="69" spans="1:9">
      <c r="A69" t="s">
        <v>552</v>
      </c>
      <c r="B69" t="s">
        <v>2007</v>
      </c>
      <c r="C69" s="145">
        <v>35474</v>
      </c>
      <c r="D69" t="s">
        <v>1153</v>
      </c>
      <c r="E69" t="s">
        <v>2437</v>
      </c>
      <c r="F69" t="s">
        <v>2587</v>
      </c>
      <c r="G69" t="s">
        <v>1096</v>
      </c>
      <c r="H69" t="s">
        <v>2588</v>
      </c>
      <c r="I69" t="s">
        <v>2589</v>
      </c>
    </row>
    <row r="70" spans="1:9">
      <c r="A70" t="s">
        <v>277</v>
      </c>
      <c r="B70" t="s">
        <v>2590</v>
      </c>
      <c r="C70" s="145">
        <v>34626</v>
      </c>
      <c r="D70" t="s">
        <v>21</v>
      </c>
      <c r="E70" t="s">
        <v>2445</v>
      </c>
      <c r="F70" t="s">
        <v>2591</v>
      </c>
      <c r="G70" t="s">
        <v>1296</v>
      </c>
      <c r="H70" t="s">
        <v>2592</v>
      </c>
      <c r="I70" t="s">
        <v>2593</v>
      </c>
    </row>
    <row r="71" spans="1:9">
      <c r="A71" t="s">
        <v>224</v>
      </c>
      <c r="B71" t="s">
        <v>1590</v>
      </c>
      <c r="C71" s="145">
        <v>34296</v>
      </c>
      <c r="D71" t="s">
        <v>21</v>
      </c>
      <c r="E71" t="s">
        <v>2461</v>
      </c>
      <c r="F71" t="s">
        <v>2594</v>
      </c>
      <c r="G71" t="s">
        <v>1296</v>
      </c>
      <c r="H71" t="s">
        <v>2595</v>
      </c>
      <c r="I71" t="s">
        <v>2360</v>
      </c>
    </row>
    <row r="72" spans="1:9">
      <c r="A72" t="s">
        <v>557</v>
      </c>
      <c r="B72" t="s">
        <v>1308</v>
      </c>
      <c r="C72">
        <v>33562</v>
      </c>
      <c r="D72" t="s">
        <v>21</v>
      </c>
      <c r="E72" t="s">
        <v>2437</v>
      </c>
      <c r="F72" t="s">
        <v>2596</v>
      </c>
      <c r="G72" t="s">
        <v>1096</v>
      </c>
      <c r="I72" t="s">
        <v>2597</v>
      </c>
    </row>
    <row r="73" spans="1:9">
      <c r="A73" t="s">
        <v>50</v>
      </c>
      <c r="B73" t="s">
        <v>1699</v>
      </c>
      <c r="C73" s="145">
        <v>32850</v>
      </c>
      <c r="D73" t="s">
        <v>1000</v>
      </c>
      <c r="E73" t="s">
        <v>2505</v>
      </c>
      <c r="F73" t="s">
        <v>2598</v>
      </c>
      <c r="G73" t="s">
        <v>944</v>
      </c>
      <c r="H73" t="s">
        <v>2599</v>
      </c>
      <c r="I73" t="s">
        <v>2401</v>
      </c>
    </row>
    <row r="74" spans="1:9">
      <c r="A74" t="s">
        <v>192</v>
      </c>
      <c r="B74" t="s">
        <v>1308</v>
      </c>
      <c r="C74" s="145">
        <v>31195</v>
      </c>
      <c r="D74" t="s">
        <v>21</v>
      </c>
      <c r="E74" t="s">
        <v>2448</v>
      </c>
      <c r="F74" t="s">
        <v>2600</v>
      </c>
      <c r="G74" t="s">
        <v>1096</v>
      </c>
      <c r="H74" t="s">
        <v>2601</v>
      </c>
      <c r="I74" t="s">
        <v>2378</v>
      </c>
    </row>
    <row r="75" spans="1:9">
      <c r="A75" t="s">
        <v>386</v>
      </c>
      <c r="B75" t="s">
        <v>1617</v>
      </c>
      <c r="C75" s="145">
        <v>35392</v>
      </c>
      <c r="D75" t="s">
        <v>21</v>
      </c>
      <c r="E75" t="s">
        <v>2445</v>
      </c>
      <c r="F75" t="s">
        <v>2602</v>
      </c>
      <c r="G75" t="s">
        <v>1296</v>
      </c>
      <c r="H75" t="s">
        <v>2603</v>
      </c>
      <c r="I75" t="s">
        <v>2329</v>
      </c>
    </row>
    <row r="76" spans="1:9">
      <c r="A76" t="s">
        <v>28</v>
      </c>
      <c r="B76" t="s">
        <v>2007</v>
      </c>
      <c r="C76" s="145">
        <v>33764</v>
      </c>
      <c r="D76" t="s">
        <v>21</v>
      </c>
      <c r="E76" t="s">
        <v>2604</v>
      </c>
      <c r="F76" t="s">
        <v>2605</v>
      </c>
      <c r="G76" t="s">
        <v>944</v>
      </c>
      <c r="H76" t="s">
        <v>2606</v>
      </c>
      <c r="I76" t="s">
        <v>2607</v>
      </c>
    </row>
    <row r="77" spans="1:9">
      <c r="A77" t="s">
        <v>390</v>
      </c>
      <c r="B77" t="s">
        <v>2608</v>
      </c>
      <c r="C77" s="145">
        <v>35037</v>
      </c>
      <c r="D77" t="s">
        <v>21</v>
      </c>
      <c r="E77" t="s">
        <v>2516</v>
      </c>
      <c r="F77" t="s">
        <v>1238</v>
      </c>
      <c r="G77" t="s">
        <v>1296</v>
      </c>
      <c r="H77" t="s">
        <v>2609</v>
      </c>
      <c r="I77" t="s">
        <v>2610</v>
      </c>
    </row>
    <row r="78" spans="1:9">
      <c r="A78" t="s">
        <v>435</v>
      </c>
      <c r="B78" t="s">
        <v>2611</v>
      </c>
      <c r="C78" s="145">
        <v>34093</v>
      </c>
      <c r="D78" t="s">
        <v>21</v>
      </c>
      <c r="E78" t="e">
        <v>#N/A</v>
      </c>
      <c r="F78" t="s">
        <v>2612</v>
      </c>
      <c r="G78" t="s">
        <v>2418</v>
      </c>
      <c r="I78" t="s">
        <v>2613</v>
      </c>
    </row>
    <row r="79" spans="1:9">
      <c r="A79" t="s">
        <v>60</v>
      </c>
      <c r="B79" t="s">
        <v>2614</v>
      </c>
      <c r="C79" s="145">
        <v>26517</v>
      </c>
      <c r="D79" t="s">
        <v>2615</v>
      </c>
      <c r="E79" t="s">
        <v>2486</v>
      </c>
      <c r="F79" t="s">
        <v>2616</v>
      </c>
      <c r="G79" t="s">
        <v>944</v>
      </c>
      <c r="H79" t="s">
        <v>2617</v>
      </c>
      <c r="I79" t="s">
        <v>2618</v>
      </c>
    </row>
    <row r="80" spans="1:9">
      <c r="A80" t="s">
        <v>282</v>
      </c>
      <c r="B80" t="s">
        <v>1312</v>
      </c>
      <c r="C80" s="145">
        <v>34556</v>
      </c>
      <c r="D80" t="s">
        <v>21</v>
      </c>
      <c r="E80" t="s">
        <v>2461</v>
      </c>
      <c r="F80" t="s">
        <v>2619</v>
      </c>
      <c r="G80" t="s">
        <v>1296</v>
      </c>
      <c r="H80" t="s">
        <v>2620</v>
      </c>
      <c r="I80" t="s">
        <v>2621</v>
      </c>
    </row>
    <row r="81" spans="1:9">
      <c r="A81" t="s">
        <v>286</v>
      </c>
      <c r="B81" t="s">
        <v>2007</v>
      </c>
      <c r="C81" s="145">
        <v>34188</v>
      </c>
      <c r="D81" t="s">
        <v>21</v>
      </c>
      <c r="E81" t="s">
        <v>2445</v>
      </c>
      <c r="F81" t="s">
        <v>2622</v>
      </c>
      <c r="G81" t="s">
        <v>1296</v>
      </c>
      <c r="H81" t="s">
        <v>2623</v>
      </c>
      <c r="I81" t="s">
        <v>2367</v>
      </c>
    </row>
    <row r="82" spans="1:9">
      <c r="A82" t="s">
        <v>290</v>
      </c>
      <c r="B82" t="s">
        <v>1699</v>
      </c>
      <c r="C82" s="145">
        <v>35214</v>
      </c>
      <c r="D82" t="s">
        <v>21</v>
      </c>
      <c r="E82" t="s">
        <v>2445</v>
      </c>
      <c r="F82" t="s">
        <v>2624</v>
      </c>
      <c r="G82" t="s">
        <v>1296</v>
      </c>
      <c r="H82" t="s">
        <v>2625</v>
      </c>
      <c r="I82" t="s">
        <v>2362</v>
      </c>
    </row>
    <row r="83" spans="1:9">
      <c r="A83" t="s">
        <v>294</v>
      </c>
      <c r="B83" t="s">
        <v>2626</v>
      </c>
      <c r="C83" s="145">
        <v>34966</v>
      </c>
      <c r="D83" t="s">
        <v>21</v>
      </c>
      <c r="E83" t="s">
        <v>2461</v>
      </c>
      <c r="F83" t="s">
        <v>2627</v>
      </c>
      <c r="G83" t="s">
        <v>1296</v>
      </c>
      <c r="H83" t="s">
        <v>2628</v>
      </c>
      <c r="I83" t="s">
        <v>2365</v>
      </c>
    </row>
    <row r="84" spans="1:9">
      <c r="A84" t="s">
        <v>298</v>
      </c>
      <c r="B84" t="s">
        <v>2007</v>
      </c>
      <c r="C84" s="145">
        <v>32887</v>
      </c>
      <c r="D84" t="s">
        <v>21</v>
      </c>
      <c r="E84" t="s">
        <v>2445</v>
      </c>
      <c r="F84" t="s">
        <v>2629</v>
      </c>
      <c r="G84" t="s">
        <v>1296</v>
      </c>
      <c r="H84" t="s">
        <v>2630</v>
      </c>
      <c r="I84" t="s">
        <v>2368</v>
      </c>
    </row>
    <row r="85" spans="1:9">
      <c r="A85" t="s">
        <v>302</v>
      </c>
      <c r="B85" t="s">
        <v>2631</v>
      </c>
      <c r="C85" s="145">
        <v>34040</v>
      </c>
      <c r="D85" t="s">
        <v>21</v>
      </c>
      <c r="E85" t="s">
        <v>2461</v>
      </c>
      <c r="F85" t="s">
        <v>2632</v>
      </c>
      <c r="G85" t="s">
        <v>1296</v>
      </c>
      <c r="H85" t="s">
        <v>2633</v>
      </c>
      <c r="I85" t="s">
        <v>2366</v>
      </c>
    </row>
    <row r="86" spans="1:9">
      <c r="A86" t="s">
        <v>66</v>
      </c>
      <c r="B86" t="s">
        <v>1607</v>
      </c>
      <c r="C86" s="145">
        <v>35582</v>
      </c>
      <c r="D86" t="s">
        <v>21</v>
      </c>
      <c r="E86" t="s">
        <v>2505</v>
      </c>
      <c r="F86" t="s">
        <v>1157</v>
      </c>
      <c r="G86" t="s">
        <v>944</v>
      </c>
      <c r="H86" t="s">
        <v>2634</v>
      </c>
      <c r="I86" t="s">
        <v>2256</v>
      </c>
    </row>
    <row r="87" spans="1:9">
      <c r="A87" t="s">
        <v>560</v>
      </c>
      <c r="B87" t="s">
        <v>1590</v>
      </c>
      <c r="C87" s="145">
        <v>30246</v>
      </c>
      <c r="D87" t="s">
        <v>21</v>
      </c>
      <c r="E87" t="s">
        <v>2437</v>
      </c>
      <c r="F87" t="s">
        <v>2635</v>
      </c>
      <c r="G87" t="s">
        <v>1096</v>
      </c>
      <c r="H87" t="s">
        <v>2636</v>
      </c>
      <c r="I87" t="s">
        <v>2346</v>
      </c>
    </row>
    <row r="88" spans="1:9">
      <c r="A88" t="s">
        <v>564</v>
      </c>
      <c r="B88" t="s">
        <v>1308</v>
      </c>
      <c r="C88" s="145">
        <v>34855</v>
      </c>
      <c r="D88" t="s">
        <v>21</v>
      </c>
      <c r="E88" t="s">
        <v>2437</v>
      </c>
      <c r="F88" t="s">
        <v>2637</v>
      </c>
      <c r="G88" t="s">
        <v>1096</v>
      </c>
      <c r="H88" t="s">
        <v>2638</v>
      </c>
      <c r="I88" t="s">
        <v>2345</v>
      </c>
    </row>
    <row r="89" spans="1:9">
      <c r="A89" t="s">
        <v>307</v>
      </c>
      <c r="B89" t="s">
        <v>1785</v>
      </c>
      <c r="C89" s="145">
        <v>33618</v>
      </c>
      <c r="D89" t="s">
        <v>21</v>
      </c>
      <c r="E89" t="s">
        <v>2461</v>
      </c>
      <c r="F89" t="s">
        <v>2639</v>
      </c>
      <c r="G89" t="s">
        <v>1296</v>
      </c>
      <c r="H89" t="s">
        <v>2640</v>
      </c>
      <c r="I89" t="s">
        <v>2364</v>
      </c>
    </row>
    <row r="90" spans="1:9">
      <c r="A90" t="s">
        <v>129</v>
      </c>
      <c r="B90" t="s">
        <v>1308</v>
      </c>
      <c r="C90" s="145">
        <v>34977</v>
      </c>
      <c r="D90" t="s">
        <v>21</v>
      </c>
      <c r="E90" t="s">
        <v>2437</v>
      </c>
      <c r="F90" t="s">
        <v>1169</v>
      </c>
      <c r="G90" t="s">
        <v>1096</v>
      </c>
      <c r="H90" t="s">
        <v>2641</v>
      </c>
      <c r="I90" t="s">
        <v>2385</v>
      </c>
    </row>
    <row r="91" spans="1:9">
      <c r="A91" t="s">
        <v>133</v>
      </c>
      <c r="B91" t="s">
        <v>1308</v>
      </c>
      <c r="C91" s="145">
        <v>35105</v>
      </c>
      <c r="D91" t="s">
        <v>21</v>
      </c>
      <c r="E91" t="s">
        <v>2437</v>
      </c>
      <c r="F91" t="s">
        <v>2642</v>
      </c>
      <c r="G91" t="s">
        <v>1096</v>
      </c>
      <c r="H91" t="s">
        <v>2643</v>
      </c>
      <c r="I91" t="s">
        <v>2386</v>
      </c>
    </row>
    <row r="92" spans="1:9">
      <c r="A92" t="s">
        <v>357</v>
      </c>
      <c r="B92" t="s">
        <v>2644</v>
      </c>
      <c r="C92" s="145">
        <v>34877</v>
      </c>
      <c r="D92" t="s">
        <v>21</v>
      </c>
      <c r="E92" t="s">
        <v>2455</v>
      </c>
      <c r="F92" t="s">
        <v>2645</v>
      </c>
      <c r="G92" t="s">
        <v>2418</v>
      </c>
      <c r="H92" t="s">
        <v>2646</v>
      </c>
      <c r="I92" t="s">
        <v>2299</v>
      </c>
    </row>
    <row r="93" spans="1:9">
      <c r="A93" t="s">
        <v>393</v>
      </c>
      <c r="B93" t="s">
        <v>2647</v>
      </c>
      <c r="C93" s="145">
        <v>35630</v>
      </c>
      <c r="D93" t="s">
        <v>21</v>
      </c>
      <c r="E93" t="s">
        <v>2516</v>
      </c>
      <c r="F93" t="s">
        <v>1185</v>
      </c>
      <c r="G93" t="s">
        <v>1296</v>
      </c>
      <c r="H93" t="s">
        <v>2648</v>
      </c>
      <c r="I93" t="s">
        <v>2330</v>
      </c>
    </row>
    <row r="94" spans="1:9">
      <c r="A94" t="s">
        <v>312</v>
      </c>
      <c r="B94" t="s">
        <v>1617</v>
      </c>
      <c r="C94" s="145">
        <v>35887</v>
      </c>
      <c r="D94" t="s">
        <v>1153</v>
      </c>
      <c r="E94" t="s">
        <v>2445</v>
      </c>
      <c r="F94" t="s">
        <v>2649</v>
      </c>
      <c r="G94" t="s">
        <v>1296</v>
      </c>
      <c r="H94" t="s">
        <v>2650</v>
      </c>
      <c r="I94" t="s">
        <v>2208</v>
      </c>
    </row>
    <row r="95" spans="1:9">
      <c r="A95" t="s">
        <v>174</v>
      </c>
      <c r="B95" t="s">
        <v>1590</v>
      </c>
      <c r="C95" s="145">
        <v>30073</v>
      </c>
      <c r="D95" t="s">
        <v>1019</v>
      </c>
      <c r="E95" t="s">
        <v>2448</v>
      </c>
      <c r="F95" t="s">
        <v>1194</v>
      </c>
      <c r="G95" t="s">
        <v>1096</v>
      </c>
      <c r="H95" t="s">
        <v>2651</v>
      </c>
      <c r="I95" t="s">
        <v>2229</v>
      </c>
    </row>
    <row r="96" spans="1:9">
      <c r="A96" t="s">
        <v>514</v>
      </c>
      <c r="B96" t="s">
        <v>2652</v>
      </c>
      <c r="C96" s="145">
        <v>33084</v>
      </c>
      <c r="D96" t="s">
        <v>1019</v>
      </c>
      <c r="E96" t="s">
        <v>2416</v>
      </c>
      <c r="F96" t="s">
        <v>2653</v>
      </c>
      <c r="G96" t="s">
        <v>2418</v>
      </c>
      <c r="H96" t="s">
        <v>2654</v>
      </c>
      <c r="I96" t="s">
        <v>2204</v>
      </c>
    </row>
    <row r="97" spans="1:9">
      <c r="A97" t="s">
        <v>316</v>
      </c>
      <c r="B97" t="s">
        <v>1704</v>
      </c>
      <c r="C97" s="145">
        <v>34617</v>
      </c>
      <c r="D97" t="s">
        <v>21</v>
      </c>
      <c r="E97" t="s">
        <v>2461</v>
      </c>
      <c r="F97" t="s">
        <v>1204</v>
      </c>
      <c r="G97" t="s">
        <v>1296</v>
      </c>
      <c r="H97" t="s">
        <v>2655</v>
      </c>
      <c r="I97" t="s">
        <v>2363</v>
      </c>
    </row>
    <row r="98" spans="1:9">
      <c r="A98" t="s">
        <v>488</v>
      </c>
      <c r="B98" t="s">
        <v>1825</v>
      </c>
      <c r="C98" s="145">
        <v>27760</v>
      </c>
      <c r="D98" t="s">
        <v>1000</v>
      </c>
      <c r="E98" t="s">
        <v>2416</v>
      </c>
      <c r="F98" t="s">
        <v>2656</v>
      </c>
      <c r="G98" t="s">
        <v>2418</v>
      </c>
      <c r="H98" t="s">
        <v>2657</v>
      </c>
      <c r="I98" t="s">
        <v>762</v>
      </c>
    </row>
    <row r="99" spans="1:9">
      <c r="A99" t="s">
        <v>361</v>
      </c>
      <c r="B99" t="s">
        <v>2658</v>
      </c>
      <c r="C99" s="145">
        <v>33151</v>
      </c>
      <c r="D99" t="s">
        <v>1153</v>
      </c>
      <c r="E99" t="s">
        <v>2455</v>
      </c>
      <c r="F99" t="s">
        <v>2659</v>
      </c>
      <c r="G99" t="s">
        <v>2418</v>
      </c>
      <c r="H99" t="s">
        <v>2660</v>
      </c>
      <c r="I99" t="s">
        <v>2213</v>
      </c>
    </row>
    <row r="100" spans="1:9">
      <c r="A100" t="s">
        <v>398</v>
      </c>
      <c r="B100" t="s">
        <v>1590</v>
      </c>
      <c r="C100" s="145">
        <v>35691</v>
      </c>
      <c r="D100" t="s">
        <v>21</v>
      </c>
      <c r="E100" t="s">
        <v>2516</v>
      </c>
      <c r="F100" t="s">
        <v>2661</v>
      </c>
      <c r="G100" t="s">
        <v>1296</v>
      </c>
      <c r="H100" t="s">
        <v>2662</v>
      </c>
      <c r="I100" t="s">
        <v>2332</v>
      </c>
    </row>
    <row r="101" spans="1:9">
      <c r="A101" t="s">
        <v>325</v>
      </c>
      <c r="B101" t="s">
        <v>2663</v>
      </c>
      <c r="C101" s="145">
        <v>36363</v>
      </c>
      <c r="D101" t="s">
        <v>21</v>
      </c>
      <c r="E101" t="s">
        <v>2445</v>
      </c>
      <c r="F101" t="s">
        <v>2664</v>
      </c>
      <c r="G101" t="s">
        <v>1296</v>
      </c>
      <c r="H101" t="s">
        <v>2665</v>
      </c>
      <c r="I101" t="s">
        <v>2370</v>
      </c>
    </row>
    <row r="102" spans="1:9">
      <c r="A102" t="s">
        <v>71</v>
      </c>
      <c r="B102" t="s">
        <v>2666</v>
      </c>
      <c r="C102" s="145">
        <v>36187</v>
      </c>
      <c r="D102" t="s">
        <v>21</v>
      </c>
      <c r="E102" t="s">
        <v>2486</v>
      </c>
      <c r="F102" t="s">
        <v>2667</v>
      </c>
      <c r="G102" t="s">
        <v>944</v>
      </c>
      <c r="H102" t="s">
        <v>2668</v>
      </c>
      <c r="I102" t="s">
        <v>2407</v>
      </c>
    </row>
    <row r="103" spans="1:9">
      <c r="A103" t="s">
        <v>196</v>
      </c>
      <c r="B103" t="s">
        <v>2669</v>
      </c>
      <c r="C103" s="145">
        <v>33042</v>
      </c>
      <c r="D103" t="s">
        <v>21</v>
      </c>
      <c r="E103" t="s">
        <v>2448</v>
      </c>
      <c r="F103" t="s">
        <v>2670</v>
      </c>
      <c r="G103" t="s">
        <v>1096</v>
      </c>
      <c r="H103" t="s">
        <v>2671</v>
      </c>
      <c r="I103" t="s">
        <v>2379</v>
      </c>
    </row>
    <row r="104" spans="1:9">
      <c r="A104" t="s">
        <v>137</v>
      </c>
      <c r="B104" t="s">
        <v>1617</v>
      </c>
      <c r="C104" s="145">
        <v>35622</v>
      </c>
      <c r="D104" t="s">
        <v>21</v>
      </c>
      <c r="E104" t="s">
        <v>2448</v>
      </c>
      <c r="F104" t="s">
        <v>2672</v>
      </c>
      <c r="G104" t="s">
        <v>1096</v>
      </c>
      <c r="H104" t="s">
        <v>2673</v>
      </c>
      <c r="I104" t="s">
        <v>2387</v>
      </c>
    </row>
    <row r="105" spans="1:9">
      <c r="A105" t="s">
        <v>141</v>
      </c>
      <c r="B105" t="s">
        <v>1935</v>
      </c>
      <c r="C105" s="145">
        <v>35143</v>
      </c>
      <c r="D105" t="s">
        <v>21</v>
      </c>
      <c r="E105" t="s">
        <v>2437</v>
      </c>
      <c r="F105" t="s">
        <v>2674</v>
      </c>
      <c r="G105" t="s">
        <v>1096</v>
      </c>
      <c r="H105" t="s">
        <v>2675</v>
      </c>
      <c r="I105" t="s">
        <v>2388</v>
      </c>
    </row>
    <row r="106" spans="1:9">
      <c r="A106" t="s">
        <v>442</v>
      </c>
      <c r="B106" t="s">
        <v>1312</v>
      </c>
      <c r="C106" s="145">
        <v>33515</v>
      </c>
      <c r="D106" t="s">
        <v>21</v>
      </c>
      <c r="E106" t="s">
        <v>2420</v>
      </c>
      <c r="F106" t="s">
        <v>2676</v>
      </c>
      <c r="G106" t="s">
        <v>2418</v>
      </c>
      <c r="H106" t="s">
        <v>2677</v>
      </c>
      <c r="I106" t="s">
        <v>2320</v>
      </c>
    </row>
    <row r="107" spans="1:9">
      <c r="A107" t="s">
        <v>76</v>
      </c>
      <c r="B107" t="s">
        <v>1308</v>
      </c>
      <c r="C107" s="145">
        <v>36315</v>
      </c>
      <c r="D107" t="s">
        <v>21</v>
      </c>
      <c r="E107" t="s">
        <v>2486</v>
      </c>
      <c r="F107" t="s">
        <v>2678</v>
      </c>
      <c r="G107" t="s">
        <v>944</v>
      </c>
      <c r="H107" t="s">
        <v>2679</v>
      </c>
      <c r="I107" t="s">
        <v>2408</v>
      </c>
    </row>
    <row r="108" spans="1:9">
      <c r="A108" t="s">
        <v>147</v>
      </c>
      <c r="B108" t="s">
        <v>2444</v>
      </c>
      <c r="C108" s="145">
        <v>34761</v>
      </c>
      <c r="D108" t="s">
        <v>21</v>
      </c>
      <c r="E108" t="s">
        <v>2437</v>
      </c>
      <c r="F108" t="s">
        <v>2680</v>
      </c>
      <c r="G108" t="s">
        <v>1096</v>
      </c>
      <c r="H108" t="s">
        <v>2681</v>
      </c>
      <c r="I108" t="s">
        <v>2390</v>
      </c>
    </row>
    <row r="109" spans="1:9">
      <c r="A109" t="s">
        <v>151</v>
      </c>
      <c r="B109" t="s">
        <v>2663</v>
      </c>
      <c r="C109" s="145">
        <v>36021</v>
      </c>
      <c r="D109" t="s">
        <v>21</v>
      </c>
      <c r="E109" t="s">
        <v>2437</v>
      </c>
      <c r="F109" t="s">
        <v>1277</v>
      </c>
      <c r="G109" t="s">
        <v>1096</v>
      </c>
      <c r="H109" t="s">
        <v>2682</v>
      </c>
      <c r="I109" t="s">
        <v>2391</v>
      </c>
    </row>
    <row r="110" spans="1:9">
      <c r="A110" t="s">
        <v>568</v>
      </c>
      <c r="B110" t="s">
        <v>1316</v>
      </c>
      <c r="C110" s="145">
        <v>35592</v>
      </c>
      <c r="D110" t="s">
        <v>1153</v>
      </c>
      <c r="E110" t="s">
        <v>2448</v>
      </c>
      <c r="F110" t="s">
        <v>2683</v>
      </c>
      <c r="G110" t="s">
        <v>1096</v>
      </c>
      <c r="H110" t="s">
        <v>2684</v>
      </c>
      <c r="I110" t="s">
        <v>2685</v>
      </c>
    </row>
    <row r="111" spans="1:9">
      <c r="A111" t="s">
        <v>402</v>
      </c>
      <c r="B111" t="s">
        <v>1699</v>
      </c>
      <c r="C111" s="145">
        <v>34705</v>
      </c>
      <c r="D111" t="s">
        <v>1019</v>
      </c>
      <c r="E111" t="s">
        <v>2445</v>
      </c>
      <c r="F111" t="s">
        <v>2686</v>
      </c>
      <c r="G111" t="s">
        <v>1296</v>
      </c>
      <c r="H111" t="s">
        <v>2687</v>
      </c>
      <c r="I111" t="s">
        <v>2331</v>
      </c>
    </row>
    <row r="112" spans="1:9">
      <c r="A112" t="s">
        <v>366</v>
      </c>
      <c r="B112" t="s">
        <v>1308</v>
      </c>
      <c r="C112" s="145">
        <v>25611</v>
      </c>
      <c r="D112" t="s">
        <v>1225</v>
      </c>
      <c r="E112" t="s">
        <v>2416</v>
      </c>
      <c r="F112" t="s">
        <v>2688</v>
      </c>
      <c r="G112" t="s">
        <v>2418</v>
      </c>
      <c r="H112" t="s">
        <v>2689</v>
      </c>
      <c r="I112" t="s">
        <v>2180</v>
      </c>
    </row>
    <row r="113" spans="1:9">
      <c r="A113" t="s">
        <v>473</v>
      </c>
      <c r="C113" t="e">
        <v>#N/A</v>
      </c>
      <c r="E113" t="e">
        <v>#N/A</v>
      </c>
      <c r="F113" t="e">
        <v>#N/A</v>
      </c>
      <c r="H113" t="s">
        <v>2690</v>
      </c>
    </row>
    <row r="114" spans="1:9">
      <c r="A114" t="s">
        <v>406</v>
      </c>
      <c r="B114" t="s">
        <v>1935</v>
      </c>
      <c r="C114" s="145">
        <v>25330</v>
      </c>
      <c r="D114" t="s">
        <v>1138</v>
      </c>
      <c r="E114" t="s">
        <v>2461</v>
      </c>
      <c r="F114" t="s">
        <v>2691</v>
      </c>
      <c r="G114" t="s">
        <v>1296</v>
      </c>
      <c r="H114" t="s">
        <v>2692</v>
      </c>
      <c r="I114" t="s">
        <v>2201</v>
      </c>
    </row>
    <row r="115" spans="1:9">
      <c r="A115" t="s">
        <v>155</v>
      </c>
      <c r="B115" t="s">
        <v>1312</v>
      </c>
      <c r="C115" s="145">
        <v>33004</v>
      </c>
      <c r="D115" t="s">
        <v>21</v>
      </c>
      <c r="E115" t="s">
        <v>2427</v>
      </c>
      <c r="F115" t="s">
        <v>2693</v>
      </c>
      <c r="G115" t="s">
        <v>1096</v>
      </c>
      <c r="H115" t="s">
        <v>2694</v>
      </c>
      <c r="I115" t="s">
        <v>2389</v>
      </c>
    </row>
    <row r="116" spans="1:9">
      <c r="A116" t="s">
        <v>81</v>
      </c>
      <c r="B116" t="s">
        <v>1312</v>
      </c>
      <c r="C116" s="145">
        <v>33004</v>
      </c>
      <c r="D116" t="s">
        <v>21</v>
      </c>
      <c r="F116" t="s">
        <v>2695</v>
      </c>
      <c r="G116" t="s">
        <v>944</v>
      </c>
      <c r="H116" t="s">
        <v>2696</v>
      </c>
      <c r="I116" t="s">
        <v>2410</v>
      </c>
    </row>
    <row r="117" spans="1:9">
      <c r="A117" t="s">
        <v>84</v>
      </c>
      <c r="B117" t="s">
        <v>2697</v>
      </c>
      <c r="C117" s="145">
        <v>35659</v>
      </c>
      <c r="D117" t="s">
        <v>21</v>
      </c>
      <c r="F117" t="s">
        <v>2698</v>
      </c>
      <c r="G117" t="s">
        <v>944</v>
      </c>
      <c r="H117" t="s">
        <v>2699</v>
      </c>
      <c r="I117" t="s">
        <v>2700</v>
      </c>
    </row>
    <row r="118" spans="1:9">
      <c r="A118" t="s">
        <v>160</v>
      </c>
      <c r="B118" t="s">
        <v>2658</v>
      </c>
      <c r="C118" s="145">
        <v>35975</v>
      </c>
      <c r="D118" t="s">
        <v>21</v>
      </c>
      <c r="F118" t="s">
        <v>2701</v>
      </c>
      <c r="G118" t="s">
        <v>1096</v>
      </c>
      <c r="H118" t="s">
        <v>2702</v>
      </c>
      <c r="I118" t="s">
        <v>2392</v>
      </c>
    </row>
    <row r="119" spans="1:9">
      <c r="A119" t="s">
        <v>19</v>
      </c>
      <c r="B119" t="s">
        <v>1704</v>
      </c>
      <c r="C119" s="145">
        <v>29463</v>
      </c>
      <c r="D119" t="s">
        <v>21</v>
      </c>
      <c r="F119" t="s">
        <v>2703</v>
      </c>
      <c r="G119" t="s">
        <v>944</v>
      </c>
      <c r="H119" t="s">
        <v>2704</v>
      </c>
      <c r="I119" t="s">
        <v>2705</v>
      </c>
    </row>
    <row r="120" spans="1:9">
      <c r="A120" t="s">
        <v>753</v>
      </c>
      <c r="B120" t="s">
        <v>1295</v>
      </c>
      <c r="C120" s="145">
        <v>33668</v>
      </c>
      <c r="D120" t="s">
        <v>21</v>
      </c>
      <c r="F120" t="s">
        <v>1332</v>
      </c>
      <c r="G120" t="s">
        <v>1096</v>
      </c>
      <c r="I120" t="s">
        <v>2706</v>
      </c>
    </row>
    <row r="121" spans="1:9" ht="17.25" customHeight="1">
      <c r="A121" t="s">
        <v>754</v>
      </c>
      <c r="B121" t="s">
        <v>2707</v>
      </c>
      <c r="C121" s="145">
        <v>37014</v>
      </c>
      <c r="D121" t="s">
        <v>21</v>
      </c>
      <c r="F121" t="s">
        <v>1337</v>
      </c>
      <c r="G121" t="s">
        <v>944</v>
      </c>
      <c r="I121" s="335" t="s">
        <v>2708</v>
      </c>
    </row>
    <row r="122" spans="1:9">
      <c r="A122" t="s">
        <v>755</v>
      </c>
      <c r="B122" t="s">
        <v>1590</v>
      </c>
      <c r="C122" s="145">
        <v>36171</v>
      </c>
      <c r="D122" t="s">
        <v>21</v>
      </c>
      <c r="F122" t="s">
        <v>1344</v>
      </c>
      <c r="G122" t="s">
        <v>1296</v>
      </c>
      <c r="I122" t="s">
        <v>2709</v>
      </c>
    </row>
    <row r="123" spans="1:9">
      <c r="A123" t="s">
        <v>756</v>
      </c>
      <c r="B123" t="s">
        <v>1842</v>
      </c>
      <c r="C123" s="145">
        <v>36534</v>
      </c>
      <c r="D123" t="s">
        <v>21</v>
      </c>
      <c r="F123" t="s">
        <v>1349</v>
      </c>
      <c r="G123" t="s">
        <v>2418</v>
      </c>
      <c r="I123" t="s">
        <v>2710</v>
      </c>
    </row>
    <row r="124" spans="1:9">
      <c r="A124" t="s">
        <v>757</v>
      </c>
      <c r="B124" t="s">
        <v>2711</v>
      </c>
      <c r="C124" s="145">
        <v>36985</v>
      </c>
      <c r="D124" t="s">
        <v>21</v>
      </c>
      <c r="F124" t="s">
        <v>1354</v>
      </c>
      <c r="G124" t="s">
        <v>1296</v>
      </c>
      <c r="I124" t="s">
        <v>2712</v>
      </c>
    </row>
    <row r="125" spans="1:9">
      <c r="A125" t="s">
        <v>1365</v>
      </c>
      <c r="B125" t="s">
        <v>1704</v>
      </c>
      <c r="C125" s="145">
        <v>35641</v>
      </c>
      <c r="D125" t="s">
        <v>21</v>
      </c>
      <c r="F125" t="s">
        <v>1368</v>
      </c>
      <c r="G125" t="s">
        <v>1096</v>
      </c>
      <c r="H125" s="338" t="s">
        <v>2713</v>
      </c>
      <c r="I125" t="s">
        <v>2714</v>
      </c>
    </row>
    <row r="126" spans="1:9" ht="15.95">
      <c r="A126" t="s">
        <v>1382</v>
      </c>
      <c r="B126" t="s">
        <v>2715</v>
      </c>
      <c r="C126" s="145">
        <v>35804</v>
      </c>
      <c r="D126" t="s">
        <v>21</v>
      </c>
      <c r="F126" t="s">
        <v>1385</v>
      </c>
      <c r="G126" t="s">
        <v>1096</v>
      </c>
      <c r="H126" s="338" t="s">
        <v>2716</v>
      </c>
      <c r="I126" s="335" t="s">
        <v>2717</v>
      </c>
    </row>
    <row r="127" spans="1:9">
      <c r="A127" t="s">
        <v>1370</v>
      </c>
      <c r="B127" t="s">
        <v>1312</v>
      </c>
      <c r="C127" s="145">
        <v>36008</v>
      </c>
      <c r="D127" t="s">
        <v>21</v>
      </c>
      <c r="F127" t="s">
        <v>1374</v>
      </c>
      <c r="G127" t="s">
        <v>1096</v>
      </c>
      <c r="H127" s="338" t="s">
        <v>2718</v>
      </c>
      <c r="I127" t="s">
        <v>2719</v>
      </c>
    </row>
    <row r="128" spans="1:9">
      <c r="A128" t="s">
        <v>1378</v>
      </c>
      <c r="B128" t="s">
        <v>2720</v>
      </c>
      <c r="C128" s="145">
        <v>36919</v>
      </c>
      <c r="D128" t="s">
        <v>21</v>
      </c>
      <c r="F128" t="s">
        <v>1380</v>
      </c>
      <c r="G128" t="s">
        <v>1096</v>
      </c>
      <c r="H128" s="338" t="s">
        <v>2721</v>
      </c>
      <c r="I128" t="s">
        <v>2722</v>
      </c>
    </row>
    <row r="129" spans="1:9">
      <c r="A129" t="s">
        <v>1387</v>
      </c>
      <c r="B129" t="s">
        <v>2723</v>
      </c>
      <c r="C129" s="145">
        <v>34928</v>
      </c>
      <c r="D129" t="s">
        <v>21</v>
      </c>
      <c r="F129" t="s">
        <v>1388</v>
      </c>
      <c r="G129" t="s">
        <v>1096</v>
      </c>
      <c r="H129" s="338" t="s">
        <v>2724</v>
      </c>
      <c r="I129" t="s">
        <v>2725</v>
      </c>
    </row>
    <row r="130" spans="1:9">
      <c r="A130" t="s">
        <v>1390</v>
      </c>
      <c r="B130" t="s">
        <v>2726</v>
      </c>
      <c r="C130" s="145">
        <v>36888</v>
      </c>
      <c r="D130" t="s">
        <v>21</v>
      </c>
      <c r="F130" t="s">
        <v>1391</v>
      </c>
      <c r="G130" t="s">
        <v>1096</v>
      </c>
      <c r="H130" s="338" t="s">
        <v>2727</v>
      </c>
      <c r="I130" t="s">
        <v>2728</v>
      </c>
    </row>
  </sheetData>
  <hyperlinks>
    <hyperlink ref="H126" r:id="rId1" xr:uid="{243F0F0D-504A-48D3-9311-731220A23089}"/>
    <hyperlink ref="H127" r:id="rId2" xr:uid="{94FD8861-2F6E-4209-9E1B-A446C4DF1000}"/>
    <hyperlink ref="H128" r:id="rId3" xr:uid="{35492E4A-C53B-4910-8C33-9B3C3E65486A}"/>
    <hyperlink ref="H129" r:id="rId4" xr:uid="{77FA87EE-9ACD-46E9-9999-DCAB759BCD3D}"/>
    <hyperlink ref="H130" r:id="rId5" xr:uid="{AB7B56F7-0291-4D9C-B348-FA9A58698A94}"/>
    <hyperlink ref="H125" r:id="rId6" xr:uid="{91A75F01-06B1-469C-A90F-106204DD997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9339-5237-4DF2-BFF5-5F46DF4CD9C7}">
  <dimension ref="A1:O112"/>
  <sheetViews>
    <sheetView topLeftCell="A46" workbookViewId="0">
      <selection activeCell="L97" sqref="L97"/>
    </sheetView>
  </sheetViews>
  <sheetFormatPr defaultColWidth="8.85546875" defaultRowHeight="15"/>
  <cols>
    <col min="1" max="1" width="3.85546875" bestFit="1" customWidth="1"/>
    <col min="2" max="2" width="26.85546875" bestFit="1" customWidth="1"/>
    <col min="3" max="3" width="11.28515625" bestFit="1" customWidth="1"/>
    <col min="4" max="4" width="11.28515625" customWidth="1"/>
    <col min="5" max="5" width="22.42578125" bestFit="1" customWidth="1"/>
    <col min="6" max="6" width="22.42578125" customWidth="1"/>
    <col min="7" max="7" width="8.85546875" bestFit="1" customWidth="1"/>
    <col min="8" max="8" width="10.85546875" bestFit="1" customWidth="1"/>
    <col min="10" max="10" width="5.42578125" bestFit="1" customWidth="1"/>
    <col min="11" max="11" width="14" bestFit="1" customWidth="1"/>
    <col min="12" max="12" width="48.7109375" bestFit="1" customWidth="1"/>
    <col min="13" max="13" width="52.42578125" bestFit="1" customWidth="1"/>
    <col min="14" max="14" width="44.42578125" bestFit="1" customWidth="1"/>
    <col min="15" max="15" width="14.42578125" bestFit="1" customWidth="1"/>
  </cols>
  <sheetData>
    <row r="1" spans="1:15" ht="30">
      <c r="A1" s="188" t="s">
        <v>0</v>
      </c>
      <c r="B1" s="188" t="s">
        <v>1</v>
      </c>
      <c r="C1" s="188" t="s">
        <v>2729</v>
      </c>
      <c r="D1" s="188" t="s">
        <v>2108</v>
      </c>
      <c r="E1" s="188" t="s">
        <v>770</v>
      </c>
      <c r="F1" s="188" t="s">
        <v>2730</v>
      </c>
      <c r="G1" s="188" t="s">
        <v>6</v>
      </c>
      <c r="H1" s="188" t="s">
        <v>7</v>
      </c>
      <c r="I1" s="188" t="s">
        <v>760</v>
      </c>
      <c r="J1" s="188" t="s">
        <v>4</v>
      </c>
      <c r="K1" s="188" t="s">
        <v>824</v>
      </c>
      <c r="L1" s="188" t="s">
        <v>2731</v>
      </c>
      <c r="M1" s="189" t="s">
        <v>2110</v>
      </c>
      <c r="N1" s="189" t="s">
        <v>841</v>
      </c>
    </row>
    <row r="2" spans="1:15">
      <c r="A2" s="190">
        <v>1</v>
      </c>
      <c r="B2" s="190" t="s">
        <v>329</v>
      </c>
      <c r="C2" s="190" t="s">
        <v>2456</v>
      </c>
      <c r="D2" s="190" t="str">
        <f>VLOOKUP(B2,Dosen!B:H,7,FALSE)</f>
        <v>TETAP</v>
      </c>
      <c r="E2" s="190" t="s">
        <v>330</v>
      </c>
      <c r="F2" s="190" t="str">
        <f>VLOOKUP(B2,Dosen!B:BW,35,FALSE)</f>
        <v> </v>
      </c>
      <c r="G2" s="190">
        <v>19920003</v>
      </c>
      <c r="H2" s="190">
        <v>704069202</v>
      </c>
      <c r="I2" s="190" t="s">
        <v>879</v>
      </c>
      <c r="J2" s="190" t="s">
        <v>847</v>
      </c>
      <c r="K2" s="190" t="s">
        <v>2451</v>
      </c>
      <c r="L2" s="191" t="s">
        <v>872</v>
      </c>
      <c r="M2" s="192" t="s">
        <v>2132</v>
      </c>
      <c r="N2" s="192" t="s">
        <v>882</v>
      </c>
      <c r="O2" t="str">
        <f>VLOOKUP(B2,Dosen!B:BW,74,FALSE)</f>
        <v xml:space="preserve">8 tahun 0 bulan </v>
      </c>
    </row>
    <row r="3" spans="1:15">
      <c r="A3" s="190">
        <f t="shared" ref="A3:A34" si="0">A2+1</f>
        <v>2</v>
      </c>
      <c r="B3" s="190" t="s">
        <v>361</v>
      </c>
      <c r="C3" s="190" t="s">
        <v>2659</v>
      </c>
      <c r="D3" s="190" t="str">
        <f>VLOOKUP(B3,Dosen!B:H,7,FALSE)</f>
        <v>PROFESIONAL</v>
      </c>
      <c r="E3" s="190" t="s">
        <v>330</v>
      </c>
      <c r="F3" s="190" t="str">
        <f>VLOOKUP(B3,Dosen!B:BW,35,FALSE)</f>
        <v> </v>
      </c>
      <c r="G3" s="190">
        <v>20900019</v>
      </c>
      <c r="H3" s="190">
        <v>705109006</v>
      </c>
      <c r="I3" s="190" t="s">
        <v>879</v>
      </c>
      <c r="J3" s="190" t="s">
        <v>918</v>
      </c>
      <c r="K3" s="190" t="s">
        <v>1153</v>
      </c>
      <c r="L3" s="191" t="s">
        <v>872</v>
      </c>
      <c r="M3" s="192" t="s">
        <v>2133</v>
      </c>
      <c r="N3" s="192" t="s">
        <v>871</v>
      </c>
      <c r="O3" t="str">
        <f>VLOOKUP(B3,Dosen!B:BW,74,FALSE)</f>
        <v xml:space="preserve">5 tahun 10 bulan </v>
      </c>
    </row>
    <row r="4" spans="1:15">
      <c r="A4" s="190">
        <f t="shared" si="0"/>
        <v>3</v>
      </c>
      <c r="B4" s="190" t="s">
        <v>334</v>
      </c>
      <c r="C4" s="190" t="s">
        <v>2430</v>
      </c>
      <c r="D4" s="190" t="str">
        <f>VLOOKUP(B4,Dosen!B:H,7,FALSE)</f>
        <v>TETAP</v>
      </c>
      <c r="E4" s="190" t="s">
        <v>330</v>
      </c>
      <c r="F4" s="190" t="str">
        <f>VLOOKUP(B4,Dosen!B:BW,35,FALSE)</f>
        <v> </v>
      </c>
      <c r="G4" s="190">
        <v>19930001</v>
      </c>
      <c r="H4" s="190">
        <v>725059301</v>
      </c>
      <c r="I4" s="190" t="s">
        <v>879</v>
      </c>
      <c r="J4" s="190" t="s">
        <v>775</v>
      </c>
      <c r="K4" s="190" t="s">
        <v>2732</v>
      </c>
      <c r="L4" s="191" t="s">
        <v>872</v>
      </c>
      <c r="M4" s="192" t="s">
        <v>2134</v>
      </c>
      <c r="N4" s="192" t="s">
        <v>882</v>
      </c>
      <c r="O4" t="str">
        <f>VLOOKUP(B4,Dosen!B:BW,74,FALSE)</f>
        <v xml:space="preserve">8 tahun 0 bulan </v>
      </c>
    </row>
    <row r="5" spans="1:15">
      <c r="A5" s="190">
        <f t="shared" si="0"/>
        <v>4</v>
      </c>
      <c r="B5" s="190" t="s">
        <v>343</v>
      </c>
      <c r="C5" s="190" t="s">
        <v>2433</v>
      </c>
      <c r="D5" s="190" t="str">
        <f>VLOOKUP(B5,Dosen!B:H,7,FALSE)</f>
        <v>TETAP</v>
      </c>
      <c r="E5" s="190" t="s">
        <v>330</v>
      </c>
      <c r="F5" s="190" t="str">
        <f>VLOOKUP(B5,Dosen!B:BW,35,FALSE)</f>
        <v> </v>
      </c>
      <c r="G5" s="190">
        <v>19920002</v>
      </c>
      <c r="H5" s="190">
        <v>728059203</v>
      </c>
      <c r="I5" s="190" t="s">
        <v>879</v>
      </c>
      <c r="J5" s="190" t="s">
        <v>775</v>
      </c>
      <c r="K5" s="190" t="s">
        <v>1000</v>
      </c>
      <c r="L5" s="191" t="s">
        <v>872</v>
      </c>
      <c r="M5" s="192" t="s">
        <v>2133</v>
      </c>
      <c r="N5" s="192" t="s">
        <v>871</v>
      </c>
      <c r="O5" t="str">
        <f>VLOOKUP(B5,Dosen!B:BW,74,FALSE)</f>
        <v xml:space="preserve">8 tahun 0 bulan </v>
      </c>
    </row>
    <row r="6" spans="1:15">
      <c r="A6" s="190">
        <f t="shared" si="0"/>
        <v>5</v>
      </c>
      <c r="B6" s="190" t="s">
        <v>347</v>
      </c>
      <c r="C6" s="190" t="s">
        <v>1198</v>
      </c>
      <c r="D6" s="190" t="str">
        <f>VLOOKUP(B6,Dosen!B:H,7,FALSE)</f>
        <v>TETAP</v>
      </c>
      <c r="E6" s="190" t="s">
        <v>330</v>
      </c>
      <c r="F6" s="190" t="str">
        <f>VLOOKUP(B6,Dosen!B:BW,35,FALSE)</f>
        <v>TB</v>
      </c>
      <c r="G6" s="190">
        <v>19920004</v>
      </c>
      <c r="H6" s="190">
        <v>706069201</v>
      </c>
      <c r="I6" s="190" t="s">
        <v>854</v>
      </c>
      <c r="J6" s="190" t="s">
        <v>775</v>
      </c>
      <c r="K6" s="190" t="s">
        <v>21</v>
      </c>
      <c r="L6" s="191" t="s">
        <v>872</v>
      </c>
      <c r="M6" s="192" t="s">
        <v>2133</v>
      </c>
      <c r="N6" s="192" t="s">
        <v>871</v>
      </c>
      <c r="O6" t="str">
        <f>VLOOKUP(B6,Dosen!B:BW,74,FALSE)</f>
        <v xml:space="preserve">8 tahun 0 bulan </v>
      </c>
    </row>
    <row r="7" spans="1:15">
      <c r="A7" s="190">
        <f t="shared" si="0"/>
        <v>6</v>
      </c>
      <c r="B7" s="190" t="s">
        <v>352</v>
      </c>
      <c r="C7" s="190" t="s">
        <v>2423</v>
      </c>
      <c r="D7" s="190" t="str">
        <f>VLOOKUP(B7,Dosen!B:H,7,FALSE)</f>
        <v>TETAP</v>
      </c>
      <c r="E7" s="190" t="s">
        <v>330</v>
      </c>
      <c r="F7" s="190" t="str">
        <f>VLOOKUP(B7,Dosen!B:BW,35,FALSE)</f>
        <v>TB</v>
      </c>
      <c r="G7" s="190">
        <v>19880005</v>
      </c>
      <c r="H7" s="190">
        <v>721068802</v>
      </c>
      <c r="I7" s="190" t="s">
        <v>854</v>
      </c>
      <c r="J7" s="190" t="s">
        <v>847</v>
      </c>
      <c r="K7" s="190" t="s">
        <v>21</v>
      </c>
      <c r="L7" s="191" t="s">
        <v>872</v>
      </c>
      <c r="M7" s="192" t="s">
        <v>2134</v>
      </c>
      <c r="N7" s="192" t="s">
        <v>862</v>
      </c>
      <c r="O7" t="str">
        <f>VLOOKUP(B7,Dosen!B:BW,74,FALSE)</f>
        <v xml:space="preserve">8 tahun 0 bulan </v>
      </c>
    </row>
    <row r="8" spans="1:15">
      <c r="A8" s="190">
        <f t="shared" si="0"/>
        <v>7</v>
      </c>
      <c r="B8" s="190" t="s">
        <v>357</v>
      </c>
      <c r="C8" s="190" t="s">
        <v>2645</v>
      </c>
      <c r="D8" s="190" t="str">
        <f>VLOOKUP(B8,Dosen!B:H,7,FALSE)</f>
        <v>PROFESIONAL</v>
      </c>
      <c r="E8" s="190" t="s">
        <v>330</v>
      </c>
      <c r="F8" s="190" t="str">
        <f>VLOOKUP(B8,Dosen!B:BW,35,FALSE)</f>
        <v> </v>
      </c>
      <c r="G8" s="190">
        <v>21950014</v>
      </c>
      <c r="H8" s="190">
        <v>727069503</v>
      </c>
      <c r="I8" s="190" t="s">
        <v>854</v>
      </c>
      <c r="J8" s="190" t="s">
        <v>918</v>
      </c>
      <c r="K8" s="190" t="s">
        <v>21</v>
      </c>
      <c r="L8" s="191" t="s">
        <v>872</v>
      </c>
      <c r="M8" s="192" t="s">
        <v>2133</v>
      </c>
      <c r="N8" s="192" t="s">
        <v>871</v>
      </c>
      <c r="O8" t="str">
        <f>VLOOKUP(B8,Dosen!B:BW,74,FALSE)</f>
        <v xml:space="preserve">3 tahun 3 bulan </v>
      </c>
    </row>
    <row r="9" spans="1:15">
      <c r="A9" s="190">
        <f t="shared" si="0"/>
        <v>8</v>
      </c>
      <c r="B9" s="190" t="s">
        <v>339</v>
      </c>
      <c r="C9" s="190" t="s">
        <v>2421</v>
      </c>
      <c r="D9" s="190" t="str">
        <f>VLOOKUP(B9,Dosen!B:H,7,FALSE)</f>
        <v>TETAP</v>
      </c>
      <c r="E9" s="190" t="s">
        <v>330</v>
      </c>
      <c r="F9" s="190" t="str">
        <f>VLOOKUP(B9,Dosen!B:BW,35,FALSE)</f>
        <v>TB</v>
      </c>
      <c r="G9" s="190">
        <v>19870005</v>
      </c>
      <c r="H9" s="190">
        <v>713068702</v>
      </c>
      <c r="I9" s="190" t="s">
        <v>854</v>
      </c>
      <c r="J9" s="190" t="s">
        <v>847</v>
      </c>
      <c r="K9" s="190" t="s">
        <v>21</v>
      </c>
      <c r="L9" s="191" t="s">
        <v>872</v>
      </c>
      <c r="M9" s="192" t="s">
        <v>2132</v>
      </c>
      <c r="N9" s="192" t="s">
        <v>871</v>
      </c>
      <c r="O9" t="str">
        <f>VLOOKUP(B9,Dosen!B:BW,74,FALSE)</f>
        <v xml:space="preserve">8 tahun 0 bulan </v>
      </c>
    </row>
    <row r="10" spans="1:15">
      <c r="A10" s="190">
        <f t="shared" si="0"/>
        <v>9</v>
      </c>
      <c r="B10" s="190" t="s">
        <v>427</v>
      </c>
      <c r="C10" s="190" t="s">
        <v>2529</v>
      </c>
      <c r="D10" s="190" t="str">
        <f>VLOOKUP(B10,Dosen!B:H,7,FALSE)</f>
        <v>TETAP</v>
      </c>
      <c r="E10" s="190" t="s">
        <v>413</v>
      </c>
      <c r="F10" s="190" t="str">
        <f>VLOOKUP(B10,Dosen!B:BW,35,FALSE)</f>
        <v> </v>
      </c>
      <c r="G10" s="190">
        <v>22730002</v>
      </c>
      <c r="H10" s="190">
        <v>727097302</v>
      </c>
      <c r="I10" s="190" t="s">
        <v>879</v>
      </c>
      <c r="J10" s="190" t="s">
        <v>775</v>
      </c>
      <c r="K10" s="190" t="s">
        <v>1000</v>
      </c>
      <c r="L10" s="191" t="s">
        <v>872</v>
      </c>
      <c r="M10" s="192" t="s">
        <v>2134</v>
      </c>
      <c r="N10" s="192" t="s">
        <v>882</v>
      </c>
      <c r="O10" t="str">
        <f>VLOOKUP(B10,Dosen!B:BW,74,FALSE)</f>
        <v xml:space="preserve">5 tahun 4 bulan </v>
      </c>
    </row>
    <row r="11" spans="1:15">
      <c r="A11" s="190">
        <f t="shared" si="0"/>
        <v>10</v>
      </c>
      <c r="B11" s="190" t="s">
        <v>412</v>
      </c>
      <c r="C11" s="190" t="s">
        <v>2495</v>
      </c>
      <c r="D11" s="190" t="str">
        <f>VLOOKUP(B11,Dosen!B:H,7,FALSE)</f>
        <v>TETAP</v>
      </c>
      <c r="E11" s="190" t="s">
        <v>413</v>
      </c>
      <c r="F11" s="190" t="str">
        <f>VLOOKUP(B11,Dosen!B:BW,35,FALSE)</f>
        <v>TB</v>
      </c>
      <c r="G11" s="190">
        <v>20930033</v>
      </c>
      <c r="H11" s="190">
        <v>714029301</v>
      </c>
      <c r="I11" s="190" t="s">
        <v>854</v>
      </c>
      <c r="J11" s="190" t="s">
        <v>775</v>
      </c>
      <c r="K11" s="190" t="s">
        <v>21</v>
      </c>
      <c r="L11" s="191" t="s">
        <v>872</v>
      </c>
      <c r="M11" s="192" t="s">
        <v>2134</v>
      </c>
      <c r="N11" s="192" t="s">
        <v>871</v>
      </c>
      <c r="O11" t="str">
        <f>VLOOKUP(B11,Dosen!B:BW,74,FALSE)</f>
        <v xml:space="preserve">7 tahun 6 bulan </v>
      </c>
    </row>
    <row r="12" spans="1:15">
      <c r="A12" s="190">
        <f t="shared" si="0"/>
        <v>11</v>
      </c>
      <c r="B12" s="190" t="s">
        <v>442</v>
      </c>
      <c r="C12" s="190" t="s">
        <v>2676</v>
      </c>
      <c r="D12" s="190" t="str">
        <f>VLOOKUP(B12,Dosen!B:H,7,FALSE)</f>
        <v>PROFESIONAL</v>
      </c>
      <c r="E12" s="190" t="s">
        <v>413</v>
      </c>
      <c r="F12" s="190" t="str">
        <f>VLOOKUP(B12,Dosen!B:BW,35,FALSE)</f>
        <v> </v>
      </c>
      <c r="G12" s="190">
        <v>23910008</v>
      </c>
      <c r="H12" s="190">
        <v>404109105</v>
      </c>
      <c r="I12" s="190" t="s">
        <v>854</v>
      </c>
      <c r="J12" s="190" t="s">
        <v>918</v>
      </c>
      <c r="K12" s="190" t="s">
        <v>21</v>
      </c>
      <c r="L12" s="191" t="s">
        <v>872</v>
      </c>
      <c r="M12" s="192" t="s">
        <v>2134</v>
      </c>
      <c r="N12" s="192" t="s">
        <v>862</v>
      </c>
      <c r="O12" t="str">
        <f>VLOOKUP(B12,Dosen!B:BW,74,FALSE)</f>
        <v xml:space="preserve">2 tahun 4 bulan </v>
      </c>
    </row>
    <row r="13" spans="1:15">
      <c r="A13" s="190">
        <f t="shared" si="0"/>
        <v>12</v>
      </c>
      <c r="B13" s="190" t="s">
        <v>417</v>
      </c>
      <c r="C13" s="190" t="s">
        <v>2466</v>
      </c>
      <c r="D13" s="190" t="str">
        <f>VLOOKUP(B13,Dosen!B:H,7,FALSE)</f>
        <v>PROFESIONAL</v>
      </c>
      <c r="E13" s="190" t="s">
        <v>413</v>
      </c>
      <c r="F13" s="190" t="str">
        <f>VLOOKUP(B13,Dosen!B:BW,35,FALSE)</f>
        <v> </v>
      </c>
      <c r="G13" s="190">
        <v>17910092</v>
      </c>
      <c r="H13" s="190">
        <v>701129102</v>
      </c>
      <c r="I13" s="190" t="s">
        <v>879</v>
      </c>
      <c r="J13" s="190" t="s">
        <v>918</v>
      </c>
      <c r="K13" s="190" t="s">
        <v>21</v>
      </c>
      <c r="L13" s="191" t="s">
        <v>872</v>
      </c>
      <c r="M13" s="193" t="s">
        <v>2134</v>
      </c>
      <c r="N13" s="192" t="s">
        <v>862</v>
      </c>
      <c r="O13" t="str">
        <f>VLOOKUP(B13,Dosen!B:BW,74,FALSE)</f>
        <v xml:space="preserve">8 tahun 0 bulan </v>
      </c>
    </row>
    <row r="14" spans="1:15">
      <c r="A14" s="190">
        <f t="shared" si="0"/>
        <v>13</v>
      </c>
      <c r="B14" s="190" t="s">
        <v>514</v>
      </c>
      <c r="C14" s="190" t="s">
        <v>2653</v>
      </c>
      <c r="D14" s="190" t="str">
        <f>VLOOKUP(B14,Dosen!B:H,7,FALSE)</f>
        <v>PROFESIONAL</v>
      </c>
      <c r="E14" s="190" t="s">
        <v>475</v>
      </c>
      <c r="F14" s="190" t="str">
        <f>VLOOKUP(B14,Dosen!B:BW,35,FALSE)</f>
        <v> </v>
      </c>
      <c r="G14" s="190">
        <v>23900001</v>
      </c>
      <c r="H14" s="190">
        <v>30079001</v>
      </c>
      <c r="I14" s="190" t="s">
        <v>879</v>
      </c>
      <c r="J14" s="190" t="s">
        <v>918</v>
      </c>
      <c r="K14" s="190" t="s">
        <v>1019</v>
      </c>
      <c r="L14" s="191" t="s">
        <v>872</v>
      </c>
      <c r="M14" s="193" t="s">
        <v>2135</v>
      </c>
      <c r="N14" s="192" t="s">
        <v>862</v>
      </c>
      <c r="O14" t="str">
        <f>VLOOKUP(B14,Dosen!B:BW,74,FALSE)</f>
        <v xml:space="preserve">3 tahun 0 bulan </v>
      </c>
    </row>
    <row r="15" spans="1:15">
      <c r="A15" s="190">
        <f t="shared" si="0"/>
        <v>14</v>
      </c>
      <c r="B15" s="190" t="s">
        <v>488</v>
      </c>
      <c r="C15" s="190" t="s">
        <v>2656</v>
      </c>
      <c r="D15" s="190" t="str">
        <f>VLOOKUP(B15,Dosen!B:H,7,FALSE)</f>
        <v>TETAP</v>
      </c>
      <c r="E15" s="190" t="s">
        <v>475</v>
      </c>
      <c r="F15" s="190" t="str">
        <f>VLOOKUP(B15,Dosen!B:BW,35,FALSE)</f>
        <v> </v>
      </c>
      <c r="G15" s="190">
        <v>22760004</v>
      </c>
      <c r="H15" s="190">
        <v>1001017601</v>
      </c>
      <c r="I15" s="190" t="s">
        <v>879</v>
      </c>
      <c r="J15" s="190" t="s">
        <v>776</v>
      </c>
      <c r="K15" s="190" t="s">
        <v>1225</v>
      </c>
      <c r="L15" s="191" t="s">
        <v>872</v>
      </c>
      <c r="M15" s="193" t="s">
        <v>2136</v>
      </c>
      <c r="N15" s="192" t="s">
        <v>862</v>
      </c>
      <c r="O15" t="str">
        <f>VLOOKUP(B15,Dosen!B:BW,74,FALSE)</f>
        <v xml:space="preserve">3 tahun 3 bulan </v>
      </c>
    </row>
    <row r="16" spans="1:15">
      <c r="A16" s="190">
        <f t="shared" si="0"/>
        <v>15</v>
      </c>
      <c r="B16" s="190" t="s">
        <v>506</v>
      </c>
      <c r="C16" s="190" t="s">
        <v>2577</v>
      </c>
      <c r="D16" s="190" t="str">
        <f>VLOOKUP(B16,Dosen!B:H,7,FALSE)</f>
        <v>PROFESIONAL</v>
      </c>
      <c r="E16" s="190" t="s">
        <v>475</v>
      </c>
      <c r="F16" s="190" t="str">
        <f>VLOOKUP(B16,Dosen!B:BW,35,FALSE)</f>
        <v> </v>
      </c>
      <c r="G16" s="190">
        <v>22960009</v>
      </c>
      <c r="H16" s="190">
        <v>714029601</v>
      </c>
      <c r="I16" s="190" t="s">
        <v>854</v>
      </c>
      <c r="J16" s="190" t="s">
        <v>918</v>
      </c>
      <c r="K16" s="190" t="s">
        <v>21</v>
      </c>
      <c r="L16" s="191" t="s">
        <v>872</v>
      </c>
      <c r="M16" s="193" t="s">
        <v>2136</v>
      </c>
      <c r="N16" s="192"/>
      <c r="O16" t="str">
        <f>VLOOKUP(B16,Dosen!B:BW,74,FALSE)</f>
        <v xml:space="preserve">3 tahun 9 bulan </v>
      </c>
    </row>
    <row r="17" spans="1:15">
      <c r="A17" s="190">
        <f t="shared" si="0"/>
        <v>16</v>
      </c>
      <c r="B17" s="190" t="s">
        <v>501</v>
      </c>
      <c r="C17" s="190" t="s">
        <v>2565</v>
      </c>
      <c r="D17" s="190" t="str">
        <f>VLOOKUP(B17,Dosen!B:H,7,FALSE)</f>
        <v>TETAP</v>
      </c>
      <c r="E17" s="190" t="s">
        <v>475</v>
      </c>
      <c r="F17" s="190" t="str">
        <f>VLOOKUP(B17,Dosen!B:BW,35,FALSE)</f>
        <v> </v>
      </c>
      <c r="G17" s="190">
        <v>20910026</v>
      </c>
      <c r="H17" s="190">
        <v>722119101</v>
      </c>
      <c r="I17" s="190" t="s">
        <v>879</v>
      </c>
      <c r="J17" s="190" t="s">
        <v>775</v>
      </c>
      <c r="K17" s="190" t="s">
        <v>1000</v>
      </c>
      <c r="L17" s="191" t="s">
        <v>872</v>
      </c>
      <c r="M17" s="193" t="s">
        <v>2136</v>
      </c>
      <c r="N17" s="192" t="s">
        <v>882</v>
      </c>
      <c r="O17" t="str">
        <f>VLOOKUP(B17,Dosen!B:BW,74,FALSE)</f>
        <v xml:space="preserve">5 tahun 10 bulan </v>
      </c>
    </row>
    <row r="18" spans="1:15">
      <c r="A18" s="190">
        <f t="shared" si="0"/>
        <v>17</v>
      </c>
      <c r="B18" s="190" t="s">
        <v>484</v>
      </c>
      <c r="C18" s="190" t="s">
        <v>2464</v>
      </c>
      <c r="D18" s="190" t="str">
        <f>VLOOKUP(B18,Dosen!B:H,7,FALSE)</f>
        <v>TETAP</v>
      </c>
      <c r="E18" s="190" t="s">
        <v>475</v>
      </c>
      <c r="F18" s="190" t="str">
        <f>VLOOKUP(B18,Dosen!B:BW,35,FALSE)</f>
        <v>TB</v>
      </c>
      <c r="G18" s="190">
        <v>19900004</v>
      </c>
      <c r="H18" s="190">
        <v>727059002</v>
      </c>
      <c r="I18" s="190" t="s">
        <v>854</v>
      </c>
      <c r="J18" s="190" t="s">
        <v>847</v>
      </c>
      <c r="K18" s="190" t="s">
        <v>21</v>
      </c>
      <c r="L18" s="191" t="s">
        <v>872</v>
      </c>
      <c r="M18" s="193" t="s">
        <v>2135</v>
      </c>
      <c r="N18" s="192" t="s">
        <v>882</v>
      </c>
      <c r="O18" t="str">
        <f>VLOOKUP(B18,Dosen!B:BW,74,FALSE)</f>
        <v xml:space="preserve">8 tahun 0 bulan </v>
      </c>
    </row>
    <row r="19" spans="1:15">
      <c r="A19" s="190">
        <f t="shared" si="0"/>
        <v>18</v>
      </c>
      <c r="B19" s="190" t="s">
        <v>492</v>
      </c>
      <c r="C19" s="190" t="s">
        <v>2470</v>
      </c>
      <c r="D19" s="190" t="str">
        <f>VLOOKUP(B19,Dosen!B:H,7,FALSE)</f>
        <v>TETAP</v>
      </c>
      <c r="E19" s="190" t="s">
        <v>475</v>
      </c>
      <c r="F19" s="190" t="str">
        <f>VLOOKUP(B19,Dosen!B:BW,35,FALSE)</f>
        <v> </v>
      </c>
      <c r="G19" s="190">
        <v>19940001</v>
      </c>
      <c r="H19" s="190">
        <v>703049401</v>
      </c>
      <c r="I19" s="190" t="s">
        <v>879</v>
      </c>
      <c r="J19" s="190" t="s">
        <v>775</v>
      </c>
      <c r="K19" s="190" t="s">
        <v>1019</v>
      </c>
      <c r="L19" s="194" t="s">
        <v>872</v>
      </c>
      <c r="M19" s="193" t="s">
        <v>2136</v>
      </c>
      <c r="N19" s="192" t="s">
        <v>862</v>
      </c>
      <c r="O19" t="str">
        <f>VLOOKUP(B19,Dosen!B:BW,74,FALSE)</f>
        <v xml:space="preserve">8 tahun 0 bulan </v>
      </c>
    </row>
    <row r="20" spans="1:15">
      <c r="A20" s="190">
        <f t="shared" si="0"/>
        <v>19</v>
      </c>
      <c r="B20" s="190" t="s">
        <v>480</v>
      </c>
      <c r="C20" s="190" t="s">
        <v>952</v>
      </c>
      <c r="D20" s="190" t="str">
        <f>VLOOKUP(B20,Dosen!B:H,7,FALSE)</f>
        <v>TETAP</v>
      </c>
      <c r="E20" s="190" t="s">
        <v>475</v>
      </c>
      <c r="F20" s="190" t="str">
        <f>VLOOKUP(B20,Dosen!B:BW,35,FALSE)</f>
        <v> </v>
      </c>
      <c r="G20" s="190">
        <v>17780080</v>
      </c>
      <c r="H20" s="190">
        <v>408067804</v>
      </c>
      <c r="I20" s="190" t="s">
        <v>854</v>
      </c>
      <c r="J20" s="190" t="s">
        <v>847</v>
      </c>
      <c r="K20" s="190" t="s">
        <v>21</v>
      </c>
      <c r="L20" s="191" t="s">
        <v>872</v>
      </c>
      <c r="M20" s="193" t="s">
        <v>2135</v>
      </c>
      <c r="N20" s="192" t="s">
        <v>882</v>
      </c>
      <c r="O20" t="str">
        <f>VLOOKUP(B20,Dosen!B:BW,74,FALSE)</f>
        <v xml:space="preserve">8 tahun 0 bulan </v>
      </c>
    </row>
    <row r="21" spans="1:15">
      <c r="A21" s="190">
        <f t="shared" si="0"/>
        <v>20</v>
      </c>
      <c r="B21" s="190" t="s">
        <v>497</v>
      </c>
      <c r="C21" s="190" t="s">
        <v>2527</v>
      </c>
      <c r="D21" s="190" t="str">
        <f>VLOOKUP(B21,Dosen!B:H,7,FALSE)</f>
        <v>PROFESIONAL</v>
      </c>
      <c r="E21" s="190" t="s">
        <v>475</v>
      </c>
      <c r="F21" s="190" t="str">
        <f>VLOOKUP(B21,Dosen!B:BW,35,FALSE)</f>
        <v> </v>
      </c>
      <c r="G21" s="190">
        <v>20910025</v>
      </c>
      <c r="H21" s="190">
        <v>720019102</v>
      </c>
      <c r="I21" s="190" t="s">
        <v>854</v>
      </c>
      <c r="J21" s="190" t="s">
        <v>918</v>
      </c>
      <c r="K21" s="190" t="s">
        <v>21</v>
      </c>
      <c r="L21" s="191" t="s">
        <v>872</v>
      </c>
      <c r="M21" s="193" t="s">
        <v>2136</v>
      </c>
      <c r="N21" s="192" t="s">
        <v>882</v>
      </c>
      <c r="O21" t="str">
        <f>VLOOKUP(B21,Dosen!B:BW,74,FALSE)</f>
        <v xml:space="preserve">5 tahun 10 bulan </v>
      </c>
    </row>
    <row r="22" spans="1:15">
      <c r="A22" s="190">
        <f t="shared" si="0"/>
        <v>21</v>
      </c>
      <c r="B22" s="190" t="s">
        <v>474</v>
      </c>
      <c r="C22" s="190" t="s">
        <v>2733</v>
      </c>
      <c r="D22" s="190" t="str">
        <f>VLOOKUP(B22,Dosen!B:H,7,FALSE)</f>
        <v>TETAP</v>
      </c>
      <c r="E22" s="190" t="s">
        <v>475</v>
      </c>
      <c r="F22" s="190" t="str">
        <f>VLOOKUP(B22,Dosen!B:BW,35,FALSE)</f>
        <v> </v>
      </c>
      <c r="G22" s="190">
        <v>18620029</v>
      </c>
      <c r="H22" s="190">
        <v>728016901</v>
      </c>
      <c r="I22" s="190" t="s">
        <v>854</v>
      </c>
      <c r="J22" s="190" t="s">
        <v>847</v>
      </c>
      <c r="K22" s="190" t="s">
        <v>21</v>
      </c>
      <c r="L22" s="191" t="s">
        <v>872</v>
      </c>
      <c r="M22" s="193" t="s">
        <v>2136</v>
      </c>
      <c r="N22" s="192" t="s">
        <v>871</v>
      </c>
      <c r="O22" t="str">
        <f>VLOOKUP(B22,Dosen!B:BW,74,FALSE)</f>
        <v xml:space="preserve">8 tahun 0 bulan </v>
      </c>
    </row>
    <row r="23" spans="1:15">
      <c r="A23" s="190">
        <f t="shared" si="0"/>
        <v>22</v>
      </c>
      <c r="B23" s="190" t="s">
        <v>519</v>
      </c>
      <c r="C23" s="190" t="s">
        <v>2435</v>
      </c>
      <c r="D23" s="190" t="str">
        <f>VLOOKUP(B23,Dosen!B:H,7,FALSE)</f>
        <v>TETAP</v>
      </c>
      <c r="E23" s="190" t="s">
        <v>475</v>
      </c>
      <c r="F23" s="190" t="str">
        <f>VLOOKUP(B23,Dosen!B:BW,35,FALSE)</f>
        <v>TB</v>
      </c>
      <c r="G23" s="190">
        <v>19890002</v>
      </c>
      <c r="H23" s="190">
        <v>713108902</v>
      </c>
      <c r="I23" s="190" t="s">
        <v>854</v>
      </c>
      <c r="J23" s="190" t="s">
        <v>847</v>
      </c>
      <c r="K23" s="190" t="s">
        <v>21</v>
      </c>
      <c r="L23" s="191" t="s">
        <v>872</v>
      </c>
      <c r="M23" s="193" t="s">
        <v>2136</v>
      </c>
      <c r="N23" s="192" t="s">
        <v>862</v>
      </c>
      <c r="O23" t="str">
        <f>VLOOKUP(B23,Dosen!B:BW,74,FALSE)</f>
        <v xml:space="preserve">8 tahun 0 bulan </v>
      </c>
    </row>
    <row r="24" spans="1:15">
      <c r="A24" s="190">
        <f t="shared" si="0"/>
        <v>23</v>
      </c>
      <c r="B24" s="190" t="s">
        <v>60</v>
      </c>
      <c r="C24" s="190" t="s">
        <v>2616</v>
      </c>
      <c r="D24" s="190" t="str">
        <f>VLOOKUP(B24,Dosen!B:H,7,FALSE)</f>
        <v>PERBANTUAN</v>
      </c>
      <c r="E24" s="190" t="s">
        <v>22</v>
      </c>
      <c r="F24" s="190" t="str">
        <f>VLOOKUP(B24,Dosen!B:BW,35,FALSE)</f>
        <v> </v>
      </c>
      <c r="G24" s="190">
        <v>15720039</v>
      </c>
      <c r="H24" s="195" t="s">
        <v>61</v>
      </c>
      <c r="I24" s="190" t="s">
        <v>854</v>
      </c>
      <c r="J24" s="190" t="s">
        <v>918</v>
      </c>
      <c r="K24" s="190" t="s">
        <v>2734</v>
      </c>
      <c r="L24" s="191" t="s">
        <v>863</v>
      </c>
      <c r="M24" s="193" t="s">
        <v>2120</v>
      </c>
      <c r="N24" s="192" t="s">
        <v>871</v>
      </c>
      <c r="O24" t="str">
        <f>VLOOKUP(B24,Dosen!B:BW,74,FALSE)</f>
        <v xml:space="preserve">4 tahun 0 bulan </v>
      </c>
    </row>
    <row r="25" spans="1:15">
      <c r="A25" s="190">
        <f t="shared" si="0"/>
        <v>24</v>
      </c>
      <c r="B25" s="190" t="s">
        <v>19</v>
      </c>
      <c r="C25" s="190" t="s">
        <v>2703</v>
      </c>
      <c r="D25" s="190" t="str">
        <f>VLOOKUP(B25,Dosen!B:H,7,FALSE)</f>
        <v>PROFESIONAL</v>
      </c>
      <c r="E25" s="190" t="s">
        <v>22</v>
      </c>
      <c r="F25" s="190" t="str">
        <f>VLOOKUP(B25,Dosen!B:BW,35,FALSE)</f>
        <v> </v>
      </c>
      <c r="G25" s="190">
        <v>24800005</v>
      </c>
      <c r="H25" s="190">
        <v>730088001</v>
      </c>
      <c r="I25" s="190" t="s">
        <v>879</v>
      </c>
      <c r="J25" s="190" t="s">
        <v>775</v>
      </c>
      <c r="K25" s="190" t="s">
        <v>21</v>
      </c>
      <c r="L25" s="191" t="s">
        <v>863</v>
      </c>
      <c r="M25" s="192" t="s">
        <v>2120</v>
      </c>
      <c r="N25" s="192" t="s">
        <v>871</v>
      </c>
      <c r="O25" t="str">
        <f>VLOOKUP(B25,Dosen!B:BW,74,FALSE)</f>
        <v xml:space="preserve">1 tahun 3 bulan </v>
      </c>
    </row>
    <row r="26" spans="1:15">
      <c r="A26" s="190">
        <f t="shared" si="0"/>
        <v>25</v>
      </c>
      <c r="B26" s="190" t="s">
        <v>50</v>
      </c>
      <c r="C26" s="190" t="s">
        <v>2598</v>
      </c>
      <c r="D26" s="190" t="str">
        <f>VLOOKUP(B26,Dosen!B:H,7,FALSE)</f>
        <v>TETAP</v>
      </c>
      <c r="E26" s="190" t="s">
        <v>22</v>
      </c>
      <c r="F26" s="190" t="str">
        <f>VLOOKUP(B26,Dosen!B:BW,35,FALSE)</f>
        <v> </v>
      </c>
      <c r="G26" s="190">
        <v>15890076</v>
      </c>
      <c r="H26" s="190">
        <v>708128901</v>
      </c>
      <c r="I26" s="190" t="s">
        <v>854</v>
      </c>
      <c r="J26" s="190" t="s">
        <v>847</v>
      </c>
      <c r="K26" s="190" t="s">
        <v>1000</v>
      </c>
      <c r="L26" s="191" t="s">
        <v>863</v>
      </c>
      <c r="M26" s="193" t="s">
        <v>2122</v>
      </c>
      <c r="N26" s="192" t="s">
        <v>862</v>
      </c>
      <c r="O26" t="str">
        <f>VLOOKUP(B26,Dosen!B:BW,74,FALSE)</f>
        <v xml:space="preserve">3 tahun 9 bulan </v>
      </c>
    </row>
    <row r="27" spans="1:15">
      <c r="A27" s="190">
        <f t="shared" si="0"/>
        <v>26</v>
      </c>
      <c r="B27" s="190" t="s">
        <v>28</v>
      </c>
      <c r="C27" s="190" t="s">
        <v>2605</v>
      </c>
      <c r="D27" s="190" t="str">
        <f>VLOOKUP(B27,Dosen!B:H,7,FALSE)</f>
        <v>PROFESIONAL</v>
      </c>
      <c r="E27" s="190" t="s">
        <v>22</v>
      </c>
      <c r="F27" s="190" t="str">
        <f>VLOOKUP(B27,Dosen!B:BW,35,FALSE)</f>
        <v>IB</v>
      </c>
      <c r="G27" s="190">
        <v>22920004</v>
      </c>
      <c r="H27" s="190">
        <v>309069201</v>
      </c>
      <c r="I27" s="190" t="s">
        <v>854</v>
      </c>
      <c r="J27" s="190" t="s">
        <v>847</v>
      </c>
      <c r="K27" s="190" t="s">
        <v>21</v>
      </c>
      <c r="L27" s="191" t="s">
        <v>863</v>
      </c>
      <c r="M27" s="193" t="s">
        <v>2120</v>
      </c>
      <c r="N27" s="192" t="s">
        <v>871</v>
      </c>
      <c r="O27" t="str">
        <f>VLOOKUP(B27,Dosen!B:BW,74,FALSE)</f>
        <v xml:space="preserve">3 tahun 9 bulan </v>
      </c>
    </row>
    <row r="28" spans="1:15">
      <c r="A28" s="190">
        <f t="shared" si="0"/>
        <v>27</v>
      </c>
      <c r="B28" s="190" t="s">
        <v>34</v>
      </c>
      <c r="C28" s="190" t="s">
        <v>2487</v>
      </c>
      <c r="D28" s="190" t="str">
        <f>VLOOKUP(B28,Dosen!B:H,7,FALSE)</f>
        <v>TETAP</v>
      </c>
      <c r="E28" s="190" t="s">
        <v>22</v>
      </c>
      <c r="F28" s="190" t="str">
        <f>VLOOKUP(B28,Dosen!B:BW,35,FALSE)</f>
        <v>TB</v>
      </c>
      <c r="G28" s="190">
        <v>19900005</v>
      </c>
      <c r="H28" s="190">
        <v>722069004</v>
      </c>
      <c r="I28" s="190" t="s">
        <v>854</v>
      </c>
      <c r="J28" s="190" t="s">
        <v>847</v>
      </c>
      <c r="K28" s="190" t="s">
        <v>21</v>
      </c>
      <c r="L28" s="191" t="s">
        <v>863</v>
      </c>
      <c r="M28" s="193" t="s">
        <v>2120</v>
      </c>
      <c r="N28" s="192" t="s">
        <v>862</v>
      </c>
      <c r="O28" t="str">
        <f>VLOOKUP(B28,Dosen!B:BW,74,FALSE)</f>
        <v xml:space="preserve">8 tahun 0 bulan </v>
      </c>
    </row>
    <row r="29" spans="1:15">
      <c r="A29" s="190">
        <f t="shared" si="0"/>
        <v>28</v>
      </c>
      <c r="B29" s="190" t="s">
        <v>76</v>
      </c>
      <c r="C29" s="190" t="s">
        <v>2678</v>
      </c>
      <c r="D29" s="190" t="str">
        <f>VLOOKUP(B29,Dosen!B:H,7,FALSE)</f>
        <v>PROFESIONAL</v>
      </c>
      <c r="E29" s="190" t="s">
        <v>22</v>
      </c>
      <c r="F29" s="190" t="str">
        <f>VLOOKUP(B29,Dosen!B:BW,35,FALSE)</f>
        <v> </v>
      </c>
      <c r="G29" s="190">
        <v>23990019</v>
      </c>
      <c r="H29" s="190">
        <v>704069901</v>
      </c>
      <c r="I29" s="190" t="s">
        <v>854</v>
      </c>
      <c r="J29" s="190" t="s">
        <v>918</v>
      </c>
      <c r="K29" s="190" t="s">
        <v>21</v>
      </c>
      <c r="L29" s="191" t="s">
        <v>863</v>
      </c>
      <c r="M29" s="193" t="s">
        <v>2120</v>
      </c>
      <c r="N29" s="192" t="s">
        <v>871</v>
      </c>
      <c r="O29" t="str">
        <f>VLOOKUP(B29,Dosen!B:BW,74,FALSE)</f>
        <v xml:space="preserve">2 tahun 4 bulan </v>
      </c>
    </row>
    <row r="30" spans="1:15">
      <c r="A30" s="190">
        <f t="shared" si="0"/>
        <v>29</v>
      </c>
      <c r="B30" s="190" t="s">
        <v>84</v>
      </c>
      <c r="C30" s="190" t="s">
        <v>2698</v>
      </c>
      <c r="D30" s="190" t="str">
        <f>VLOOKUP(B30,Dosen!B:H,7,FALSE)</f>
        <v>PROFESIONAL</v>
      </c>
      <c r="E30" s="190" t="s">
        <v>22</v>
      </c>
      <c r="F30" s="190" t="str">
        <f>VLOOKUP(B30,Dosen!B:BW,35,FALSE)</f>
        <v>IB</v>
      </c>
      <c r="G30" s="190">
        <v>24970010</v>
      </c>
      <c r="H30" s="190">
        <v>5430000012</v>
      </c>
      <c r="I30" s="190" t="s">
        <v>854</v>
      </c>
      <c r="J30" s="190" t="s">
        <v>918</v>
      </c>
      <c r="K30" s="190" t="s">
        <v>21</v>
      </c>
      <c r="L30" s="191" t="s">
        <v>863</v>
      </c>
      <c r="M30" s="193" t="s">
        <v>2120</v>
      </c>
      <c r="N30" s="192" t="s">
        <v>871</v>
      </c>
      <c r="O30" t="str">
        <f>VLOOKUP(B30,Dosen!B:BW,74,FALSE)</f>
        <v xml:space="preserve">1 tahun 4 bulan </v>
      </c>
    </row>
    <row r="31" spans="1:15">
      <c r="A31" s="190">
        <f t="shared" si="0"/>
        <v>30</v>
      </c>
      <c r="B31" s="190" t="s">
        <v>81</v>
      </c>
      <c r="C31" s="190" t="s">
        <v>2695</v>
      </c>
      <c r="D31" s="190" t="str">
        <f>VLOOKUP(B31,Dosen!B:H,7,FALSE)</f>
        <v>PROFESIONAL</v>
      </c>
      <c r="E31" s="190" t="s">
        <v>22</v>
      </c>
      <c r="F31" s="190" t="str">
        <f>VLOOKUP(B31,Dosen!B:BW,35,FALSE)</f>
        <v>IB</v>
      </c>
      <c r="G31" s="190">
        <v>24870001</v>
      </c>
      <c r="H31" s="190">
        <v>701108702</v>
      </c>
      <c r="I31" s="190" t="s">
        <v>854</v>
      </c>
      <c r="J31" s="190" t="s">
        <v>847</v>
      </c>
      <c r="K31" s="190" t="s">
        <v>21</v>
      </c>
      <c r="L31" s="191" t="s">
        <v>863</v>
      </c>
      <c r="M31" s="193" t="s">
        <v>2120</v>
      </c>
      <c r="N31" s="192" t="s">
        <v>882</v>
      </c>
      <c r="O31" t="str">
        <f>VLOOKUP(B31,Dosen!B:BW,74,FALSE)</f>
        <v xml:space="preserve">1 tahun 5 bulan </v>
      </c>
    </row>
    <row r="32" spans="1:15">
      <c r="A32" s="190">
        <f t="shared" si="0"/>
        <v>31</v>
      </c>
      <c r="B32" s="190" t="s">
        <v>40</v>
      </c>
      <c r="C32" s="190" t="s">
        <v>2535</v>
      </c>
      <c r="D32" s="190" t="str">
        <f>VLOOKUP(B32,Dosen!B:H,7,FALSE)</f>
        <v>TETAP</v>
      </c>
      <c r="E32" s="190" t="s">
        <v>22</v>
      </c>
      <c r="F32" s="190" t="str">
        <f>VLOOKUP(B32,Dosen!B:BW,35,FALSE)</f>
        <v> </v>
      </c>
      <c r="G32" s="190">
        <v>24930005</v>
      </c>
      <c r="H32" s="190">
        <v>704029302</v>
      </c>
      <c r="I32" s="190" t="s">
        <v>854</v>
      </c>
      <c r="J32" s="190" t="s">
        <v>847</v>
      </c>
      <c r="K32" s="190" t="s">
        <v>1153</v>
      </c>
      <c r="L32" s="191" t="s">
        <v>863</v>
      </c>
      <c r="M32" s="193" t="s">
        <v>2120</v>
      </c>
      <c r="N32" s="192" t="s">
        <v>871</v>
      </c>
      <c r="O32" t="str">
        <f>VLOOKUP(B32,Dosen!B:BW,74,FALSE)</f>
        <v xml:space="preserve">5 tahun 1 bulan </v>
      </c>
    </row>
    <row r="33" spans="1:15">
      <c r="A33" s="190">
        <f t="shared" si="0"/>
        <v>32</v>
      </c>
      <c r="B33" s="190" t="s">
        <v>55</v>
      </c>
      <c r="C33" s="190" t="s">
        <v>972</v>
      </c>
      <c r="D33" s="190" t="str">
        <f>VLOOKUP(B33,Dosen!B:H,7,FALSE)</f>
        <v>TETAP</v>
      </c>
      <c r="E33" s="190" t="s">
        <v>22</v>
      </c>
      <c r="F33" s="190" t="str">
        <f>VLOOKUP(B33,Dosen!B:BW,35,FALSE)</f>
        <v>IB</v>
      </c>
      <c r="G33" s="190">
        <v>20860014</v>
      </c>
      <c r="H33" s="190">
        <v>710028604</v>
      </c>
      <c r="I33" s="190" t="s">
        <v>854</v>
      </c>
      <c r="J33" s="190" t="s">
        <v>775</v>
      </c>
      <c r="K33" s="190" t="s">
        <v>21</v>
      </c>
      <c r="L33" s="191" t="s">
        <v>863</v>
      </c>
      <c r="M33" s="193" t="s">
        <v>2124</v>
      </c>
      <c r="N33" s="192"/>
      <c r="O33" t="str">
        <f>VLOOKUP(B33,Dosen!B:BW,74,FALSE)</f>
        <v xml:space="preserve">7 tahun 6 bulan </v>
      </c>
    </row>
    <row r="34" spans="1:15">
      <c r="A34" s="190">
        <f t="shared" si="0"/>
        <v>33</v>
      </c>
      <c r="B34" s="190" t="s">
        <v>66</v>
      </c>
      <c r="C34" s="190" t="s">
        <v>1157</v>
      </c>
      <c r="D34" s="190" t="str">
        <f>VLOOKUP(B34,Dosen!B:H,7,FALSE)</f>
        <v>PROFESIONAL</v>
      </c>
      <c r="E34" s="190" t="s">
        <v>22</v>
      </c>
      <c r="F34" s="190" t="str">
        <f>VLOOKUP(B34,Dosen!B:BW,35,FALSE)</f>
        <v> </v>
      </c>
      <c r="G34" s="190">
        <v>22970043</v>
      </c>
      <c r="H34" s="190">
        <v>701069701</v>
      </c>
      <c r="I34" s="190" t="s">
        <v>854</v>
      </c>
      <c r="J34" s="190" t="s">
        <v>847</v>
      </c>
      <c r="K34" s="190" t="s">
        <v>21</v>
      </c>
      <c r="L34" s="191" t="s">
        <v>863</v>
      </c>
      <c r="M34" s="193" t="s">
        <v>2122</v>
      </c>
      <c r="N34" s="192" t="s">
        <v>862</v>
      </c>
      <c r="O34" t="str">
        <f>VLOOKUP(B34,Dosen!B:BW,74,FALSE)</f>
        <v xml:space="preserve">3 tahun 3 bulan </v>
      </c>
    </row>
    <row r="35" spans="1:15">
      <c r="A35" s="190">
        <f t="shared" ref="A35:A66" si="1">A34+1</f>
        <v>34</v>
      </c>
      <c r="B35" s="190" t="s">
        <v>89</v>
      </c>
      <c r="C35" s="190" t="s">
        <v>1306</v>
      </c>
      <c r="D35" s="190" t="str">
        <f>VLOOKUP(B35,Dosen!B:H,7,FALSE)</f>
        <v>PROFESIONAL</v>
      </c>
      <c r="E35" s="190" t="s">
        <v>22</v>
      </c>
      <c r="F35" s="190" t="str">
        <f>VLOOKUP(B35,Dosen!B:BW,35,FALSE)</f>
        <v> </v>
      </c>
      <c r="G35" s="190">
        <v>25950003</v>
      </c>
      <c r="H35" s="190"/>
      <c r="I35" s="190" t="s">
        <v>854</v>
      </c>
      <c r="J35" s="190" t="s">
        <v>918</v>
      </c>
      <c r="K35" s="190" t="s">
        <v>21</v>
      </c>
      <c r="L35" s="191" t="s">
        <v>863</v>
      </c>
      <c r="M35" s="193"/>
      <c r="N35" s="192"/>
      <c r="O35" t="str">
        <f>VLOOKUP(B35,Dosen!B:BW,74,FALSE)</f>
        <v xml:space="preserve">0 tahun 11 bulan </v>
      </c>
    </row>
    <row r="36" spans="1:15">
      <c r="A36" s="190">
        <f t="shared" si="1"/>
        <v>35</v>
      </c>
      <c r="B36" s="190" t="s">
        <v>94</v>
      </c>
      <c r="C36" s="190" t="s">
        <v>941</v>
      </c>
      <c r="D36" s="190" t="str">
        <f>VLOOKUP(B36,Dosen!B:H,7,FALSE)</f>
        <v>PROFESIONAL</v>
      </c>
      <c r="E36" s="190" t="s">
        <v>22</v>
      </c>
      <c r="F36" s="190" t="str">
        <f>VLOOKUP(B36,Dosen!B:BW,35,FALSE)</f>
        <v> </v>
      </c>
      <c r="G36" s="190">
        <v>25980005</v>
      </c>
      <c r="H36" s="190"/>
      <c r="I36" s="190" t="s">
        <v>854</v>
      </c>
      <c r="J36" s="190" t="s">
        <v>918</v>
      </c>
      <c r="K36" s="190" t="s">
        <v>21</v>
      </c>
      <c r="L36" s="191" t="s">
        <v>863</v>
      </c>
      <c r="M36" s="193"/>
      <c r="N36" s="192"/>
      <c r="O36" t="str">
        <f>VLOOKUP(B36,Dosen!B:BW,74,FALSE)</f>
        <v xml:space="preserve">0 tahun 11 bulan </v>
      </c>
    </row>
    <row r="37" spans="1:15">
      <c r="A37" s="190">
        <f t="shared" si="1"/>
        <v>36</v>
      </c>
      <c r="B37" s="190" t="s">
        <v>98</v>
      </c>
      <c r="C37" s="190" t="s">
        <v>1314</v>
      </c>
      <c r="D37" s="190" t="str">
        <f>VLOOKUP(B37,Dosen!B:H,7,FALSE)</f>
        <v>PROFESIONAL</v>
      </c>
      <c r="E37" s="190" t="s">
        <v>22</v>
      </c>
      <c r="F37" s="190">
        <f>VLOOKUP(B37,Dosen!B:BW,35,FALSE)</f>
        <v>0</v>
      </c>
      <c r="G37" s="190">
        <v>25010008</v>
      </c>
      <c r="H37" s="190"/>
      <c r="I37" s="190" t="s">
        <v>854</v>
      </c>
      <c r="J37" s="190" t="s">
        <v>918</v>
      </c>
      <c r="K37" s="190" t="s">
        <v>21</v>
      </c>
      <c r="L37" s="191" t="s">
        <v>863</v>
      </c>
      <c r="M37" s="193"/>
      <c r="N37" s="192"/>
      <c r="O37" t="str">
        <f>VLOOKUP(B37,Dosen!B:BW,74,FALSE)</f>
        <v xml:space="preserve">0 tahun 11 bulan </v>
      </c>
    </row>
    <row r="38" spans="1:15">
      <c r="A38" s="190">
        <f t="shared" si="1"/>
        <v>37</v>
      </c>
      <c r="B38" s="190" t="s">
        <v>102</v>
      </c>
      <c r="C38" s="190" t="s">
        <v>1319</v>
      </c>
      <c r="D38" s="190" t="str">
        <f>VLOOKUP(B38,Dosen!B:H,7,FALSE)</f>
        <v>PROFESIONAL</v>
      </c>
      <c r="E38" s="190" t="s">
        <v>22</v>
      </c>
      <c r="F38" s="190">
        <f>VLOOKUP(B38,Dosen!B:BW,35,FALSE)</f>
        <v>0</v>
      </c>
      <c r="G38" s="190">
        <v>25900003</v>
      </c>
      <c r="H38" s="190"/>
      <c r="I38" s="190" t="s">
        <v>879</v>
      </c>
      <c r="J38" s="190" t="s">
        <v>918</v>
      </c>
      <c r="K38" s="190" t="s">
        <v>21</v>
      </c>
      <c r="L38" s="191" t="s">
        <v>863</v>
      </c>
      <c r="M38" s="192"/>
      <c r="N38" s="192"/>
      <c r="O38" t="str">
        <f>VLOOKUP(B38,Dosen!B:BW,74,FALSE)</f>
        <v xml:space="preserve">1 tahun 0 bulan </v>
      </c>
    </row>
    <row r="39" spans="1:15">
      <c r="A39" s="190">
        <f t="shared" si="1"/>
        <v>38</v>
      </c>
      <c r="B39" s="190" t="s">
        <v>192</v>
      </c>
      <c r="C39" s="190" t="s">
        <v>2600</v>
      </c>
      <c r="D39" s="190" t="str">
        <f>VLOOKUP(B39,Dosen!B:H,7,FALSE)</f>
        <v>TETAP</v>
      </c>
      <c r="E39" s="190" t="s">
        <v>170</v>
      </c>
      <c r="F39" s="190" t="str">
        <f>VLOOKUP(B39,Dosen!B:BW,35,FALSE)</f>
        <v> </v>
      </c>
      <c r="G39" s="190">
        <v>23850011</v>
      </c>
      <c r="H39" s="190">
        <v>728058503</v>
      </c>
      <c r="I39" s="190" t="s">
        <v>854</v>
      </c>
      <c r="J39" s="190" t="s">
        <v>847</v>
      </c>
      <c r="K39" s="190" t="s">
        <v>21</v>
      </c>
      <c r="L39" s="191" t="s">
        <v>863</v>
      </c>
      <c r="M39" s="193" t="s">
        <v>2124</v>
      </c>
      <c r="N39" s="192" t="s">
        <v>862</v>
      </c>
      <c r="O39" t="str">
        <f>VLOOKUP(B39,Dosen!B:BW,74,FALSE)</f>
        <v xml:space="preserve">3 tahun 9 bulan </v>
      </c>
    </row>
    <row r="40" spans="1:15">
      <c r="A40" s="190">
        <f t="shared" si="1"/>
        <v>39</v>
      </c>
      <c r="B40" s="190" t="s">
        <v>290</v>
      </c>
      <c r="C40" s="190" t="s">
        <v>2624</v>
      </c>
      <c r="D40" s="190" t="str">
        <f>VLOOKUP(B40,Dosen!B:H,7,FALSE)</f>
        <v>PROFESIONAL</v>
      </c>
      <c r="E40" s="190" t="s">
        <v>235</v>
      </c>
      <c r="F40" s="190" t="str">
        <f>VLOOKUP(B40,Dosen!B:BW,35,FALSE)</f>
        <v> </v>
      </c>
      <c r="G40" s="190">
        <v>22960061</v>
      </c>
      <c r="H40" s="190">
        <v>729059601</v>
      </c>
      <c r="I40" s="190" t="s">
        <v>854</v>
      </c>
      <c r="J40" s="190" t="s">
        <v>918</v>
      </c>
      <c r="K40" s="190" t="s">
        <v>21</v>
      </c>
      <c r="L40" s="191" t="s">
        <v>863</v>
      </c>
      <c r="M40" s="192" t="s">
        <v>2122</v>
      </c>
      <c r="N40" s="192" t="s">
        <v>862</v>
      </c>
      <c r="O40" t="str">
        <f>VLOOKUP(B40,Dosen!B:BW,74,FALSE)</f>
        <v xml:space="preserve">3 tahun 3 bulan </v>
      </c>
    </row>
    <row r="41" spans="1:15">
      <c r="A41" s="190">
        <f t="shared" si="1"/>
        <v>40</v>
      </c>
      <c r="B41" s="190" t="s">
        <v>234</v>
      </c>
      <c r="C41" s="190" t="s">
        <v>2462</v>
      </c>
      <c r="D41" s="190" t="str">
        <f>VLOOKUP(B41,Dosen!B:H,7,FALSE)</f>
        <v>TETAP</v>
      </c>
      <c r="E41" s="190" t="s">
        <v>235</v>
      </c>
      <c r="F41" s="190" t="str">
        <f>VLOOKUP(B41,Dosen!B:BW,35,FALSE)</f>
        <v>IB</v>
      </c>
      <c r="G41" s="190">
        <v>19900002</v>
      </c>
      <c r="H41" s="190">
        <v>715039004</v>
      </c>
      <c r="I41" s="190" t="s">
        <v>854</v>
      </c>
      <c r="J41" s="190" t="s">
        <v>847</v>
      </c>
      <c r="K41" s="190" t="s">
        <v>21</v>
      </c>
      <c r="L41" s="191" t="s">
        <v>863</v>
      </c>
      <c r="M41" s="192"/>
      <c r="N41" s="192"/>
      <c r="O41" t="str">
        <f>VLOOKUP(B41,Dosen!B:BW,74,FALSE)</f>
        <v xml:space="preserve">8 tahun 0 bulan </v>
      </c>
    </row>
    <row r="42" spans="1:15">
      <c r="A42" s="190">
        <f t="shared" si="1"/>
        <v>41</v>
      </c>
      <c r="B42" s="190" t="s">
        <v>298</v>
      </c>
      <c r="C42" s="190" t="s">
        <v>2629</v>
      </c>
      <c r="D42" s="190" t="str">
        <f>VLOOKUP(B42,Dosen!B:H,7,FALSE)</f>
        <v>PROFESIONAL</v>
      </c>
      <c r="E42" s="190" t="s">
        <v>235</v>
      </c>
      <c r="F42" s="190" t="str">
        <f>VLOOKUP(B42,Dosen!B:BW,35,FALSE)</f>
        <v> </v>
      </c>
      <c r="G42" s="190">
        <v>22900033</v>
      </c>
      <c r="H42" s="190">
        <v>714019002</v>
      </c>
      <c r="I42" s="190" t="s">
        <v>854</v>
      </c>
      <c r="J42" s="190" t="s">
        <v>918</v>
      </c>
      <c r="K42" s="190" t="s">
        <v>21</v>
      </c>
      <c r="L42" s="191" t="s">
        <v>863</v>
      </c>
      <c r="M42" s="193" t="s">
        <v>2122</v>
      </c>
      <c r="N42" s="192" t="s">
        <v>862</v>
      </c>
      <c r="O42" t="str">
        <f>VLOOKUP(B42,Dosen!B:BW,74,FALSE)</f>
        <v xml:space="preserve">3 tahun 3 bulan </v>
      </c>
    </row>
    <row r="43" spans="1:15">
      <c r="A43" s="190">
        <f t="shared" si="1"/>
        <v>42</v>
      </c>
      <c r="B43" s="190" t="s">
        <v>264</v>
      </c>
      <c r="C43" s="190" t="s">
        <v>2571</v>
      </c>
      <c r="D43" s="190" t="str">
        <f>VLOOKUP(B43,Dosen!B:H,7,FALSE)</f>
        <v>PROFESIONAL</v>
      </c>
      <c r="E43" s="190" t="s">
        <v>235</v>
      </c>
      <c r="F43" s="190" t="str">
        <f>VLOOKUP(B43,Dosen!B:BW,35,FALSE)</f>
        <v> </v>
      </c>
      <c r="G43" s="190">
        <v>21890010</v>
      </c>
      <c r="H43" s="190">
        <v>720088905</v>
      </c>
      <c r="I43" s="190" t="s">
        <v>854</v>
      </c>
      <c r="J43" s="190" t="s">
        <v>918</v>
      </c>
      <c r="K43" s="190" t="s">
        <v>21</v>
      </c>
      <c r="L43" s="191" t="s">
        <v>863</v>
      </c>
      <c r="M43" s="192" t="s">
        <v>2122</v>
      </c>
      <c r="N43" s="192" t="s">
        <v>882</v>
      </c>
      <c r="O43" t="str">
        <f>VLOOKUP(B43,Dosen!B:BW,74,FALSE)</f>
        <v xml:space="preserve">4 tahun 3 bulan </v>
      </c>
    </row>
    <row r="44" spans="1:15">
      <c r="A44" s="190">
        <f t="shared" si="1"/>
        <v>43</v>
      </c>
      <c r="B44" s="190" t="s">
        <v>239</v>
      </c>
      <c r="C44" s="190" t="s">
        <v>2512</v>
      </c>
      <c r="D44" s="190" t="str">
        <f>VLOOKUP(B44,Dosen!B:H,7,FALSE)</f>
        <v>TETAP</v>
      </c>
      <c r="E44" s="190" t="s">
        <v>235</v>
      </c>
      <c r="F44" s="190" t="str">
        <f>VLOOKUP(B44,Dosen!B:BW,35,FALSE)</f>
        <v>TB</v>
      </c>
      <c r="G44" s="190">
        <v>20920039</v>
      </c>
      <c r="H44" s="190">
        <v>724089201</v>
      </c>
      <c r="I44" s="190" t="s">
        <v>854</v>
      </c>
      <c r="J44" s="190" t="s">
        <v>847</v>
      </c>
      <c r="K44" s="190" t="s">
        <v>21</v>
      </c>
      <c r="L44" s="191" t="s">
        <v>863</v>
      </c>
      <c r="M44" s="193"/>
      <c r="N44" s="192" t="s">
        <v>862</v>
      </c>
      <c r="O44" t="str">
        <f>VLOOKUP(B44,Dosen!B:BW,74,FALSE)</f>
        <v xml:space="preserve">7 tahun 6 bulan </v>
      </c>
    </row>
    <row r="45" spans="1:15">
      <c r="A45" s="190">
        <f t="shared" si="1"/>
        <v>44</v>
      </c>
      <c r="B45" s="190" t="s">
        <v>268</v>
      </c>
      <c r="C45" s="190" t="s">
        <v>2573</v>
      </c>
      <c r="D45" s="190" t="str">
        <f>VLOOKUP(B45,Dosen!B:H,7,FALSE)</f>
        <v>PROFESIONAL</v>
      </c>
      <c r="E45" s="190" t="s">
        <v>235</v>
      </c>
      <c r="F45" s="190" t="str">
        <f>VLOOKUP(B45,Dosen!B:BW,35,FALSE)</f>
        <v> </v>
      </c>
      <c r="G45" s="190">
        <v>21910012</v>
      </c>
      <c r="H45" s="190">
        <v>708119103</v>
      </c>
      <c r="I45" s="190" t="s">
        <v>854</v>
      </c>
      <c r="J45" s="190" t="s">
        <v>847</v>
      </c>
      <c r="K45" s="190" t="s">
        <v>2451</v>
      </c>
      <c r="L45" s="191" t="s">
        <v>863</v>
      </c>
      <c r="M45" s="192" t="s">
        <v>2124</v>
      </c>
      <c r="N45" s="192" t="s">
        <v>862</v>
      </c>
      <c r="O45" t="str">
        <f>VLOOKUP(B45,Dosen!B:BW,74,FALSE)</f>
        <v xml:space="preserve">4 tahun 0 bulan </v>
      </c>
    </row>
    <row r="46" spans="1:15">
      <c r="A46" s="190">
        <f t="shared" si="1"/>
        <v>45</v>
      </c>
      <c r="B46" s="190" t="s">
        <v>325</v>
      </c>
      <c r="C46" s="190" t="s">
        <v>2664</v>
      </c>
      <c r="D46" s="190" t="str">
        <f>VLOOKUP(B46,Dosen!B:H,7,FALSE)</f>
        <v>PROFESIONAL</v>
      </c>
      <c r="E46" s="190" t="s">
        <v>235</v>
      </c>
      <c r="F46" s="190" t="str">
        <f>VLOOKUP(B46,Dosen!B:BW,35,FALSE)</f>
        <v>IB</v>
      </c>
      <c r="G46" s="190">
        <v>23990020</v>
      </c>
      <c r="H46" s="190">
        <v>722079901</v>
      </c>
      <c r="I46" s="190" t="s">
        <v>854</v>
      </c>
      <c r="J46" s="190" t="s">
        <v>918</v>
      </c>
      <c r="K46" s="190" t="s">
        <v>21</v>
      </c>
      <c r="L46" s="191" t="s">
        <v>863</v>
      </c>
      <c r="M46" s="193" t="s">
        <v>2122</v>
      </c>
      <c r="N46" s="192" t="s">
        <v>882</v>
      </c>
      <c r="O46" t="str">
        <f>VLOOKUP(B46,Dosen!B:BW,74,FALSE)</f>
        <v xml:space="preserve">2 tahun 4 bulan </v>
      </c>
    </row>
    <row r="47" spans="1:15">
      <c r="A47" s="190">
        <f t="shared" si="1"/>
        <v>46</v>
      </c>
      <c r="B47" s="190" t="s">
        <v>247</v>
      </c>
      <c r="C47" s="190" t="s">
        <v>2477</v>
      </c>
      <c r="D47" s="190" t="str">
        <f>VLOOKUP(B47,Dosen!B:H,7,FALSE)</f>
        <v>TETAP</v>
      </c>
      <c r="E47" s="190" t="s">
        <v>235</v>
      </c>
      <c r="F47" s="190" t="str">
        <f>VLOOKUP(B47,Dosen!B:BW,35,FALSE)</f>
        <v>TB</v>
      </c>
      <c r="G47" s="190">
        <v>19900003</v>
      </c>
      <c r="H47" s="190">
        <v>725059004</v>
      </c>
      <c r="I47" s="190" t="s">
        <v>854</v>
      </c>
      <c r="J47" s="190" t="s">
        <v>775</v>
      </c>
      <c r="K47" s="190" t="s">
        <v>21</v>
      </c>
      <c r="L47" s="191" t="s">
        <v>863</v>
      </c>
      <c r="M47" s="192"/>
      <c r="N47" s="192" t="s">
        <v>882</v>
      </c>
      <c r="O47" t="str">
        <f>VLOOKUP(B47,Dosen!B:BW,74,FALSE)</f>
        <v xml:space="preserve">8 tahun 0 bulan </v>
      </c>
    </row>
    <row r="48" spans="1:15">
      <c r="A48" s="190">
        <f t="shared" si="1"/>
        <v>47</v>
      </c>
      <c r="B48" s="190" t="s">
        <v>277</v>
      </c>
      <c r="C48" s="190" t="s">
        <v>2591</v>
      </c>
      <c r="D48" s="190" t="str">
        <f>VLOOKUP(B48,Dosen!B:H,7,FALSE)</f>
        <v>PROFESIONAL</v>
      </c>
      <c r="E48" s="190" t="s">
        <v>235</v>
      </c>
      <c r="F48" s="190" t="str">
        <f>VLOOKUP(B48,Dosen!B:BW,35,FALSE)</f>
        <v> </v>
      </c>
      <c r="G48" s="190">
        <v>22940003</v>
      </c>
      <c r="H48" s="190">
        <v>719109401</v>
      </c>
      <c r="I48" s="190" t="s">
        <v>854</v>
      </c>
      <c r="J48" s="190" t="s">
        <v>847</v>
      </c>
      <c r="K48" s="190" t="s">
        <v>21</v>
      </c>
      <c r="L48" s="191" t="s">
        <v>863</v>
      </c>
      <c r="M48" s="192" t="s">
        <v>2122</v>
      </c>
      <c r="N48" s="192" t="s">
        <v>862</v>
      </c>
      <c r="O48" t="str">
        <f>VLOOKUP(B48,Dosen!B:BW,74,FALSE)</f>
        <v xml:space="preserve">3 tahun 9 bulan </v>
      </c>
    </row>
    <row r="49" spans="1:15">
      <c r="A49" s="190">
        <f t="shared" si="1"/>
        <v>48</v>
      </c>
      <c r="B49" s="190" t="s">
        <v>251</v>
      </c>
      <c r="C49" s="190" t="s">
        <v>2521</v>
      </c>
      <c r="D49" s="190" t="str">
        <f>VLOOKUP(B49,Dosen!B:H,7,FALSE)</f>
        <v>TETAP</v>
      </c>
      <c r="E49" s="190" t="s">
        <v>235</v>
      </c>
      <c r="F49" s="190" t="str">
        <f>VLOOKUP(B49,Dosen!B:BW,35,FALSE)</f>
        <v>TB</v>
      </c>
      <c r="G49" s="190">
        <v>23890011</v>
      </c>
      <c r="H49" s="190">
        <v>704068902</v>
      </c>
      <c r="I49" s="190" t="s">
        <v>854</v>
      </c>
      <c r="J49" s="190" t="s">
        <v>847</v>
      </c>
      <c r="K49" s="190" t="s">
        <v>21</v>
      </c>
      <c r="L49" s="191" t="s">
        <v>863</v>
      </c>
      <c r="M49" s="193"/>
      <c r="N49" s="192" t="s">
        <v>871</v>
      </c>
      <c r="O49" t="str">
        <f>VLOOKUP(B49,Dosen!B:BW,74,FALSE)</f>
        <v xml:space="preserve">6 tahun 0 bulan </v>
      </c>
    </row>
    <row r="50" spans="1:15">
      <c r="A50" s="190">
        <f t="shared" si="1"/>
        <v>49</v>
      </c>
      <c r="B50" s="190" t="s">
        <v>312</v>
      </c>
      <c r="C50" s="190" t="s">
        <v>2649</v>
      </c>
      <c r="D50" s="190" t="str">
        <f>VLOOKUP(B50,Dosen!B:H,7,FALSE)</f>
        <v>PROFESIONAL</v>
      </c>
      <c r="E50" s="190" t="s">
        <v>235</v>
      </c>
      <c r="F50" s="190" t="str">
        <f>VLOOKUP(B50,Dosen!B:BW,35,FALSE)</f>
        <v> </v>
      </c>
      <c r="G50" s="190">
        <v>22980046</v>
      </c>
      <c r="H50" s="190">
        <v>702049801</v>
      </c>
      <c r="I50" s="190" t="s">
        <v>854</v>
      </c>
      <c r="J50" s="190" t="s">
        <v>918</v>
      </c>
      <c r="K50" s="190" t="s">
        <v>1153</v>
      </c>
      <c r="L50" s="191" t="s">
        <v>863</v>
      </c>
      <c r="M50" s="192" t="s">
        <v>2122</v>
      </c>
      <c r="N50" s="192" t="s">
        <v>862</v>
      </c>
      <c r="O50" t="str">
        <f>VLOOKUP(B50,Dosen!B:BW,74,FALSE)</f>
        <v xml:space="preserve">3 tahun 3 bulan </v>
      </c>
    </row>
    <row r="51" spans="1:15">
      <c r="A51" s="190">
        <f t="shared" si="1"/>
        <v>50</v>
      </c>
      <c r="B51" s="190" t="s">
        <v>398</v>
      </c>
      <c r="C51" s="190" t="s">
        <v>2661</v>
      </c>
      <c r="D51" s="190" t="str">
        <f>VLOOKUP(B51,Dosen!B:H,7,FALSE)</f>
        <v>PROFESIONAL</v>
      </c>
      <c r="E51" s="190" t="s">
        <v>370</v>
      </c>
      <c r="F51" s="190" t="str">
        <f>VLOOKUP(B51,Dosen!B:BW,35,FALSE)</f>
        <v> </v>
      </c>
      <c r="G51" s="190">
        <v>23970026</v>
      </c>
      <c r="H51" s="190">
        <v>718099702</v>
      </c>
      <c r="I51" s="190" t="s">
        <v>854</v>
      </c>
      <c r="J51" s="190" t="s">
        <v>918</v>
      </c>
      <c r="K51" s="190" t="s">
        <v>21</v>
      </c>
      <c r="L51" s="191" t="s">
        <v>863</v>
      </c>
      <c r="M51" s="192" t="s">
        <v>2126</v>
      </c>
      <c r="N51" s="192" t="s">
        <v>871</v>
      </c>
      <c r="O51" t="str">
        <f>VLOOKUP(B51,Dosen!B:BW,74,FALSE)</f>
        <v xml:space="preserve">2 tahun 4 bulan </v>
      </c>
    </row>
    <row r="52" spans="1:15">
      <c r="A52" s="190">
        <f t="shared" si="1"/>
        <v>51</v>
      </c>
      <c r="B52" s="190" t="s">
        <v>369</v>
      </c>
      <c r="C52" s="190" t="s">
        <v>2531</v>
      </c>
      <c r="D52" s="190" t="str">
        <f>VLOOKUP(B52,Dosen!B:H,7,FALSE)</f>
        <v>TETAP</v>
      </c>
      <c r="E52" s="190" t="s">
        <v>370</v>
      </c>
      <c r="F52" s="190" t="str">
        <f>VLOOKUP(B52,Dosen!B:BW,35,FALSE)</f>
        <v> </v>
      </c>
      <c r="G52" s="190">
        <v>23880010</v>
      </c>
      <c r="H52" s="190">
        <v>401078801</v>
      </c>
      <c r="I52" s="190" t="s">
        <v>854</v>
      </c>
      <c r="J52" s="190" t="s">
        <v>775</v>
      </c>
      <c r="K52" s="190" t="s">
        <v>1000</v>
      </c>
      <c r="L52" s="191" t="s">
        <v>863</v>
      </c>
      <c r="M52" s="193" t="s">
        <v>2122</v>
      </c>
      <c r="N52" s="192" t="s">
        <v>871</v>
      </c>
      <c r="O52" t="str">
        <f>VLOOKUP(B52,Dosen!B:BW,74,FALSE)</f>
        <v xml:space="preserve">5 tahun 6 bulan </v>
      </c>
    </row>
    <row r="53" spans="1:15">
      <c r="A53" s="190">
        <f t="shared" si="1"/>
        <v>52</v>
      </c>
      <c r="B53" s="190" t="s">
        <v>374</v>
      </c>
      <c r="C53" s="190" t="s">
        <v>1229</v>
      </c>
      <c r="D53" s="190" t="str">
        <f>VLOOKUP(B53,Dosen!B:H,7,FALSE)</f>
        <v>TETAP</v>
      </c>
      <c r="E53" s="190" t="s">
        <v>370</v>
      </c>
      <c r="F53" s="190" t="str">
        <f>VLOOKUP(B53,Dosen!B:BW,35,FALSE)</f>
        <v>TB</v>
      </c>
      <c r="G53" s="190">
        <v>20930043</v>
      </c>
      <c r="H53" s="190">
        <v>703119301</v>
      </c>
      <c r="I53" s="190" t="s">
        <v>854</v>
      </c>
      <c r="J53" s="190" t="s">
        <v>775</v>
      </c>
      <c r="K53" s="190" t="s">
        <v>21</v>
      </c>
      <c r="L53" s="191" t="s">
        <v>863</v>
      </c>
      <c r="M53" s="192" t="s">
        <v>2126</v>
      </c>
      <c r="N53" s="192" t="s">
        <v>871</v>
      </c>
      <c r="O53" t="str">
        <f>VLOOKUP(B53,Dosen!B:BW,74,FALSE)</f>
        <v xml:space="preserve">7 tahun 6 bulan </v>
      </c>
    </row>
    <row r="54" spans="1:15">
      <c r="A54" s="190">
        <f t="shared" si="1"/>
        <v>53</v>
      </c>
      <c r="B54" s="190" t="s">
        <v>393</v>
      </c>
      <c r="C54" s="190" t="s">
        <v>1185</v>
      </c>
      <c r="D54" s="190" t="str">
        <f>VLOOKUP(B54,Dosen!B:H,7,FALSE)</f>
        <v>PROFESIONAL</v>
      </c>
      <c r="E54" s="190" t="s">
        <v>370</v>
      </c>
      <c r="F54" s="190" t="str">
        <f>VLOOKUP(B54,Dosen!B:BW,35,FALSE)</f>
        <v> </v>
      </c>
      <c r="G54" s="190">
        <v>22970044</v>
      </c>
      <c r="H54" s="190">
        <v>719079702</v>
      </c>
      <c r="I54" s="190" t="s">
        <v>854</v>
      </c>
      <c r="J54" s="190" t="s">
        <v>847</v>
      </c>
      <c r="K54" s="190" t="s">
        <v>21</v>
      </c>
      <c r="L54" s="191" t="s">
        <v>863</v>
      </c>
      <c r="M54" s="192" t="s">
        <v>2126</v>
      </c>
      <c r="N54" s="192" t="s">
        <v>882</v>
      </c>
      <c r="O54" t="str">
        <f>VLOOKUP(B54,Dosen!B:BW,74,FALSE)</f>
        <v xml:space="preserve">3 tahun 3 bulan </v>
      </c>
    </row>
    <row r="55" spans="1:15">
      <c r="A55" s="190">
        <f t="shared" si="1"/>
        <v>54</v>
      </c>
      <c r="B55" s="190" t="s">
        <v>402</v>
      </c>
      <c r="C55" s="190" t="s">
        <v>2686</v>
      </c>
      <c r="D55" s="190" t="str">
        <f>VLOOKUP(B55,Dosen!B:H,7,FALSE)</f>
        <v>TETAP</v>
      </c>
      <c r="E55" s="190" t="s">
        <v>370</v>
      </c>
      <c r="F55" s="190" t="str">
        <f>VLOOKUP(B55,Dosen!B:BW,35,FALSE)</f>
        <v> </v>
      </c>
      <c r="G55" s="190">
        <v>22950019</v>
      </c>
      <c r="H55" s="190">
        <v>706019502</v>
      </c>
      <c r="I55" s="190" t="s">
        <v>854</v>
      </c>
      <c r="J55" s="190" t="s">
        <v>918</v>
      </c>
      <c r="K55" s="190" t="s">
        <v>1019</v>
      </c>
      <c r="L55" s="191" t="s">
        <v>863</v>
      </c>
      <c r="M55" s="193" t="s">
        <v>2124</v>
      </c>
      <c r="N55" s="192" t="s">
        <v>871</v>
      </c>
      <c r="O55" t="str">
        <f>VLOOKUP(B55,Dosen!B:BW,74,FALSE)</f>
        <v xml:space="preserve">2 tahun 4 bulan </v>
      </c>
    </row>
    <row r="56" spans="1:15">
      <c r="A56" s="190">
        <f t="shared" si="1"/>
        <v>55</v>
      </c>
      <c r="B56" s="196" t="s">
        <v>378</v>
      </c>
      <c r="C56" s="190" t="s">
        <v>2500</v>
      </c>
      <c r="D56" s="190" t="str">
        <f>VLOOKUP(B56,Dosen!B:H,7,FALSE)</f>
        <v>TETAP</v>
      </c>
      <c r="E56" s="190" t="s">
        <v>370</v>
      </c>
      <c r="F56" s="190" t="str">
        <f>VLOOKUP(B56,Dosen!B:BW,35,FALSE)</f>
        <v>TB</v>
      </c>
      <c r="G56" s="190">
        <v>20920036</v>
      </c>
      <c r="H56" s="190">
        <v>725059202</v>
      </c>
      <c r="I56" s="190" t="s">
        <v>854</v>
      </c>
      <c r="J56" s="190" t="s">
        <v>847</v>
      </c>
      <c r="K56" s="190" t="s">
        <v>21</v>
      </c>
      <c r="L56" s="191" t="s">
        <v>863</v>
      </c>
      <c r="M56" s="193" t="s">
        <v>2128</v>
      </c>
      <c r="N56" s="192" t="s">
        <v>871</v>
      </c>
      <c r="O56" t="str">
        <f>VLOOKUP(B56,Dosen!B:BW,74,FALSE)</f>
        <v xml:space="preserve">8 tahun 0 bulan </v>
      </c>
    </row>
    <row r="57" spans="1:15">
      <c r="A57" s="190">
        <f t="shared" si="1"/>
        <v>56</v>
      </c>
      <c r="B57" s="190" t="s">
        <v>382</v>
      </c>
      <c r="C57" s="190" t="s">
        <v>2503</v>
      </c>
      <c r="D57" s="190" t="str">
        <f>VLOOKUP(B57,Dosen!B:H,7,FALSE)</f>
        <v>TETAP</v>
      </c>
      <c r="E57" s="190" t="s">
        <v>370</v>
      </c>
      <c r="F57" s="190" t="str">
        <f>VLOOKUP(B57,Dosen!B:BW,35,FALSE)</f>
        <v>TB</v>
      </c>
      <c r="G57" s="190">
        <v>20930036</v>
      </c>
      <c r="H57" s="190">
        <v>711069301</v>
      </c>
      <c r="I57" s="190" t="s">
        <v>854</v>
      </c>
      <c r="J57" s="190" t="s">
        <v>775</v>
      </c>
      <c r="K57" s="190" t="s">
        <v>21</v>
      </c>
      <c r="L57" s="191" t="s">
        <v>863</v>
      </c>
      <c r="M57" s="192" t="s">
        <v>2122</v>
      </c>
      <c r="N57" s="192"/>
      <c r="O57" t="str">
        <f>VLOOKUP(B57,Dosen!B:BW,74,FALSE)</f>
        <v xml:space="preserve">7 tahun 6 bulan </v>
      </c>
    </row>
    <row r="58" spans="1:15">
      <c r="A58" s="190">
        <f t="shared" si="1"/>
        <v>57</v>
      </c>
      <c r="B58" s="190" t="s">
        <v>386</v>
      </c>
      <c r="C58" s="190" t="s">
        <v>2602</v>
      </c>
      <c r="D58" s="190" t="str">
        <f>VLOOKUP(B58,Dosen!B:H,7,FALSE)</f>
        <v>PROFESIONAL</v>
      </c>
      <c r="E58" s="190" t="s">
        <v>370</v>
      </c>
      <c r="F58" s="190" t="str">
        <f>VLOOKUP(B58,Dosen!B:BW,35,FALSE)</f>
        <v> </v>
      </c>
      <c r="G58" s="190">
        <v>22960010</v>
      </c>
      <c r="H58" s="190">
        <v>523119601</v>
      </c>
      <c r="I58" s="190" t="s">
        <v>854</v>
      </c>
      <c r="J58" s="190" t="s">
        <v>847</v>
      </c>
      <c r="K58" s="190" t="s">
        <v>21</v>
      </c>
      <c r="L58" s="191" t="s">
        <v>863</v>
      </c>
      <c r="M58" s="193" t="s">
        <v>2128</v>
      </c>
      <c r="N58" s="192" t="s">
        <v>871</v>
      </c>
      <c r="O58" t="str">
        <f>VLOOKUP(B58,Dosen!B:BW,74,FALSE)</f>
        <v xml:space="preserve">3 tahun 9 bulan </v>
      </c>
    </row>
    <row r="59" spans="1:15">
      <c r="A59" s="190">
        <f t="shared" si="1"/>
        <v>58</v>
      </c>
      <c r="B59" s="190" t="s">
        <v>408</v>
      </c>
      <c r="C59" s="190" t="s">
        <v>2446</v>
      </c>
      <c r="D59" s="190" t="str">
        <f>VLOOKUP(B59,Dosen!B:H,7,FALSE)</f>
        <v>TETAP</v>
      </c>
      <c r="E59" s="190" t="s">
        <v>370</v>
      </c>
      <c r="F59" s="190" t="str">
        <f>VLOOKUP(B59,Dosen!B:BW,35,FALSE)</f>
        <v>TB</v>
      </c>
      <c r="G59" s="190">
        <v>19870002</v>
      </c>
      <c r="H59" s="190">
        <v>702048705</v>
      </c>
      <c r="I59" s="190" t="s">
        <v>854</v>
      </c>
      <c r="J59" s="190" t="s">
        <v>775</v>
      </c>
      <c r="K59" s="190" t="s">
        <v>21</v>
      </c>
      <c r="L59" s="191" t="s">
        <v>863</v>
      </c>
      <c r="M59" s="192" t="s">
        <v>2124</v>
      </c>
      <c r="N59" s="192" t="s">
        <v>871</v>
      </c>
      <c r="O59" t="str">
        <f>VLOOKUP(B59,Dosen!B:BW,74,FALSE)</f>
        <v xml:space="preserve">8 tahun 0 bulan </v>
      </c>
    </row>
    <row r="60" spans="1:15">
      <c r="A60" s="190">
        <f t="shared" si="1"/>
        <v>59</v>
      </c>
      <c r="B60" s="196" t="s">
        <v>447</v>
      </c>
      <c r="C60" s="190" t="s">
        <v>2509</v>
      </c>
      <c r="D60" s="190" t="str">
        <f>VLOOKUP(B60,Dosen!B:H,7,FALSE)</f>
        <v>TETAP</v>
      </c>
      <c r="E60" s="190" t="s">
        <v>448</v>
      </c>
      <c r="F60" s="190" t="str">
        <f>VLOOKUP(B60,Dosen!B:BW,35,FALSE)</f>
        <v> </v>
      </c>
      <c r="G60" s="190">
        <v>19900001</v>
      </c>
      <c r="H60" s="190">
        <v>702039003</v>
      </c>
      <c r="I60" s="190" t="s">
        <v>879</v>
      </c>
      <c r="J60" s="190" t="s">
        <v>775</v>
      </c>
      <c r="K60" s="190" t="s">
        <v>2732</v>
      </c>
      <c r="L60" s="191" t="s">
        <v>863</v>
      </c>
      <c r="M60" s="192" t="s">
        <v>2124</v>
      </c>
      <c r="N60" s="192" t="s">
        <v>871</v>
      </c>
      <c r="O60" t="str">
        <f>VLOOKUP(B60,Dosen!B:BW,74,FALSE)</f>
        <v xml:space="preserve">7 tahun 6 bulan </v>
      </c>
    </row>
    <row r="61" spans="1:15">
      <c r="A61" s="190">
        <f t="shared" si="1"/>
        <v>60</v>
      </c>
      <c r="B61" s="190" t="s">
        <v>461</v>
      </c>
      <c r="C61" s="190" t="s">
        <v>2559</v>
      </c>
      <c r="D61" s="190" t="str">
        <f>VLOOKUP(B61,Dosen!B:H,7,FALSE)</f>
        <v>TETAP</v>
      </c>
      <c r="E61" s="190" t="s">
        <v>448</v>
      </c>
      <c r="F61" s="190" t="str">
        <f>VLOOKUP(B61,Dosen!B:BW,35,FALSE)</f>
        <v> </v>
      </c>
      <c r="G61" s="190">
        <v>20930071</v>
      </c>
      <c r="H61" s="190">
        <v>707029303</v>
      </c>
      <c r="I61" s="190" t="s">
        <v>854</v>
      </c>
      <c r="J61" s="190" t="s">
        <v>847</v>
      </c>
      <c r="K61" s="190" t="s">
        <v>21</v>
      </c>
      <c r="L61" s="191" t="s">
        <v>863</v>
      </c>
      <c r="M61" s="192" t="s">
        <v>2128</v>
      </c>
      <c r="N61" s="192" t="s">
        <v>871</v>
      </c>
      <c r="O61" t="str">
        <f>VLOOKUP(B61,Dosen!B:BW,74,FALSE)</f>
        <v xml:space="preserve">5 tahun 1 bulan </v>
      </c>
    </row>
    <row r="62" spans="1:15">
      <c r="A62" s="190">
        <f t="shared" si="1"/>
        <v>61</v>
      </c>
      <c r="B62" s="190" t="s">
        <v>465</v>
      </c>
      <c r="C62" s="190" t="s">
        <v>2561</v>
      </c>
      <c r="D62" s="190" t="str">
        <f>VLOOKUP(B62,Dosen!B:H,7,FALSE)</f>
        <v>TETAP</v>
      </c>
      <c r="E62" s="190" t="s">
        <v>448</v>
      </c>
      <c r="F62" s="190" t="str">
        <f>VLOOKUP(B62,Dosen!B:BW,35,FALSE)</f>
        <v> </v>
      </c>
      <c r="G62" s="190">
        <v>24950003</v>
      </c>
      <c r="H62" s="190">
        <v>723079501</v>
      </c>
      <c r="I62" s="190" t="s">
        <v>854</v>
      </c>
      <c r="J62" s="190" t="s">
        <v>847</v>
      </c>
      <c r="K62" s="190" t="s">
        <v>21</v>
      </c>
      <c r="L62" s="191" t="s">
        <v>863</v>
      </c>
      <c r="M62" s="192" t="s">
        <v>2128</v>
      </c>
      <c r="N62" s="192" t="s">
        <v>871</v>
      </c>
      <c r="O62" t="str">
        <f>VLOOKUP(B62,Dosen!B:BW,74,FALSE)</f>
        <v xml:space="preserve">5 tahun 1 bulan </v>
      </c>
    </row>
    <row r="63" spans="1:15">
      <c r="A63" s="190">
        <f t="shared" si="1"/>
        <v>62</v>
      </c>
      <c r="B63" s="190" t="s">
        <v>469</v>
      </c>
      <c r="C63" s="190" t="s">
        <v>2563</v>
      </c>
      <c r="D63" s="190" t="str">
        <f>VLOOKUP(B63,Dosen!B:H,7,FALSE)</f>
        <v>TETAP</v>
      </c>
      <c r="E63" s="190" t="s">
        <v>448</v>
      </c>
      <c r="F63" s="190" t="str">
        <f>VLOOKUP(B63,Dosen!B:BW,35,FALSE)</f>
        <v> </v>
      </c>
      <c r="G63" s="190">
        <v>20930072</v>
      </c>
      <c r="H63" s="190">
        <v>712059303</v>
      </c>
      <c r="I63" s="190" t="s">
        <v>854</v>
      </c>
      <c r="J63" s="190" t="s">
        <v>847</v>
      </c>
      <c r="K63" s="190" t="s">
        <v>1000</v>
      </c>
      <c r="L63" s="191" t="s">
        <v>863</v>
      </c>
      <c r="M63" s="192" t="s">
        <v>2128</v>
      </c>
      <c r="N63" s="192" t="s">
        <v>871</v>
      </c>
      <c r="O63" t="str">
        <f>VLOOKUP(B63,Dosen!B:BW,74,FALSE)</f>
        <v xml:space="preserve">5 tahun 1 bulan </v>
      </c>
    </row>
    <row r="64" spans="1:15">
      <c r="A64" s="190">
        <f t="shared" si="1"/>
        <v>63</v>
      </c>
      <c r="B64" s="190" t="s">
        <v>453</v>
      </c>
      <c r="C64" s="190" t="s">
        <v>1293</v>
      </c>
      <c r="D64" s="190" t="str">
        <f>VLOOKUP(B64,Dosen!B:H,7,FALSE)</f>
        <v>PROFESIONAL</v>
      </c>
      <c r="E64" s="190" t="s">
        <v>448</v>
      </c>
      <c r="F64" s="190" t="str">
        <f>VLOOKUP(B64,Dosen!B:BW,35,FALSE)</f>
        <v> </v>
      </c>
      <c r="G64" s="190">
        <v>25820001</v>
      </c>
      <c r="H64" s="190">
        <v>702038201</v>
      </c>
      <c r="I64" s="190" t="s">
        <v>879</v>
      </c>
      <c r="J64" s="190" t="s">
        <v>775</v>
      </c>
      <c r="K64" s="190" t="s">
        <v>21</v>
      </c>
      <c r="L64" s="191" t="s">
        <v>863</v>
      </c>
      <c r="M64" s="192"/>
      <c r="N64" s="192"/>
      <c r="O64" t="str">
        <f>VLOOKUP(B64,Dosen!B:BW,74,FALSE)</f>
        <v xml:space="preserve">0 tahun 11 bulan </v>
      </c>
    </row>
    <row r="65" spans="1:15">
      <c r="A65" s="190">
        <f t="shared" si="1"/>
        <v>64</v>
      </c>
      <c r="B65" s="190" t="s">
        <v>560</v>
      </c>
      <c r="C65" s="190" t="s">
        <v>2635</v>
      </c>
      <c r="D65" s="190" t="str">
        <f>VLOOKUP(B65,Dosen!B:H,7,FALSE)</f>
        <v>PROFESIONAL</v>
      </c>
      <c r="E65" s="190" t="s">
        <v>524</v>
      </c>
      <c r="F65" s="190" t="str">
        <f>VLOOKUP(B65,Dosen!B:BW,35,FALSE)</f>
        <v>IB</v>
      </c>
      <c r="G65" s="190">
        <v>22820015</v>
      </c>
      <c r="H65" s="190">
        <v>722108201</v>
      </c>
      <c r="I65" s="190" t="s">
        <v>854</v>
      </c>
      <c r="J65" s="190" t="s">
        <v>847</v>
      </c>
      <c r="K65" s="190" t="s">
        <v>21</v>
      </c>
      <c r="L65" s="191" t="s">
        <v>863</v>
      </c>
      <c r="M65" s="192" t="s">
        <v>2124</v>
      </c>
      <c r="N65" s="192" t="s">
        <v>871</v>
      </c>
      <c r="O65" t="str">
        <f>VLOOKUP(B65,Dosen!B:BW,74,FALSE)</f>
        <v xml:space="preserve">3 tahun 3 bulan </v>
      </c>
    </row>
    <row r="66" spans="1:15">
      <c r="A66" s="190">
        <f t="shared" si="1"/>
        <v>65</v>
      </c>
      <c r="B66" s="190" t="s">
        <v>111</v>
      </c>
      <c r="C66" s="190" t="s">
        <v>2541</v>
      </c>
      <c r="D66" s="190" t="str">
        <f>VLOOKUP(B66,Dosen!B:H,7,FALSE)</f>
        <v>TETAP</v>
      </c>
      <c r="E66" s="190" t="s">
        <v>107</v>
      </c>
      <c r="F66" s="190" t="str">
        <f>VLOOKUP(B66,Dosen!B:BW,35,FALSE)</f>
        <v> </v>
      </c>
      <c r="G66" s="190">
        <v>20950043</v>
      </c>
      <c r="H66" s="190">
        <v>713059501</v>
      </c>
      <c r="I66" s="190" t="s">
        <v>854</v>
      </c>
      <c r="J66" s="190" t="s">
        <v>847</v>
      </c>
      <c r="K66" s="190" t="s">
        <v>1153</v>
      </c>
      <c r="L66" s="191" t="s">
        <v>903</v>
      </c>
      <c r="M66" s="190" t="s">
        <v>2129</v>
      </c>
      <c r="N66" s="192" t="s">
        <v>862</v>
      </c>
      <c r="O66" t="str">
        <f>VLOOKUP(B66,Dosen!B:BW,74,FALSE)</f>
        <v xml:space="preserve">5 tahun 1 bulan </v>
      </c>
    </row>
    <row r="67" spans="1:15">
      <c r="A67" s="190">
        <f t="shared" ref="A67:A98" si="2">A66+1</f>
        <v>66</v>
      </c>
      <c r="B67" s="190" t="s">
        <v>133</v>
      </c>
      <c r="C67" s="190" t="s">
        <v>2642</v>
      </c>
      <c r="D67" s="190" t="str">
        <f>VLOOKUP(B67,Dosen!B:H,7,FALSE)</f>
        <v>PROFESIONAL</v>
      </c>
      <c r="E67" s="190" t="s">
        <v>107</v>
      </c>
      <c r="F67" s="190" t="str">
        <f>VLOOKUP(B67,Dosen!B:BW,35,FALSE)</f>
        <v> </v>
      </c>
      <c r="G67" s="190">
        <v>22960060</v>
      </c>
      <c r="H67" s="190">
        <v>710029601</v>
      </c>
      <c r="I67" s="190" t="s">
        <v>854</v>
      </c>
      <c r="J67" s="190" t="s">
        <v>847</v>
      </c>
      <c r="K67" s="190" t="s">
        <v>21</v>
      </c>
      <c r="L67" s="191" t="s">
        <v>903</v>
      </c>
      <c r="M67" s="190" t="s">
        <v>2129</v>
      </c>
      <c r="N67" s="192" t="s">
        <v>882</v>
      </c>
      <c r="O67" t="str">
        <f>VLOOKUP(B67,Dosen!B:BW,74,FALSE)</f>
        <v xml:space="preserve">3 tahun 3 bulan </v>
      </c>
    </row>
    <row r="68" spans="1:15">
      <c r="A68" s="190">
        <f t="shared" si="2"/>
        <v>67</v>
      </c>
      <c r="B68" s="190" t="s">
        <v>106</v>
      </c>
      <c r="C68" s="190" t="s">
        <v>2498</v>
      </c>
      <c r="D68" s="190" t="str">
        <f>VLOOKUP(B68,Dosen!B:H,7,FALSE)</f>
        <v>TETAP</v>
      </c>
      <c r="E68" s="190" t="s">
        <v>107</v>
      </c>
      <c r="F68" s="190" t="str">
        <f>VLOOKUP(B68,Dosen!B:BW,35,FALSE)</f>
        <v> </v>
      </c>
      <c r="G68" s="190">
        <v>18920109</v>
      </c>
      <c r="H68" s="190">
        <v>727099201</v>
      </c>
      <c r="I68" s="190" t="s">
        <v>854</v>
      </c>
      <c r="J68" s="190" t="s">
        <v>847</v>
      </c>
      <c r="K68" s="190" t="s">
        <v>21</v>
      </c>
      <c r="L68" s="191" t="s">
        <v>903</v>
      </c>
      <c r="M68" s="190" t="s">
        <v>2129</v>
      </c>
      <c r="N68" s="192" t="s">
        <v>862</v>
      </c>
      <c r="O68" t="str">
        <f>VLOOKUP(B68,Dosen!B:BW,74,FALSE)</f>
        <v xml:space="preserve">7 tahun 6 bulan </v>
      </c>
    </row>
    <row r="69" spans="1:15">
      <c r="A69" s="190">
        <f t="shared" si="2"/>
        <v>68</v>
      </c>
      <c r="B69" s="190" t="s">
        <v>137</v>
      </c>
      <c r="C69" s="190" t="s">
        <v>2672</v>
      </c>
      <c r="D69" s="190" t="str">
        <f>VLOOKUP(B69,Dosen!B:H,7,FALSE)</f>
        <v>PROFESIONAL</v>
      </c>
      <c r="E69" s="190" t="s">
        <v>107</v>
      </c>
      <c r="F69" s="190" t="str">
        <f>VLOOKUP(B69,Dosen!B:BW,35,FALSE)</f>
        <v>IB</v>
      </c>
      <c r="G69" s="190">
        <v>23970024</v>
      </c>
      <c r="H69" s="190">
        <v>711079701</v>
      </c>
      <c r="I69" s="190" t="s">
        <v>854</v>
      </c>
      <c r="J69" s="190" t="s">
        <v>918</v>
      </c>
      <c r="K69" s="190" t="s">
        <v>21</v>
      </c>
      <c r="L69" s="191" t="s">
        <v>903</v>
      </c>
      <c r="M69" s="190" t="s">
        <v>2130</v>
      </c>
      <c r="N69" s="192" t="s">
        <v>882</v>
      </c>
      <c r="O69" t="str">
        <f>VLOOKUP(B69,Dosen!B:BW,74,FALSE)</f>
        <v xml:space="preserve">2 tahun 4 bulan </v>
      </c>
    </row>
    <row r="70" spans="1:15">
      <c r="A70" s="190">
        <f t="shared" si="2"/>
        <v>69</v>
      </c>
      <c r="B70" s="190" t="s">
        <v>160</v>
      </c>
      <c r="C70" s="190" t="s">
        <v>2701</v>
      </c>
      <c r="D70" s="190" t="str">
        <f>VLOOKUP(B70,Dosen!B:H,7,FALSE)</f>
        <v>PROFESIONAL</v>
      </c>
      <c r="E70" s="190" t="s">
        <v>107</v>
      </c>
      <c r="F70" s="190">
        <f>VLOOKUP(B70,Dosen!B:BW,35,FALSE)</f>
        <v>0</v>
      </c>
      <c r="G70" s="190">
        <v>24980018</v>
      </c>
      <c r="H70" s="190">
        <v>5430000022</v>
      </c>
      <c r="I70" s="190" t="s">
        <v>854</v>
      </c>
      <c r="J70" s="190" t="s">
        <v>918</v>
      </c>
      <c r="K70" s="190" t="s">
        <v>21</v>
      </c>
      <c r="L70" s="191" t="s">
        <v>903</v>
      </c>
      <c r="M70" s="190" t="s">
        <v>2129</v>
      </c>
      <c r="N70" s="192" t="s">
        <v>882</v>
      </c>
      <c r="O70" t="str">
        <f>VLOOKUP(B70,Dosen!B:BW,74,FALSE)</f>
        <v xml:space="preserve">1 tahun 4 bulan </v>
      </c>
    </row>
    <row r="71" spans="1:15">
      <c r="A71" s="190">
        <f t="shared" si="2"/>
        <v>70</v>
      </c>
      <c r="B71" s="190" t="s">
        <v>141</v>
      </c>
      <c r="C71" s="190" t="s">
        <v>2674</v>
      </c>
      <c r="D71" s="190" t="str">
        <f>VLOOKUP(B71,Dosen!B:H,7,FALSE)</f>
        <v>PROFESIONAL</v>
      </c>
      <c r="E71" s="190" t="s">
        <v>107</v>
      </c>
      <c r="F71" s="190" t="str">
        <f>VLOOKUP(B71,Dosen!B:BW,35,FALSE)</f>
        <v> </v>
      </c>
      <c r="G71" s="190">
        <v>23960023</v>
      </c>
      <c r="H71" s="190">
        <v>719039601</v>
      </c>
      <c r="I71" s="190" t="s">
        <v>879</v>
      </c>
      <c r="J71" s="190" t="s">
        <v>918</v>
      </c>
      <c r="K71" s="190" t="s">
        <v>21</v>
      </c>
      <c r="L71" s="191" t="s">
        <v>903</v>
      </c>
      <c r="M71" s="190" t="s">
        <v>2129</v>
      </c>
      <c r="N71" s="192" t="s">
        <v>882</v>
      </c>
      <c r="O71" t="str">
        <f>VLOOKUP(B71,Dosen!B:BW,74,FALSE)</f>
        <v xml:space="preserve">2 tahun 4 bulan </v>
      </c>
    </row>
    <row r="72" spans="1:15">
      <c r="A72" s="190">
        <f t="shared" si="2"/>
        <v>71</v>
      </c>
      <c r="B72" s="190" t="s">
        <v>155</v>
      </c>
      <c r="C72" s="190" t="s">
        <v>2693</v>
      </c>
      <c r="D72" s="190" t="str">
        <f>VLOOKUP(B72,Dosen!B:H,7,FALSE)</f>
        <v>PROFESIONAL</v>
      </c>
      <c r="E72" s="190" t="s">
        <v>107</v>
      </c>
      <c r="F72" s="190" t="str">
        <f>VLOOKUP(B72,Dosen!B:BW,35,FALSE)</f>
        <v>IB</v>
      </c>
      <c r="G72" s="190">
        <v>23900006</v>
      </c>
      <c r="H72" s="190">
        <v>711059005</v>
      </c>
      <c r="I72" s="190" t="s">
        <v>854</v>
      </c>
      <c r="J72" s="190" t="s">
        <v>918</v>
      </c>
      <c r="K72" s="190" t="s">
        <v>21</v>
      </c>
      <c r="L72" s="191" t="s">
        <v>903</v>
      </c>
      <c r="M72" s="190" t="s">
        <v>2131</v>
      </c>
      <c r="N72" s="192" t="s">
        <v>882</v>
      </c>
      <c r="O72" t="str">
        <f>VLOOKUP(B72,Dosen!B:BW,74,FALSE)</f>
        <v xml:space="preserve">2 tahun 4 bulan </v>
      </c>
    </row>
    <row r="73" spans="1:15">
      <c r="A73" s="190">
        <f t="shared" si="2"/>
        <v>72</v>
      </c>
      <c r="B73" s="190" t="s">
        <v>121</v>
      </c>
      <c r="C73" s="190" t="s">
        <v>2545</v>
      </c>
      <c r="D73" s="190" t="str">
        <f>VLOOKUP(B73,Dosen!B:H,7,FALSE)</f>
        <v>TETAP</v>
      </c>
      <c r="E73" s="190" t="s">
        <v>107</v>
      </c>
      <c r="F73" s="190" t="str">
        <f>VLOOKUP(B73,Dosen!B:BW,35,FALSE)</f>
        <v> </v>
      </c>
      <c r="G73" s="190">
        <v>23950024</v>
      </c>
      <c r="H73" s="190">
        <v>706089501</v>
      </c>
      <c r="I73" s="190" t="s">
        <v>854</v>
      </c>
      <c r="J73" s="190" t="s">
        <v>847</v>
      </c>
      <c r="K73" s="190" t="s">
        <v>21</v>
      </c>
      <c r="L73" s="191" t="s">
        <v>903</v>
      </c>
      <c r="M73" s="190" t="s">
        <v>2131</v>
      </c>
      <c r="N73" s="192" t="s">
        <v>882</v>
      </c>
      <c r="O73" t="str">
        <f>VLOOKUP(B73,Dosen!B:BW,74,FALSE)</f>
        <v xml:space="preserve">5 tahun 1 bulan </v>
      </c>
    </row>
    <row r="74" spans="1:15">
      <c r="A74" s="190">
        <f t="shared" si="2"/>
        <v>73</v>
      </c>
      <c r="B74" s="190" t="s">
        <v>116</v>
      </c>
      <c r="C74" s="190" t="s">
        <v>2543</v>
      </c>
      <c r="D74" s="190" t="str">
        <f>VLOOKUP(B74,Dosen!B:H,7,FALSE)</f>
        <v>TETAP</v>
      </c>
      <c r="E74" s="190" t="s">
        <v>107</v>
      </c>
      <c r="F74" s="190" t="str">
        <f>VLOOKUP(B74,Dosen!B:BW,35,FALSE)</f>
        <v> </v>
      </c>
      <c r="G74" s="190">
        <v>20940043</v>
      </c>
      <c r="H74" s="190">
        <v>711039403</v>
      </c>
      <c r="I74" s="190" t="s">
        <v>854</v>
      </c>
      <c r="J74" s="190" t="s">
        <v>847</v>
      </c>
      <c r="K74" s="190" t="s">
        <v>1000</v>
      </c>
      <c r="L74" s="191" t="s">
        <v>903</v>
      </c>
      <c r="M74" s="190" t="s">
        <v>2129</v>
      </c>
      <c r="N74" s="192" t="s">
        <v>882</v>
      </c>
      <c r="O74" t="str">
        <f>VLOOKUP(B74,Dosen!B:BW,74,FALSE)</f>
        <v xml:space="preserve">5 tahun 1 bulan </v>
      </c>
    </row>
    <row r="75" spans="1:15">
      <c r="A75" s="190">
        <f t="shared" si="2"/>
        <v>74</v>
      </c>
      <c r="B75" s="190" t="s">
        <v>147</v>
      </c>
      <c r="C75" s="190" t="s">
        <v>2680</v>
      </c>
      <c r="D75" s="190" t="str">
        <f>VLOOKUP(B75,Dosen!B:H,7,FALSE)</f>
        <v>PROFESIONAL</v>
      </c>
      <c r="E75" s="190" t="s">
        <v>107</v>
      </c>
      <c r="F75" s="190" t="str">
        <f>VLOOKUP(B75,Dosen!B:BW,35,FALSE)</f>
        <v> </v>
      </c>
      <c r="G75" s="190">
        <v>23950016</v>
      </c>
      <c r="H75" s="190">
        <v>703039502</v>
      </c>
      <c r="I75" s="190" t="s">
        <v>854</v>
      </c>
      <c r="J75" s="190" t="s">
        <v>918</v>
      </c>
      <c r="K75" s="190" t="s">
        <v>21</v>
      </c>
      <c r="L75" s="191" t="s">
        <v>903</v>
      </c>
      <c r="M75" s="190" t="s">
        <v>2129</v>
      </c>
      <c r="N75" s="192" t="s">
        <v>882</v>
      </c>
      <c r="O75" t="str">
        <f>VLOOKUP(B75,Dosen!B:BW,74,FALSE)</f>
        <v xml:space="preserve">2 tahun 4 bulan </v>
      </c>
    </row>
    <row r="76" spans="1:15">
      <c r="A76" s="190">
        <f t="shared" si="2"/>
        <v>75</v>
      </c>
      <c r="B76" s="190" t="s">
        <v>125</v>
      </c>
      <c r="C76" s="190" t="s">
        <v>2547</v>
      </c>
      <c r="D76" s="190" t="str">
        <f>VLOOKUP(B76,Dosen!B:H,7,FALSE)</f>
        <v>TETAP</v>
      </c>
      <c r="E76" s="190" t="s">
        <v>107</v>
      </c>
      <c r="F76" s="190" t="str">
        <f>VLOOKUP(B76,Dosen!B:BW,35,FALSE)</f>
        <v> </v>
      </c>
      <c r="G76" s="190">
        <v>20970031</v>
      </c>
      <c r="H76" s="190">
        <v>714079701</v>
      </c>
      <c r="I76" s="190" t="s">
        <v>854</v>
      </c>
      <c r="J76" s="190" t="s">
        <v>847</v>
      </c>
      <c r="K76" s="190" t="s">
        <v>1019</v>
      </c>
      <c r="L76" s="191" t="s">
        <v>903</v>
      </c>
      <c r="M76" s="190" t="s">
        <v>2131</v>
      </c>
      <c r="N76" s="192" t="s">
        <v>862</v>
      </c>
      <c r="O76" t="str">
        <f>VLOOKUP(B76,Dosen!B:BW,74,FALSE)</f>
        <v xml:space="preserve">5 tahun 1 bulan </v>
      </c>
    </row>
    <row r="77" spans="1:15">
      <c r="A77" s="190">
        <f t="shared" si="2"/>
        <v>76</v>
      </c>
      <c r="B77" s="190" t="s">
        <v>151</v>
      </c>
      <c r="C77" s="190" t="s">
        <v>1277</v>
      </c>
      <c r="D77" s="190" t="str">
        <f>VLOOKUP(B77,Dosen!B:H,7,FALSE)</f>
        <v>PROFESIONAL</v>
      </c>
      <c r="E77" s="190" t="s">
        <v>107</v>
      </c>
      <c r="F77" s="190" t="str">
        <f>VLOOKUP(B77,Dosen!B:BW,35,FALSE)</f>
        <v> </v>
      </c>
      <c r="G77" s="190">
        <v>23980024</v>
      </c>
      <c r="H77" s="190">
        <v>714089801</v>
      </c>
      <c r="I77" s="190" t="s">
        <v>854</v>
      </c>
      <c r="J77" s="190" t="s">
        <v>918</v>
      </c>
      <c r="K77" s="190" t="s">
        <v>21</v>
      </c>
      <c r="L77" s="191" t="s">
        <v>903</v>
      </c>
      <c r="M77" s="190" t="s">
        <v>2129</v>
      </c>
      <c r="N77" s="192" t="s">
        <v>882</v>
      </c>
      <c r="O77" t="str">
        <f>VLOOKUP(B77,Dosen!B:BW,74,FALSE)</f>
        <v xml:space="preserve">2 tahun 4 bulan </v>
      </c>
    </row>
    <row r="78" spans="1:15">
      <c r="A78" s="190">
        <f t="shared" si="2"/>
        <v>77</v>
      </c>
      <c r="B78" s="190" t="s">
        <v>129</v>
      </c>
      <c r="C78" s="190" t="s">
        <v>1169</v>
      </c>
      <c r="D78" s="190" t="str">
        <f>VLOOKUP(B78,Dosen!B:H,7,FALSE)</f>
        <v>PROFESIONAL</v>
      </c>
      <c r="E78" s="190" t="s">
        <v>107</v>
      </c>
      <c r="F78" s="190" t="str">
        <f>VLOOKUP(B78,Dosen!B:BW,35,FALSE)</f>
        <v> </v>
      </c>
      <c r="G78" s="190">
        <v>22950051</v>
      </c>
      <c r="H78" s="190">
        <v>705109501</v>
      </c>
      <c r="I78" s="190" t="s">
        <v>854</v>
      </c>
      <c r="J78" s="190" t="s">
        <v>847</v>
      </c>
      <c r="K78" s="190" t="s">
        <v>21</v>
      </c>
      <c r="L78" s="191" t="s">
        <v>903</v>
      </c>
      <c r="M78" s="190" t="s">
        <v>2129</v>
      </c>
      <c r="N78" s="192" t="s">
        <v>882</v>
      </c>
      <c r="O78" t="str">
        <f>VLOOKUP(B78,Dosen!B:BW,74,FALSE)</f>
        <v xml:space="preserve">3 tahun 3 bulan </v>
      </c>
    </row>
    <row r="79" spans="1:15">
      <c r="A79" s="190">
        <f t="shared" si="2"/>
        <v>78</v>
      </c>
      <c r="B79" s="190" t="s">
        <v>165</v>
      </c>
      <c r="C79" s="190" t="s">
        <v>1325</v>
      </c>
      <c r="D79" s="190" t="str">
        <f>VLOOKUP(B79,Dosen!B:H,7,FALSE)</f>
        <v>PROFESIONAL</v>
      </c>
      <c r="E79" s="190" t="s">
        <v>107</v>
      </c>
      <c r="F79" s="190">
        <f>VLOOKUP(B79,Dosen!B:BW,35,FALSE)</f>
        <v>0</v>
      </c>
      <c r="G79" s="190"/>
      <c r="H79" s="190"/>
      <c r="I79" s="190" t="s">
        <v>854</v>
      </c>
      <c r="J79" s="190" t="s">
        <v>918</v>
      </c>
      <c r="K79" s="190" t="s">
        <v>21</v>
      </c>
      <c r="L79" s="191" t="s">
        <v>903</v>
      </c>
      <c r="M79" s="192"/>
      <c r="N79" s="192"/>
      <c r="O79" t="str">
        <f>VLOOKUP(B79,Dosen!B:BW,74,FALSE)</f>
        <v xml:space="preserve">0 tahun 10 bulan </v>
      </c>
    </row>
    <row r="80" spans="1:15">
      <c r="A80" s="190">
        <f t="shared" si="2"/>
        <v>79</v>
      </c>
      <c r="B80" s="190" t="s">
        <v>196</v>
      </c>
      <c r="C80" s="190" t="s">
        <v>2670</v>
      </c>
      <c r="D80" s="190" t="str">
        <f>VLOOKUP(B80,Dosen!B:H,7,FALSE)</f>
        <v>PROFESIONAL</v>
      </c>
      <c r="E80" s="190" t="s">
        <v>170</v>
      </c>
      <c r="F80" s="190" t="str">
        <f>VLOOKUP(B80,Dosen!B:BW,35,FALSE)</f>
        <v> </v>
      </c>
      <c r="G80" s="190">
        <v>23900007</v>
      </c>
      <c r="H80" s="190">
        <v>718069004</v>
      </c>
      <c r="I80" s="190" t="s">
        <v>854</v>
      </c>
      <c r="J80" s="190" t="s">
        <v>918</v>
      </c>
      <c r="K80" s="190" t="s">
        <v>21</v>
      </c>
      <c r="L80" s="191" t="s">
        <v>903</v>
      </c>
      <c r="M80" s="190" t="s">
        <v>2130</v>
      </c>
      <c r="N80" s="192" t="s">
        <v>862</v>
      </c>
      <c r="O80" t="str">
        <f>VLOOKUP(B80,Dosen!B:BW,74,FALSE)</f>
        <v xml:space="preserve">2 tahun 4 bulan </v>
      </c>
    </row>
    <row r="81" spans="1:15">
      <c r="A81" s="190">
        <f t="shared" si="2"/>
        <v>80</v>
      </c>
      <c r="B81" s="190" t="s">
        <v>169</v>
      </c>
      <c r="C81" s="190" t="s">
        <v>1044</v>
      </c>
      <c r="D81" s="190" t="str">
        <f>VLOOKUP(B81,Dosen!B:H,7,FALSE)</f>
        <v>TETAP</v>
      </c>
      <c r="E81" s="190" t="s">
        <v>170</v>
      </c>
      <c r="F81" s="190" t="str">
        <f>VLOOKUP(B81,Dosen!B:BW,35,FALSE)</f>
        <v>TB</v>
      </c>
      <c r="G81" s="190">
        <v>20870004</v>
      </c>
      <c r="H81" s="190">
        <v>729088704</v>
      </c>
      <c r="I81" s="190" t="s">
        <v>854</v>
      </c>
      <c r="J81" s="190" t="s">
        <v>847</v>
      </c>
      <c r="K81" s="190" t="s">
        <v>21</v>
      </c>
      <c r="L81" s="191" t="s">
        <v>903</v>
      </c>
      <c r="M81" s="190" t="s">
        <v>2130</v>
      </c>
      <c r="N81" s="192" t="s">
        <v>862</v>
      </c>
      <c r="O81" t="str">
        <f>VLOOKUP(B81,Dosen!B:BW,74,FALSE)</f>
        <v xml:space="preserve">7 tahun 6 bulan </v>
      </c>
    </row>
    <row r="82" spans="1:15">
      <c r="A82" s="190">
        <f t="shared" si="2"/>
        <v>81</v>
      </c>
      <c r="B82" s="190" t="s">
        <v>174</v>
      </c>
      <c r="C82" s="190" t="s">
        <v>1194</v>
      </c>
      <c r="D82" s="190" t="str">
        <f>VLOOKUP(B82,Dosen!B:H,7,FALSE)</f>
        <v>TETAP</v>
      </c>
      <c r="E82" s="190" t="s">
        <v>170</v>
      </c>
      <c r="F82" s="190" t="str">
        <f>VLOOKUP(B82,Dosen!B:BW,35,FALSE)</f>
        <v> </v>
      </c>
      <c r="G82" s="190">
        <v>9820030</v>
      </c>
      <c r="H82" s="190">
        <v>402058203</v>
      </c>
      <c r="I82" s="190" t="s">
        <v>854</v>
      </c>
      <c r="J82" s="190" t="s">
        <v>847</v>
      </c>
      <c r="K82" s="190" t="s">
        <v>1019</v>
      </c>
      <c r="L82" s="191" t="s">
        <v>903</v>
      </c>
      <c r="M82" s="191" t="s">
        <v>2130</v>
      </c>
      <c r="N82" s="192" t="s">
        <v>862</v>
      </c>
      <c r="O82" t="str">
        <f>VLOOKUP(B82,Dosen!B:BW,74,FALSE)</f>
        <v xml:space="preserve">16 tahun 11 bulan </v>
      </c>
    </row>
    <row r="83" spans="1:15">
      <c r="A83" s="190">
        <f t="shared" si="2"/>
        <v>82</v>
      </c>
      <c r="B83" s="190" t="s">
        <v>187</v>
      </c>
      <c r="C83" s="190" t="s">
        <v>2492</v>
      </c>
      <c r="D83" s="190" t="str">
        <f>VLOOKUP(B83,Dosen!B:H,7,FALSE)</f>
        <v>TETAP</v>
      </c>
      <c r="E83" s="190" t="s">
        <v>170</v>
      </c>
      <c r="F83" s="190">
        <f>VLOOKUP(B83,Dosen!B:BW,35,FALSE)</f>
        <v>0</v>
      </c>
      <c r="G83" s="190">
        <v>20940001</v>
      </c>
      <c r="H83" s="190">
        <v>709039401</v>
      </c>
      <c r="I83" s="190" t="s">
        <v>879</v>
      </c>
      <c r="J83" s="190" t="s">
        <v>775</v>
      </c>
      <c r="K83" s="190" t="s">
        <v>1000</v>
      </c>
      <c r="L83" s="191" t="s">
        <v>903</v>
      </c>
      <c r="M83" s="191" t="s">
        <v>2129</v>
      </c>
      <c r="N83" s="192" t="s">
        <v>882</v>
      </c>
      <c r="O83" t="str">
        <f>VLOOKUP(B83,Dosen!B:BW,74,FALSE)</f>
        <v xml:space="preserve">7 tahun 6 bulan </v>
      </c>
    </row>
    <row r="84" spans="1:15">
      <c r="A84" s="190">
        <f t="shared" si="2"/>
        <v>83</v>
      </c>
      <c r="B84" s="190" t="s">
        <v>179</v>
      </c>
      <c r="C84" s="190" t="s">
        <v>915</v>
      </c>
      <c r="D84" s="190" t="str">
        <f>VLOOKUP(B84,Dosen!B:H,7,FALSE)</f>
        <v>TETAP</v>
      </c>
      <c r="E84" s="190" t="s">
        <v>170</v>
      </c>
      <c r="F84" s="190" t="str">
        <f>VLOOKUP(B84,Dosen!B:BW,35,FALSE)</f>
        <v>TB</v>
      </c>
      <c r="G84" s="190">
        <v>19870004</v>
      </c>
      <c r="H84" s="190">
        <v>730058702</v>
      </c>
      <c r="I84" s="190" t="s">
        <v>854</v>
      </c>
      <c r="J84" s="190" t="s">
        <v>847</v>
      </c>
      <c r="K84" s="190" t="s">
        <v>21</v>
      </c>
      <c r="L84" s="191" t="s">
        <v>903</v>
      </c>
      <c r="M84" s="190" t="s">
        <v>2130</v>
      </c>
      <c r="N84" s="192" t="s">
        <v>882</v>
      </c>
      <c r="O84" t="str">
        <f>VLOOKUP(B84,Dosen!B:BW,74,FALSE)</f>
        <v xml:space="preserve">8 tahun 0 bulan </v>
      </c>
    </row>
    <row r="85" spans="1:15">
      <c r="A85" s="190">
        <f t="shared" si="2"/>
        <v>84</v>
      </c>
      <c r="B85" s="190" t="s">
        <v>183</v>
      </c>
      <c r="C85" s="190" t="s">
        <v>2459</v>
      </c>
      <c r="D85" s="190" t="str">
        <f>VLOOKUP(B85,Dosen!B:H,7,FALSE)</f>
        <v>TETAP</v>
      </c>
      <c r="E85" s="190" t="s">
        <v>170</v>
      </c>
      <c r="F85" s="190" t="str">
        <f>VLOOKUP(B85,Dosen!B:BW,35,FALSE)</f>
        <v>TB</v>
      </c>
      <c r="G85" s="190">
        <v>19810001</v>
      </c>
      <c r="H85" s="190">
        <v>709128101</v>
      </c>
      <c r="I85" s="190" t="s">
        <v>854</v>
      </c>
      <c r="J85" s="190" t="s">
        <v>847</v>
      </c>
      <c r="K85" s="190" t="s">
        <v>21</v>
      </c>
      <c r="L85" s="191" t="s">
        <v>903</v>
      </c>
      <c r="M85" s="190" t="s">
        <v>2129</v>
      </c>
      <c r="N85" s="192" t="s">
        <v>882</v>
      </c>
      <c r="O85" t="str">
        <f>VLOOKUP(B85,Dosen!B:BW,74,FALSE)</f>
        <v xml:space="preserve">8 tahun 0 bulan </v>
      </c>
    </row>
    <row r="86" spans="1:15">
      <c r="A86" s="190">
        <f t="shared" si="2"/>
        <v>85</v>
      </c>
      <c r="B86" s="190" t="s">
        <v>200</v>
      </c>
      <c r="C86" s="190" t="s">
        <v>2550</v>
      </c>
      <c r="D86" s="190" t="str">
        <f>VLOOKUP(B86,Dosen!B:H,7,FALSE)</f>
        <v>TETAP</v>
      </c>
      <c r="E86" s="190" t="s">
        <v>201</v>
      </c>
      <c r="F86" s="190" t="str">
        <f>VLOOKUP(B86,Dosen!B:BW,35,FALSE)</f>
        <v> </v>
      </c>
      <c r="G86" s="190">
        <v>20940044</v>
      </c>
      <c r="H86" s="190">
        <v>729129403</v>
      </c>
      <c r="I86" s="190" t="s">
        <v>854</v>
      </c>
      <c r="J86" s="190" t="s">
        <v>847</v>
      </c>
      <c r="K86" s="190" t="s">
        <v>21</v>
      </c>
      <c r="L86" s="191" t="s">
        <v>903</v>
      </c>
      <c r="M86" s="190" t="s">
        <v>2129</v>
      </c>
      <c r="N86" s="192" t="s">
        <v>871</v>
      </c>
      <c r="O86" t="str">
        <f>VLOOKUP(B86,Dosen!B:BW,74,FALSE)</f>
        <v xml:space="preserve">5 tahun 1 bulan </v>
      </c>
    </row>
    <row r="87" spans="1:15">
      <c r="A87" s="190">
        <f t="shared" si="2"/>
        <v>86</v>
      </c>
      <c r="B87" s="190" t="s">
        <v>211</v>
      </c>
      <c r="C87" s="190" t="s">
        <v>2555</v>
      </c>
      <c r="D87" s="190" t="str">
        <f>VLOOKUP(B87,Dosen!B:H,7,FALSE)</f>
        <v>TETAP</v>
      </c>
      <c r="E87" s="190" t="s">
        <v>201</v>
      </c>
      <c r="F87" s="190" t="str">
        <f>VLOOKUP(B87,Dosen!B:BW,35,FALSE)</f>
        <v>TB</v>
      </c>
      <c r="G87" s="190">
        <v>23950023</v>
      </c>
      <c r="H87" s="190">
        <v>724079501</v>
      </c>
      <c r="I87" s="190" t="s">
        <v>854</v>
      </c>
      <c r="J87" s="190" t="s">
        <v>847</v>
      </c>
      <c r="K87" s="190" t="s">
        <v>1000</v>
      </c>
      <c r="L87" s="191" t="s">
        <v>903</v>
      </c>
      <c r="M87" s="190" t="s">
        <v>2129</v>
      </c>
      <c r="N87" s="192" t="s">
        <v>882</v>
      </c>
      <c r="O87" t="str">
        <f>VLOOKUP(B87,Dosen!B:BW,74,FALSE)</f>
        <v xml:space="preserve">5 tahun 1 bulan </v>
      </c>
    </row>
    <row r="88" spans="1:15">
      <c r="A88" s="190">
        <f t="shared" si="2"/>
        <v>87</v>
      </c>
      <c r="B88" s="190" t="s">
        <v>215</v>
      </c>
      <c r="C88" s="190" t="s">
        <v>2580</v>
      </c>
      <c r="D88" s="190" t="str">
        <f>VLOOKUP(B88,Dosen!B:H,7,FALSE)</f>
        <v>PROFESIONAL</v>
      </c>
      <c r="E88" s="190" t="s">
        <v>201</v>
      </c>
      <c r="F88" s="190" t="str">
        <f>VLOOKUP(B88,Dosen!B:BW,35,FALSE)</f>
        <v> </v>
      </c>
      <c r="G88" s="190">
        <v>22960008</v>
      </c>
      <c r="H88" s="190">
        <v>730099601</v>
      </c>
      <c r="I88" s="190" t="s">
        <v>854</v>
      </c>
      <c r="J88" s="190" t="s">
        <v>847</v>
      </c>
      <c r="K88" s="190" t="s">
        <v>21</v>
      </c>
      <c r="L88" s="191" t="s">
        <v>903</v>
      </c>
      <c r="M88" s="190" t="s">
        <v>2129</v>
      </c>
      <c r="N88" s="192" t="s">
        <v>862</v>
      </c>
      <c r="O88" t="str">
        <f>VLOOKUP(B88,Dosen!B:BW,74,FALSE)</f>
        <v xml:space="preserve">3 tahun 9 bulan </v>
      </c>
    </row>
    <row r="89" spans="1:15">
      <c r="A89" s="190">
        <f t="shared" si="2"/>
        <v>88</v>
      </c>
      <c r="B89" s="190" t="s">
        <v>220</v>
      </c>
      <c r="C89" s="190" t="s">
        <v>2582</v>
      </c>
      <c r="D89" s="190" t="str">
        <f>VLOOKUP(B89,Dosen!B:H,7,FALSE)</f>
        <v>PROFESIONAL</v>
      </c>
      <c r="E89" s="190" t="s">
        <v>201</v>
      </c>
      <c r="F89" s="190" t="str">
        <f>VLOOKUP(B89,Dosen!B:BW,35,FALSE)</f>
        <v> </v>
      </c>
      <c r="G89" s="190">
        <v>22900008</v>
      </c>
      <c r="H89" s="190">
        <v>714069008</v>
      </c>
      <c r="I89" s="190" t="s">
        <v>854</v>
      </c>
      <c r="J89" s="190" t="s">
        <v>847</v>
      </c>
      <c r="K89" s="190" t="s">
        <v>21</v>
      </c>
      <c r="L89" s="191" t="s">
        <v>903</v>
      </c>
      <c r="M89" s="190" t="s">
        <v>2129</v>
      </c>
      <c r="N89" s="192" t="s">
        <v>882</v>
      </c>
      <c r="O89" t="str">
        <f>VLOOKUP(B89,Dosen!B:BW,74,FALSE)</f>
        <v xml:space="preserve">3 tahun 9 bulan </v>
      </c>
    </row>
    <row r="90" spans="1:15">
      <c r="A90" s="190">
        <f t="shared" si="2"/>
        <v>89</v>
      </c>
      <c r="B90" s="190" t="s">
        <v>229</v>
      </c>
      <c r="C90" s="190" t="s">
        <v>1310</v>
      </c>
      <c r="D90" s="190" t="str">
        <f>VLOOKUP(B90,Dosen!B:H,7,FALSE)</f>
        <v>PROFESIONAL</v>
      </c>
      <c r="E90" s="190" t="s">
        <v>201</v>
      </c>
      <c r="F90" s="190" t="str">
        <f>VLOOKUP(B90,Dosen!B:BW,35,FALSE)</f>
        <v>IB</v>
      </c>
      <c r="G90" s="190">
        <v>25990003</v>
      </c>
      <c r="H90" s="190"/>
      <c r="I90" s="190" t="s">
        <v>854</v>
      </c>
      <c r="J90" s="190" t="s">
        <v>918</v>
      </c>
      <c r="K90" s="190" t="s">
        <v>21</v>
      </c>
      <c r="L90" s="191" t="s">
        <v>903</v>
      </c>
      <c r="M90" s="192"/>
      <c r="N90" s="192"/>
      <c r="O90" t="str">
        <f>VLOOKUP(B90,Dosen!B:BW,74,FALSE)</f>
        <v xml:space="preserve">1 tahun 0 bulan </v>
      </c>
    </row>
    <row r="91" spans="1:15">
      <c r="A91" s="190">
        <f t="shared" si="2"/>
        <v>90</v>
      </c>
      <c r="B91" s="190" t="s">
        <v>224</v>
      </c>
      <c r="C91" s="190" t="s">
        <v>2594</v>
      </c>
      <c r="D91" s="190" t="str">
        <f>VLOOKUP(B91,Dosen!B:H,7,FALSE)</f>
        <v>PROFESIONAL</v>
      </c>
      <c r="E91" s="190" t="s">
        <v>201</v>
      </c>
      <c r="F91" s="190" t="str">
        <f>VLOOKUP(B91,Dosen!B:BW,35,FALSE)</f>
        <v> </v>
      </c>
      <c r="G91" s="190">
        <v>22930003</v>
      </c>
      <c r="H91" s="190">
        <v>723119302</v>
      </c>
      <c r="I91" s="190" t="s">
        <v>854</v>
      </c>
      <c r="J91" s="190" t="s">
        <v>847</v>
      </c>
      <c r="K91" s="190" t="s">
        <v>21</v>
      </c>
      <c r="L91" s="191" t="s">
        <v>903</v>
      </c>
      <c r="M91" s="190" t="s">
        <v>2130</v>
      </c>
      <c r="N91" s="192" t="s">
        <v>882</v>
      </c>
      <c r="O91" t="str">
        <f>VLOOKUP(B91,Dosen!B:BW,74,FALSE)</f>
        <v xml:space="preserve">3 tahun 9 bulan </v>
      </c>
    </row>
    <row r="92" spans="1:15">
      <c r="A92" s="190">
        <f t="shared" si="2"/>
        <v>91</v>
      </c>
      <c r="B92" s="190" t="s">
        <v>282</v>
      </c>
      <c r="C92" s="190" t="s">
        <v>2619</v>
      </c>
      <c r="D92" s="190" t="str">
        <f>VLOOKUP(B92,Dosen!B:H,7,FALSE)</f>
        <v>PROFESIONAL</v>
      </c>
      <c r="E92" s="190" t="s">
        <v>235</v>
      </c>
      <c r="F92" s="190" t="str">
        <f>VLOOKUP(B92,Dosen!B:BW,35,FALSE)</f>
        <v> </v>
      </c>
      <c r="G92" s="190">
        <v>22940040</v>
      </c>
      <c r="H92" s="190">
        <v>710089403</v>
      </c>
      <c r="I92" s="190" t="s">
        <v>854</v>
      </c>
      <c r="J92" s="190" t="s">
        <v>918</v>
      </c>
      <c r="K92" s="190" t="s">
        <v>21</v>
      </c>
      <c r="L92" s="191" t="s">
        <v>903</v>
      </c>
      <c r="M92" s="190" t="s">
        <v>2130</v>
      </c>
      <c r="N92" s="192" t="s">
        <v>862</v>
      </c>
      <c r="O92" t="str">
        <f>VLOOKUP(B92,Dosen!B:BW,74,FALSE)</f>
        <v xml:space="preserve">3 tahun 3 bulan </v>
      </c>
    </row>
    <row r="93" spans="1:15">
      <c r="A93" s="190">
        <f t="shared" si="2"/>
        <v>92</v>
      </c>
      <c r="B93" s="190" t="s">
        <v>255</v>
      </c>
      <c r="C93" s="190" t="s">
        <v>2524</v>
      </c>
      <c r="D93" s="190" t="str">
        <f>VLOOKUP(B93,Dosen!B:H,7,FALSE)</f>
        <v>PERBANTUAN</v>
      </c>
      <c r="E93" s="190" t="s">
        <v>235</v>
      </c>
      <c r="F93" s="190" t="str">
        <f>VLOOKUP(B93,Dosen!B:BW,35,FALSE)</f>
        <v> </v>
      </c>
      <c r="G93" s="190">
        <v>19750005</v>
      </c>
      <c r="H93" s="190">
        <v>8920230021</v>
      </c>
      <c r="I93" s="190" t="s">
        <v>879</v>
      </c>
      <c r="J93" s="190" t="s">
        <v>775</v>
      </c>
      <c r="K93" s="190" t="s">
        <v>2735</v>
      </c>
      <c r="L93" s="191" t="s">
        <v>903</v>
      </c>
      <c r="M93" s="190" t="s">
        <v>2129</v>
      </c>
      <c r="N93" s="192" t="s">
        <v>871</v>
      </c>
      <c r="O93" t="str">
        <f>VLOOKUP(B93,Dosen!B:BW,74,FALSE)</f>
        <v xml:space="preserve">6 tahun 2 bulan </v>
      </c>
    </row>
    <row r="94" spans="1:15">
      <c r="A94" s="190">
        <f t="shared" si="2"/>
        <v>93</v>
      </c>
      <c r="B94" s="190" t="s">
        <v>294</v>
      </c>
      <c r="C94" s="190" t="s">
        <v>2627</v>
      </c>
      <c r="D94" s="190" t="str">
        <f>VLOOKUP(B94,Dosen!B:H,7,FALSE)</f>
        <v>PROFESIONAL</v>
      </c>
      <c r="E94" s="190" t="s">
        <v>235</v>
      </c>
      <c r="F94" s="190" t="str">
        <f>VLOOKUP(B94,Dosen!B:BW,35,FALSE)</f>
        <v> </v>
      </c>
      <c r="G94" s="190">
        <v>22950050</v>
      </c>
      <c r="H94" s="190">
        <v>724099501</v>
      </c>
      <c r="I94" s="190" t="s">
        <v>854</v>
      </c>
      <c r="J94" s="190" t="s">
        <v>918</v>
      </c>
      <c r="K94" s="190" t="s">
        <v>21</v>
      </c>
      <c r="L94" s="191" t="s">
        <v>903</v>
      </c>
      <c r="M94" s="190" t="s">
        <v>2129</v>
      </c>
      <c r="N94" s="192" t="s">
        <v>862</v>
      </c>
      <c r="O94" t="str">
        <f>VLOOKUP(B94,Dosen!B:BW,74,FALSE)</f>
        <v xml:space="preserve">3 tahun 3 bulan </v>
      </c>
    </row>
    <row r="95" spans="1:15">
      <c r="A95" s="190">
        <f t="shared" si="2"/>
        <v>94</v>
      </c>
      <c r="B95" s="190" t="s">
        <v>302</v>
      </c>
      <c r="C95" s="190" t="s">
        <v>2632</v>
      </c>
      <c r="D95" s="190" t="str">
        <f>VLOOKUP(B95,Dosen!B:H,7,FALSE)</f>
        <v>PROFESIONAL</v>
      </c>
      <c r="E95" s="190" t="s">
        <v>235</v>
      </c>
      <c r="F95" s="190">
        <f>VLOOKUP(B95,Dosen!B:BW,35,FALSE)</f>
        <v>0</v>
      </c>
      <c r="G95" s="190">
        <v>22930045</v>
      </c>
      <c r="H95" s="190">
        <v>712039301</v>
      </c>
      <c r="I95" s="190" t="s">
        <v>854</v>
      </c>
      <c r="J95" s="190" t="s">
        <v>918</v>
      </c>
      <c r="K95" s="190" t="s">
        <v>21</v>
      </c>
      <c r="L95" s="191" t="s">
        <v>903</v>
      </c>
      <c r="M95" s="190" t="s">
        <v>2129</v>
      </c>
      <c r="N95" s="192" t="s">
        <v>862</v>
      </c>
      <c r="O95" t="str">
        <f>VLOOKUP(B95,Dosen!B:BW,74,FALSE)</f>
        <v xml:space="preserve">3 tahun 3 bulan </v>
      </c>
    </row>
    <row r="96" spans="1:15">
      <c r="A96" s="190">
        <f t="shared" si="2"/>
        <v>95</v>
      </c>
      <c r="B96" s="190" t="s">
        <v>316</v>
      </c>
      <c r="C96" s="190" t="s">
        <v>1204</v>
      </c>
      <c r="D96" s="190" t="str">
        <f>VLOOKUP(B96,Dosen!B:H,7,FALSE)</f>
        <v>PROFESIONAL</v>
      </c>
      <c r="E96" s="190" t="s">
        <v>235</v>
      </c>
      <c r="F96" s="190">
        <f>VLOOKUP(B96,Dosen!B:BW,35,FALSE)</f>
        <v>0</v>
      </c>
      <c r="G96" s="190">
        <v>22940041</v>
      </c>
      <c r="H96" s="190">
        <v>10109403</v>
      </c>
      <c r="I96" s="190" t="s">
        <v>854</v>
      </c>
      <c r="J96" s="190" t="s">
        <v>918</v>
      </c>
      <c r="K96" s="190" t="s">
        <v>1000</v>
      </c>
      <c r="L96" s="191" t="s">
        <v>903</v>
      </c>
      <c r="M96" s="191" t="s">
        <v>2129</v>
      </c>
      <c r="N96" s="192" t="s">
        <v>862</v>
      </c>
      <c r="O96" t="str">
        <f>VLOOKUP(B96,Dosen!B:BW,74,FALSE)</f>
        <v xml:space="preserve">3 tahun 3 bulan </v>
      </c>
    </row>
    <row r="97" spans="1:15">
      <c r="A97" s="190">
        <f t="shared" si="2"/>
        <v>96</v>
      </c>
      <c r="B97" s="190" t="s">
        <v>260</v>
      </c>
      <c r="C97" s="190" t="s">
        <v>2533</v>
      </c>
      <c r="D97" s="190" t="str">
        <f>VLOOKUP(B97,Dosen!B:H,7,FALSE)</f>
        <v>TETAP</v>
      </c>
      <c r="E97" s="190" t="s">
        <v>235</v>
      </c>
      <c r="F97" s="190" t="str">
        <f>VLOOKUP(B97,Dosen!B:BW,35,FALSE)</f>
        <v>TB</v>
      </c>
      <c r="G97" s="190">
        <v>23900009</v>
      </c>
      <c r="H97" s="190">
        <v>709059004</v>
      </c>
      <c r="I97" s="190" t="s">
        <v>854</v>
      </c>
      <c r="J97" s="190" t="s">
        <v>847</v>
      </c>
      <c r="K97" s="190" t="s">
        <v>1153</v>
      </c>
      <c r="L97" s="191" t="s">
        <v>903</v>
      </c>
      <c r="M97" s="191" t="s">
        <v>2131</v>
      </c>
      <c r="N97" s="192" t="s">
        <v>882</v>
      </c>
      <c r="O97" t="str">
        <f>VLOOKUP(B97,Dosen!B:BW,74,FALSE)</f>
        <v xml:space="preserve">5 tahun 4 bulan </v>
      </c>
    </row>
    <row r="98" spans="1:15">
      <c r="A98" s="190">
        <f t="shared" si="2"/>
        <v>97</v>
      </c>
      <c r="B98" s="190" t="s">
        <v>273</v>
      </c>
      <c r="C98" s="190" t="s">
        <v>2575</v>
      </c>
      <c r="D98" s="190" t="str">
        <f>VLOOKUP(B98,Dosen!B:H,7,FALSE)</f>
        <v>PROFESIONAL</v>
      </c>
      <c r="E98" s="190" t="s">
        <v>235</v>
      </c>
      <c r="F98" s="190" t="str">
        <f>VLOOKUP(B98,Dosen!B:BW,35,FALSE)</f>
        <v> </v>
      </c>
      <c r="G98" s="190">
        <v>21870007</v>
      </c>
      <c r="H98" s="190">
        <v>724098701</v>
      </c>
      <c r="I98" s="190" t="s">
        <v>854</v>
      </c>
      <c r="J98" s="190" t="s">
        <v>918</v>
      </c>
      <c r="K98" s="190" t="s">
        <v>21</v>
      </c>
      <c r="L98" s="191" t="s">
        <v>903</v>
      </c>
      <c r="M98" s="191" t="s">
        <v>2130</v>
      </c>
      <c r="N98" s="192" t="s">
        <v>882</v>
      </c>
      <c r="O98" t="str">
        <f>VLOOKUP(B98,Dosen!B:BW,74,FALSE)</f>
        <v xml:space="preserve">4 tahun 0 bulan </v>
      </c>
    </row>
    <row r="99" spans="1:15">
      <c r="A99" s="190">
        <f t="shared" ref="A99:A112" si="3">A98+1</f>
        <v>98</v>
      </c>
      <c r="B99" s="190" t="s">
        <v>307</v>
      </c>
      <c r="C99" s="190" t="s">
        <v>2639</v>
      </c>
      <c r="D99" s="190" t="str">
        <f>VLOOKUP(B99,Dosen!B:H,7,FALSE)</f>
        <v>PROFESIONAL</v>
      </c>
      <c r="E99" s="190" t="s">
        <v>235</v>
      </c>
      <c r="F99" s="190" t="str">
        <f>VLOOKUP(B99,Dosen!B:BW,35,FALSE)</f>
        <v> </v>
      </c>
      <c r="G99" s="190">
        <v>22920034</v>
      </c>
      <c r="H99" s="190">
        <v>715019202</v>
      </c>
      <c r="I99" s="190" t="s">
        <v>854</v>
      </c>
      <c r="J99" s="190" t="s">
        <v>918</v>
      </c>
      <c r="K99" s="190" t="s">
        <v>21</v>
      </c>
      <c r="L99" s="191" t="s">
        <v>903</v>
      </c>
      <c r="M99" s="191" t="s">
        <v>2130</v>
      </c>
      <c r="N99" s="192" t="s">
        <v>882</v>
      </c>
      <c r="O99" t="str">
        <f>VLOOKUP(B99,Dosen!B:BW,74,FALSE)</f>
        <v xml:space="preserve">3 tahun 3 bulan </v>
      </c>
    </row>
    <row r="100" spans="1:15">
      <c r="A100" s="190">
        <f t="shared" si="3"/>
        <v>99</v>
      </c>
      <c r="B100" s="190" t="s">
        <v>321</v>
      </c>
      <c r="C100" s="190" t="s">
        <v>1109</v>
      </c>
      <c r="D100" s="190" t="str">
        <f>VLOOKUP(B100,Dosen!B:H,7,FALSE)</f>
        <v>TETAP</v>
      </c>
      <c r="E100" s="190" t="s">
        <v>235</v>
      </c>
      <c r="F100" s="190" t="str">
        <f>VLOOKUP(B100,Dosen!B:BW,35,FALSE)</f>
        <v>TB</v>
      </c>
      <c r="G100" s="190">
        <v>19900008</v>
      </c>
      <c r="H100" s="190">
        <v>703129001</v>
      </c>
      <c r="I100" s="190" t="s">
        <v>854</v>
      </c>
      <c r="J100" s="190" t="s">
        <v>847</v>
      </c>
      <c r="K100" s="190" t="s">
        <v>21</v>
      </c>
      <c r="L100" s="191" t="s">
        <v>903</v>
      </c>
      <c r="M100" s="191" t="s">
        <v>2130</v>
      </c>
      <c r="N100" s="192" t="s">
        <v>882</v>
      </c>
      <c r="O100" t="str">
        <f>VLOOKUP(B100,Dosen!B:BW,74,FALSE)</f>
        <v xml:space="preserve">8 tahun 0 bulan </v>
      </c>
    </row>
    <row r="101" spans="1:15">
      <c r="A101" s="190">
        <f t="shared" si="3"/>
        <v>100</v>
      </c>
      <c r="B101" s="190" t="s">
        <v>243</v>
      </c>
      <c r="C101" s="190" t="s">
        <v>2490</v>
      </c>
      <c r="D101" s="190" t="str">
        <f>VLOOKUP(B101,Dosen!B:H,7,FALSE)</f>
        <v>TETAP</v>
      </c>
      <c r="E101" s="190" t="s">
        <v>235</v>
      </c>
      <c r="F101" s="190" t="str">
        <f>VLOOKUP(B101,Dosen!B:BW,35,FALSE)</f>
        <v>TB</v>
      </c>
      <c r="G101" s="190">
        <v>20860017</v>
      </c>
      <c r="H101" s="190">
        <v>721088602</v>
      </c>
      <c r="I101" s="190" t="s">
        <v>854</v>
      </c>
      <c r="J101" s="190" t="s">
        <v>847</v>
      </c>
      <c r="K101" s="190" t="s">
        <v>21</v>
      </c>
      <c r="L101" s="191" t="s">
        <v>903</v>
      </c>
      <c r="M101" s="190" t="s">
        <v>2130</v>
      </c>
      <c r="N101" s="192" t="s">
        <v>882</v>
      </c>
      <c r="O101" t="str">
        <f>VLOOKUP(B101,Dosen!B:BW,74,FALSE)</f>
        <v xml:space="preserve">7 tahun 6 bulan </v>
      </c>
    </row>
    <row r="102" spans="1:15">
      <c r="A102" s="190">
        <f t="shared" si="3"/>
        <v>101</v>
      </c>
      <c r="B102" s="190" t="s">
        <v>422</v>
      </c>
      <c r="C102" s="190" t="s">
        <v>975</v>
      </c>
      <c r="D102" s="190" t="str">
        <f>VLOOKUP(B102,Dosen!B:H,7,FALSE)</f>
        <v>TETAP</v>
      </c>
      <c r="E102" s="190" t="s">
        <v>413</v>
      </c>
      <c r="F102" s="190" t="str">
        <f>VLOOKUP(B102,Dosen!B:BW,35,FALSE)</f>
        <v> </v>
      </c>
      <c r="G102" s="190">
        <v>20830012</v>
      </c>
      <c r="H102" s="190">
        <v>721058310</v>
      </c>
      <c r="I102" s="190" t="s">
        <v>854</v>
      </c>
      <c r="J102" s="190" t="s">
        <v>918</v>
      </c>
      <c r="K102" s="190" t="s">
        <v>21</v>
      </c>
      <c r="L102" s="191" t="s">
        <v>903</v>
      </c>
      <c r="M102" s="190" t="s">
        <v>2131</v>
      </c>
      <c r="N102" s="192" t="s">
        <v>862</v>
      </c>
      <c r="O102" t="str">
        <f>VLOOKUP(B102,Dosen!B:BW,74,FALSE)</f>
        <v xml:space="preserve">7 tahun 6 bulan </v>
      </c>
    </row>
    <row r="103" spans="1:15">
      <c r="A103" s="190">
        <f t="shared" si="3"/>
        <v>102</v>
      </c>
      <c r="B103" s="190" t="s">
        <v>438</v>
      </c>
      <c r="C103" s="190" t="s">
        <v>1260</v>
      </c>
      <c r="D103" s="190" t="str">
        <f>VLOOKUP(B103,Dosen!B:H,7,FALSE)</f>
        <v>TETAP</v>
      </c>
      <c r="E103" s="190" t="s">
        <v>413</v>
      </c>
      <c r="F103" s="190" t="str">
        <f>VLOOKUP(B103,Dosen!B:BW,35,FALSE)</f>
        <v>TB</v>
      </c>
      <c r="G103" s="190">
        <v>19880003</v>
      </c>
      <c r="H103" s="190">
        <v>727048809</v>
      </c>
      <c r="I103" s="190" t="s">
        <v>854</v>
      </c>
      <c r="J103" s="190" t="s">
        <v>775</v>
      </c>
      <c r="K103" s="190" t="s">
        <v>21</v>
      </c>
      <c r="L103" s="191" t="s">
        <v>903</v>
      </c>
      <c r="M103" s="191" t="s">
        <v>2131</v>
      </c>
      <c r="N103" s="192" t="s">
        <v>862</v>
      </c>
      <c r="O103" t="str">
        <f>VLOOKUP(B103,Dosen!B:BW,74,FALSE)</f>
        <v xml:space="preserve">8 tahun 0 bulan </v>
      </c>
    </row>
    <row r="104" spans="1:15">
      <c r="A104" s="190">
        <f t="shared" si="3"/>
        <v>103</v>
      </c>
      <c r="B104" s="190" t="s">
        <v>523</v>
      </c>
      <c r="C104" s="190" t="s">
        <v>2519</v>
      </c>
      <c r="D104" s="190" t="str">
        <f>VLOOKUP(B104,Dosen!B:H,7,FALSE)</f>
        <v>TETAP</v>
      </c>
      <c r="E104" s="190" t="s">
        <v>524</v>
      </c>
      <c r="F104" s="190" t="str">
        <f>VLOOKUP(B104,Dosen!B:BW,35,FALSE)</f>
        <v>TB</v>
      </c>
      <c r="G104" s="190">
        <v>23929009</v>
      </c>
      <c r="H104" s="190">
        <v>704039202</v>
      </c>
      <c r="I104" s="190" t="s">
        <v>854</v>
      </c>
      <c r="J104" s="190" t="s">
        <v>847</v>
      </c>
      <c r="K104" s="190" t="s">
        <v>21</v>
      </c>
      <c r="L104" s="191" t="s">
        <v>903</v>
      </c>
      <c r="M104" s="191" t="s">
        <v>2129</v>
      </c>
      <c r="N104" s="192" t="s">
        <v>862</v>
      </c>
      <c r="O104" t="str">
        <f>VLOOKUP(B104,Dosen!B:BW,74,FALSE)</f>
        <v xml:space="preserve">7 tahun 6 bulan </v>
      </c>
    </row>
    <row r="105" spans="1:15">
      <c r="A105" s="190">
        <f t="shared" si="3"/>
        <v>104</v>
      </c>
      <c r="B105" s="190" t="s">
        <v>536</v>
      </c>
      <c r="C105" s="190" t="s">
        <v>2438</v>
      </c>
      <c r="D105" s="190" t="str">
        <f>VLOOKUP(B105,Dosen!B:H,7,FALSE)</f>
        <v>TETAP</v>
      </c>
      <c r="E105" s="190" t="s">
        <v>524</v>
      </c>
      <c r="F105" s="190" t="str">
        <f>VLOOKUP(B105,Dosen!B:BW,35,FALSE)</f>
        <v>IB</v>
      </c>
      <c r="G105" s="190">
        <v>20870006</v>
      </c>
      <c r="H105" s="190">
        <v>715128708</v>
      </c>
      <c r="I105" s="190" t="s">
        <v>854</v>
      </c>
      <c r="J105" s="190" t="s">
        <v>775</v>
      </c>
      <c r="K105" s="190" t="s">
        <v>21</v>
      </c>
      <c r="L105" s="191" t="s">
        <v>903</v>
      </c>
      <c r="M105" s="191" t="s">
        <v>2129</v>
      </c>
      <c r="N105" s="192" t="s">
        <v>862</v>
      </c>
      <c r="O105" t="str">
        <f>VLOOKUP(B105,Dosen!B:BW,74,FALSE)</f>
        <v xml:space="preserve">8 tahun 0 bulan </v>
      </c>
    </row>
    <row r="106" spans="1:15">
      <c r="A106" s="190">
        <f t="shared" si="3"/>
        <v>105</v>
      </c>
      <c r="B106" s="196" t="s">
        <v>540</v>
      </c>
      <c r="C106" s="190" t="s">
        <v>2442</v>
      </c>
      <c r="D106" s="190" t="str">
        <f>VLOOKUP(B106,Dosen!B:H,7,FALSE)</f>
        <v>TETAP</v>
      </c>
      <c r="E106" s="190" t="s">
        <v>524</v>
      </c>
      <c r="F106" s="190" t="str">
        <f>VLOOKUP(B106,Dosen!B:BW,35,FALSE)</f>
        <v> </v>
      </c>
      <c r="G106" s="190">
        <v>19790001</v>
      </c>
      <c r="H106" s="190">
        <v>717017902</v>
      </c>
      <c r="I106" s="190" t="s">
        <v>879</v>
      </c>
      <c r="J106" s="190" t="s">
        <v>776</v>
      </c>
      <c r="K106" s="190" t="s">
        <v>2732</v>
      </c>
      <c r="L106" s="191" t="s">
        <v>903</v>
      </c>
      <c r="M106" s="191" t="s">
        <v>2131</v>
      </c>
      <c r="N106" s="192" t="s">
        <v>862</v>
      </c>
      <c r="O106" t="str">
        <f>VLOOKUP(B106,Dosen!B:BW,74,FALSE)</f>
        <v xml:space="preserve">8 tahun 0 bulan </v>
      </c>
    </row>
    <row r="107" spans="1:15">
      <c r="A107" s="190">
        <f t="shared" si="3"/>
        <v>106</v>
      </c>
      <c r="B107" s="190" t="s">
        <v>544</v>
      </c>
      <c r="C107" s="190" t="s">
        <v>2428</v>
      </c>
      <c r="D107" s="190" t="str">
        <f>VLOOKUP(B107,Dosen!B:H,7,FALSE)</f>
        <v>TETAP</v>
      </c>
      <c r="E107" s="190" t="s">
        <v>524</v>
      </c>
      <c r="F107" s="190" t="str">
        <f>VLOOKUP(B107,Dosen!B:BW,35,FALSE)</f>
        <v>TB</v>
      </c>
      <c r="G107" s="190">
        <v>19920005</v>
      </c>
      <c r="H107" s="190">
        <v>708069202</v>
      </c>
      <c r="I107" s="190" t="s">
        <v>854</v>
      </c>
      <c r="J107" s="190" t="s">
        <v>775</v>
      </c>
      <c r="K107" s="190" t="s">
        <v>21</v>
      </c>
      <c r="L107" s="191" t="s">
        <v>903</v>
      </c>
      <c r="M107" s="191" t="s">
        <v>2131</v>
      </c>
      <c r="N107" s="192" t="s">
        <v>862</v>
      </c>
      <c r="O107" t="str">
        <f>VLOOKUP(B107,Dosen!B:BW,74,FALSE)</f>
        <v xml:space="preserve">8 tahun 0 bulan </v>
      </c>
    </row>
    <row r="108" spans="1:15">
      <c r="A108" s="190">
        <f t="shared" si="3"/>
        <v>107</v>
      </c>
      <c r="B108" s="190" t="s">
        <v>568</v>
      </c>
      <c r="C108" s="190" t="s">
        <v>2683</v>
      </c>
      <c r="D108" s="190" t="str">
        <f>VLOOKUP(B108,Dosen!B:H,7,FALSE)</f>
        <v>TETAP</v>
      </c>
      <c r="E108" s="190" t="s">
        <v>524</v>
      </c>
      <c r="F108" s="190" t="str">
        <f>VLOOKUP(B108,Dosen!B:BW,35,FALSE)</f>
        <v> </v>
      </c>
      <c r="G108" s="190">
        <v>22970009</v>
      </c>
      <c r="H108" s="190">
        <v>711069702</v>
      </c>
      <c r="I108" s="190" t="s">
        <v>854</v>
      </c>
      <c r="J108" s="190" t="s">
        <v>918</v>
      </c>
      <c r="K108" s="190" t="s">
        <v>1153</v>
      </c>
      <c r="L108" s="191" t="s">
        <v>903</v>
      </c>
      <c r="M108" s="191" t="s">
        <v>2130</v>
      </c>
      <c r="N108" s="192" t="s">
        <v>862</v>
      </c>
      <c r="O108" t="str">
        <f>VLOOKUP(B108,Dosen!B:BW,74,FALSE)</f>
        <v xml:space="preserve">2 tahun 4 bulan </v>
      </c>
    </row>
    <row r="109" spans="1:15">
      <c r="A109" s="190">
        <f t="shared" si="3"/>
        <v>108</v>
      </c>
      <c r="B109" s="190" t="s">
        <v>552</v>
      </c>
      <c r="C109" s="190" t="s">
        <v>2587</v>
      </c>
      <c r="D109" s="190" t="str">
        <f>VLOOKUP(B109,Dosen!B:H,7,FALSE)</f>
        <v>PROFESIONAL</v>
      </c>
      <c r="E109" s="190" t="s">
        <v>524</v>
      </c>
      <c r="F109" s="190" t="str">
        <f>VLOOKUP(B109,Dosen!B:BW,35,FALSE)</f>
        <v> </v>
      </c>
      <c r="G109" s="190">
        <v>22970007</v>
      </c>
      <c r="H109" s="190">
        <v>713029701</v>
      </c>
      <c r="I109" s="190" t="s">
        <v>854</v>
      </c>
      <c r="J109" s="190" t="s">
        <v>918</v>
      </c>
      <c r="K109" s="190" t="s">
        <v>1000</v>
      </c>
      <c r="L109" s="191" t="s">
        <v>903</v>
      </c>
      <c r="M109" s="193"/>
      <c r="N109" s="192" t="s">
        <v>862</v>
      </c>
      <c r="O109" t="str">
        <f>VLOOKUP(B109,Dosen!B:BW,74,FALSE)</f>
        <v xml:space="preserve">3 tahun 9 bulan </v>
      </c>
    </row>
    <row r="110" spans="1:15">
      <c r="A110" s="190">
        <f t="shared" si="3"/>
        <v>109</v>
      </c>
      <c r="B110" s="190" t="s">
        <v>548</v>
      </c>
      <c r="C110" s="190" t="s">
        <v>2484</v>
      </c>
      <c r="D110" s="190" t="str">
        <f>VLOOKUP(B110,Dosen!B:H,7,FALSE)</f>
        <v>TETAP</v>
      </c>
      <c r="E110" s="190" t="s">
        <v>524</v>
      </c>
      <c r="F110" s="190" t="str">
        <f>VLOOKUP(B110,Dosen!B:BW,35,FALSE)</f>
        <v>TB</v>
      </c>
      <c r="G110" s="190">
        <v>19900006</v>
      </c>
      <c r="H110" s="190">
        <v>705109002</v>
      </c>
      <c r="I110" s="190" t="s">
        <v>854</v>
      </c>
      <c r="J110" s="190" t="s">
        <v>847</v>
      </c>
      <c r="K110" s="190" t="s">
        <v>21</v>
      </c>
      <c r="L110" s="191" t="s">
        <v>903</v>
      </c>
      <c r="M110" s="191" t="s">
        <v>2131</v>
      </c>
      <c r="N110" s="192" t="s">
        <v>862</v>
      </c>
      <c r="O110" t="str">
        <f>VLOOKUP(B110,Dosen!B:BW,74,FALSE)</f>
        <v xml:space="preserve">8 tahun 0 bulan </v>
      </c>
    </row>
    <row r="111" spans="1:15">
      <c r="A111" s="190">
        <f t="shared" si="3"/>
        <v>110</v>
      </c>
      <c r="B111" s="190" t="s">
        <v>528</v>
      </c>
      <c r="C111" s="190" t="s">
        <v>2452</v>
      </c>
      <c r="D111" s="190" t="str">
        <f>VLOOKUP(B111,Dosen!B:H,7,FALSE)</f>
        <v>TETAP</v>
      </c>
      <c r="E111" s="190" t="s">
        <v>524</v>
      </c>
      <c r="F111" s="190" t="str">
        <f>VLOOKUP(B111,Dosen!B:BW,35,FALSE)</f>
        <v> </v>
      </c>
      <c r="G111" s="190">
        <v>19940002</v>
      </c>
      <c r="H111" s="190">
        <v>728069401</v>
      </c>
      <c r="I111" s="190" t="s">
        <v>879</v>
      </c>
      <c r="J111" s="190" t="s">
        <v>775</v>
      </c>
      <c r="K111" s="190" t="s">
        <v>2451</v>
      </c>
      <c r="L111" s="191" t="s">
        <v>903</v>
      </c>
      <c r="M111" s="191" t="s">
        <v>2131</v>
      </c>
      <c r="N111" s="192" t="s">
        <v>862</v>
      </c>
      <c r="O111" t="str">
        <f>VLOOKUP(B111,Dosen!B:BW,74,FALSE)</f>
        <v xml:space="preserve">8 tahun 0 bulan </v>
      </c>
    </row>
    <row r="112" spans="1:15">
      <c r="A112" s="190">
        <f t="shared" si="3"/>
        <v>111</v>
      </c>
      <c r="B112" s="190" t="s">
        <v>564</v>
      </c>
      <c r="C112" s="190" t="s">
        <v>2637</v>
      </c>
      <c r="D112" s="190" t="str">
        <f>VLOOKUP(B112,Dosen!B:H,7,FALSE)</f>
        <v>PROFESIONAL</v>
      </c>
      <c r="E112" s="190" t="s">
        <v>524</v>
      </c>
      <c r="F112" s="190" t="str">
        <f>VLOOKUP(B112,Dosen!B:BW,35,FALSE)</f>
        <v> </v>
      </c>
      <c r="G112" s="190">
        <v>22950049</v>
      </c>
      <c r="H112" s="190">
        <v>705069501</v>
      </c>
      <c r="I112" s="190" t="s">
        <v>854</v>
      </c>
      <c r="J112" s="190" t="s">
        <v>847</v>
      </c>
      <c r="K112" s="190" t="s">
        <v>21</v>
      </c>
      <c r="L112" s="191" t="s">
        <v>903</v>
      </c>
      <c r="M112" s="191" t="s">
        <v>2129</v>
      </c>
      <c r="N112" s="192" t="s">
        <v>862</v>
      </c>
      <c r="O112" t="str">
        <f>VLOOKUP(B112,Dosen!B:BW,74,FALSE)</f>
        <v xml:space="preserve">3 tahun 3 bulan </v>
      </c>
    </row>
  </sheetData>
  <autoFilter ref="A1:O112" xr:uid="{EC8D9339-5237-4DF2-BFF5-5F46DF4CD9C7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6C34-47CE-4BAC-9774-67F4885A5088}">
  <dimension ref="A1:G111"/>
  <sheetViews>
    <sheetView workbookViewId="0">
      <pane xSplit="4" topLeftCell="E1" activePane="topRight" state="frozen"/>
      <selection pane="topRight" activeCell="C117" sqref="C117:F122"/>
    </sheetView>
  </sheetViews>
  <sheetFormatPr defaultColWidth="29.140625" defaultRowHeight="15"/>
  <cols>
    <col min="1" max="1" width="5.140625" bestFit="1" customWidth="1"/>
    <col min="2" max="2" width="23" bestFit="1" customWidth="1"/>
    <col min="3" max="3" width="11.42578125" bestFit="1" customWidth="1"/>
    <col min="4" max="4" width="19.28515625" bestFit="1" customWidth="1"/>
    <col min="5" max="5" width="12.140625" bestFit="1" customWidth="1"/>
    <col min="6" max="6" width="9.42578125" bestFit="1" customWidth="1"/>
    <col min="7" max="7" width="23.7109375" customWidth="1"/>
  </cols>
  <sheetData>
    <row r="1" spans="1:7">
      <c r="A1" s="117" t="s">
        <v>0</v>
      </c>
      <c r="B1" s="118" t="s">
        <v>1</v>
      </c>
      <c r="C1" s="118" t="s">
        <v>2</v>
      </c>
      <c r="D1" s="118" t="s">
        <v>770</v>
      </c>
      <c r="E1" s="118" t="s">
        <v>771</v>
      </c>
      <c r="F1" s="118" t="s">
        <v>2736</v>
      </c>
      <c r="G1" s="118" t="s">
        <v>2737</v>
      </c>
    </row>
    <row r="2" spans="1:7">
      <c r="A2" s="119">
        <v>26</v>
      </c>
      <c r="B2" s="120" t="s">
        <v>34</v>
      </c>
      <c r="C2" s="120" t="s">
        <v>20</v>
      </c>
      <c r="D2" s="120" t="s">
        <v>22</v>
      </c>
      <c r="E2" s="120" t="s">
        <v>847</v>
      </c>
      <c r="F2" s="121"/>
      <c r="G2" s="127">
        <v>200000</v>
      </c>
    </row>
    <row r="3" spans="1:7">
      <c r="A3" s="119">
        <v>46</v>
      </c>
      <c r="B3" s="122" t="s">
        <v>40</v>
      </c>
      <c r="C3" s="120" t="s">
        <v>20</v>
      </c>
      <c r="D3" s="120" t="s">
        <v>22</v>
      </c>
      <c r="E3" s="120" t="s">
        <v>847</v>
      </c>
      <c r="F3" s="121"/>
      <c r="G3" s="127">
        <v>200000</v>
      </c>
    </row>
    <row r="4" spans="1:7">
      <c r="A4" s="119">
        <v>72</v>
      </c>
      <c r="B4" s="120" t="s">
        <v>50</v>
      </c>
      <c r="C4" s="120" t="s">
        <v>20</v>
      </c>
      <c r="D4" s="120" t="s">
        <v>22</v>
      </c>
      <c r="E4" s="120" t="s">
        <v>847</v>
      </c>
      <c r="F4" s="121"/>
      <c r="G4" s="127">
        <v>200000</v>
      </c>
    </row>
    <row r="5" spans="1:7">
      <c r="A5" s="119">
        <v>75</v>
      </c>
      <c r="B5" s="120" t="s">
        <v>28</v>
      </c>
      <c r="C5" s="120" t="s">
        <v>20</v>
      </c>
      <c r="D5" s="120" t="s">
        <v>22</v>
      </c>
      <c r="E5" s="120" t="s">
        <v>847</v>
      </c>
      <c r="F5" s="121"/>
      <c r="G5" s="127">
        <v>200000</v>
      </c>
    </row>
    <row r="6" spans="1:7">
      <c r="A6" s="119">
        <v>85</v>
      </c>
      <c r="B6" s="120" t="s">
        <v>66</v>
      </c>
      <c r="C6" s="120" t="s">
        <v>20</v>
      </c>
      <c r="D6" s="120" t="s">
        <v>22</v>
      </c>
      <c r="E6" s="120" t="s">
        <v>847</v>
      </c>
      <c r="F6" s="121"/>
      <c r="G6" s="127">
        <v>200000</v>
      </c>
    </row>
    <row r="7" spans="1:7">
      <c r="A7" s="119">
        <v>115</v>
      </c>
      <c r="B7" s="120" t="s">
        <v>81</v>
      </c>
      <c r="C7" s="120" t="s">
        <v>20</v>
      </c>
      <c r="D7" s="120" t="s">
        <v>22</v>
      </c>
      <c r="E7" s="120" t="s">
        <v>847</v>
      </c>
      <c r="F7" s="121"/>
      <c r="G7" s="127">
        <v>200000</v>
      </c>
    </row>
    <row r="8" spans="1:7">
      <c r="A8" s="119">
        <v>34</v>
      </c>
      <c r="B8" s="120" t="s">
        <v>55</v>
      </c>
      <c r="C8" s="120" t="s">
        <v>20</v>
      </c>
      <c r="D8" s="120" t="s">
        <v>22</v>
      </c>
      <c r="E8" s="120" t="s">
        <v>775</v>
      </c>
      <c r="F8" s="121"/>
      <c r="G8" s="127">
        <v>2000000</v>
      </c>
    </row>
    <row r="9" spans="1:7">
      <c r="A9" s="119">
        <v>118</v>
      </c>
      <c r="B9" s="120" t="s">
        <v>19</v>
      </c>
      <c r="C9" s="120" t="s">
        <v>20</v>
      </c>
      <c r="D9" s="120" t="s">
        <v>22</v>
      </c>
      <c r="E9" s="120" t="s">
        <v>775</v>
      </c>
      <c r="F9" s="121"/>
      <c r="G9" s="127">
        <v>200000</v>
      </c>
    </row>
    <row r="10" spans="1:7">
      <c r="A10" s="119">
        <v>78</v>
      </c>
      <c r="B10" s="120" t="s">
        <v>60</v>
      </c>
      <c r="C10" s="120" t="s">
        <v>20</v>
      </c>
      <c r="D10" s="120" t="s">
        <v>22</v>
      </c>
      <c r="E10" s="120" t="s">
        <v>918</v>
      </c>
      <c r="F10" s="121"/>
      <c r="G10" s="127">
        <v>200000</v>
      </c>
    </row>
    <row r="11" spans="1:7">
      <c r="A11" s="119">
        <v>101</v>
      </c>
      <c r="B11" s="120" t="s">
        <v>71</v>
      </c>
      <c r="C11" s="120" t="s">
        <v>20</v>
      </c>
      <c r="D11" s="120" t="s">
        <v>22</v>
      </c>
      <c r="E11" s="120" t="s">
        <v>918</v>
      </c>
      <c r="F11" s="121"/>
      <c r="G11" s="127">
        <v>200000</v>
      </c>
    </row>
    <row r="12" spans="1:7">
      <c r="A12" s="119">
        <v>106</v>
      </c>
      <c r="B12" s="120" t="s">
        <v>76</v>
      </c>
      <c r="C12" s="120" t="s">
        <v>20</v>
      </c>
      <c r="D12" s="120" t="s">
        <v>22</v>
      </c>
      <c r="E12" s="120" t="s">
        <v>918</v>
      </c>
      <c r="F12" s="121"/>
      <c r="G12" s="127">
        <v>200000</v>
      </c>
    </row>
    <row r="13" spans="1:7">
      <c r="A13" s="119">
        <v>116</v>
      </c>
      <c r="B13" s="120" t="s">
        <v>84</v>
      </c>
      <c r="C13" s="120" t="s">
        <v>20</v>
      </c>
      <c r="D13" s="123" t="s">
        <v>22</v>
      </c>
      <c r="E13" s="120" t="s">
        <v>918</v>
      </c>
      <c r="F13" s="121"/>
      <c r="G13" s="127">
        <v>200000</v>
      </c>
    </row>
    <row r="14" spans="1:7">
      <c r="A14" s="119">
        <v>31</v>
      </c>
      <c r="B14" s="120" t="s">
        <v>106</v>
      </c>
      <c r="C14" s="120" t="s">
        <v>20</v>
      </c>
      <c r="D14" s="120" t="s">
        <v>107</v>
      </c>
      <c r="E14" s="120" t="s">
        <v>847</v>
      </c>
      <c r="F14" s="121"/>
      <c r="G14" s="127">
        <v>2000000</v>
      </c>
    </row>
    <row r="15" spans="1:7">
      <c r="A15" s="119">
        <v>48</v>
      </c>
      <c r="B15" s="122" t="s">
        <v>111</v>
      </c>
      <c r="C15" s="120" t="s">
        <v>20</v>
      </c>
      <c r="D15" s="120" t="s">
        <v>107</v>
      </c>
      <c r="E15" s="120" t="s">
        <v>847</v>
      </c>
      <c r="F15" s="121"/>
      <c r="G15" s="127">
        <v>200000</v>
      </c>
    </row>
    <row r="16" spans="1:7">
      <c r="A16" s="119">
        <v>49</v>
      </c>
      <c r="B16" s="122" t="s">
        <v>116</v>
      </c>
      <c r="C16" s="120" t="s">
        <v>20</v>
      </c>
      <c r="D16" s="120" t="s">
        <v>107</v>
      </c>
      <c r="E16" s="120" t="s">
        <v>847</v>
      </c>
      <c r="F16" s="121"/>
      <c r="G16" s="127">
        <v>200000</v>
      </c>
    </row>
    <row r="17" spans="1:7">
      <c r="A17" s="119">
        <v>50</v>
      </c>
      <c r="B17" s="120" t="s">
        <v>121</v>
      </c>
      <c r="C17" s="120" t="s">
        <v>20</v>
      </c>
      <c r="D17" s="120" t="s">
        <v>107</v>
      </c>
      <c r="E17" s="120" t="s">
        <v>847</v>
      </c>
      <c r="F17" s="121"/>
      <c r="G17" s="127">
        <v>200000</v>
      </c>
    </row>
    <row r="18" spans="1:7">
      <c r="A18" s="119">
        <v>51</v>
      </c>
      <c r="B18" s="120" t="s">
        <v>125</v>
      </c>
      <c r="C18" s="120" t="s">
        <v>20</v>
      </c>
      <c r="D18" s="120" t="s">
        <v>107</v>
      </c>
      <c r="E18" s="120" t="s">
        <v>847</v>
      </c>
      <c r="F18" s="121"/>
      <c r="G18" s="127">
        <v>200000</v>
      </c>
    </row>
    <row r="19" spans="1:7">
      <c r="A19" s="119">
        <v>89</v>
      </c>
      <c r="B19" s="120" t="s">
        <v>129</v>
      </c>
      <c r="C19" s="120" t="s">
        <v>20</v>
      </c>
      <c r="D19" s="120" t="s">
        <v>107</v>
      </c>
      <c r="E19" s="120" t="s">
        <v>847</v>
      </c>
      <c r="F19" s="121"/>
      <c r="G19" s="127">
        <v>200000</v>
      </c>
    </row>
    <row r="20" spans="1:7">
      <c r="A20" s="119">
        <v>90</v>
      </c>
      <c r="B20" s="120" t="s">
        <v>133</v>
      </c>
      <c r="C20" s="120" t="s">
        <v>20</v>
      </c>
      <c r="D20" s="120" t="s">
        <v>107</v>
      </c>
      <c r="E20" s="120" t="s">
        <v>847</v>
      </c>
      <c r="F20" s="121"/>
      <c r="G20" s="127">
        <v>200000</v>
      </c>
    </row>
    <row r="21" spans="1:7">
      <c r="A21" s="119">
        <v>103</v>
      </c>
      <c r="B21" s="120" t="s">
        <v>137</v>
      </c>
      <c r="C21" s="120" t="s">
        <v>20</v>
      </c>
      <c r="D21" s="120" t="s">
        <v>107</v>
      </c>
      <c r="E21" s="120" t="s">
        <v>918</v>
      </c>
      <c r="F21" s="121"/>
      <c r="G21" s="127">
        <v>200000</v>
      </c>
    </row>
    <row r="22" spans="1:7">
      <c r="A22" s="119">
        <v>104</v>
      </c>
      <c r="B22" s="120" t="s">
        <v>141</v>
      </c>
      <c r="C22" s="120" t="s">
        <v>20</v>
      </c>
      <c r="D22" s="120" t="s">
        <v>107</v>
      </c>
      <c r="E22" s="120" t="s">
        <v>918</v>
      </c>
      <c r="F22" s="121"/>
      <c r="G22" s="127">
        <v>200000</v>
      </c>
    </row>
    <row r="23" spans="1:7">
      <c r="A23" s="119">
        <v>107</v>
      </c>
      <c r="B23" s="120" t="s">
        <v>147</v>
      </c>
      <c r="C23" s="120" t="s">
        <v>20</v>
      </c>
      <c r="D23" s="120" t="s">
        <v>107</v>
      </c>
      <c r="E23" s="120" t="s">
        <v>918</v>
      </c>
      <c r="F23" s="121"/>
      <c r="G23" s="127">
        <v>200000</v>
      </c>
    </row>
    <row r="24" spans="1:7">
      <c r="A24" s="119">
        <v>108</v>
      </c>
      <c r="B24" s="120" t="s">
        <v>151</v>
      </c>
      <c r="C24" s="120" t="s">
        <v>20</v>
      </c>
      <c r="D24" s="120" t="s">
        <v>107</v>
      </c>
      <c r="E24" s="120" t="s">
        <v>918</v>
      </c>
      <c r="F24" s="121"/>
      <c r="G24" s="127">
        <v>200000</v>
      </c>
    </row>
    <row r="25" spans="1:7">
      <c r="A25" s="119">
        <v>114</v>
      </c>
      <c r="B25" s="120" t="s">
        <v>155</v>
      </c>
      <c r="C25" s="120" t="s">
        <v>20</v>
      </c>
      <c r="D25" s="120" t="s">
        <v>107</v>
      </c>
      <c r="E25" s="120" t="s">
        <v>918</v>
      </c>
      <c r="F25" s="121"/>
      <c r="G25" s="127">
        <v>200000</v>
      </c>
    </row>
    <row r="26" spans="1:7">
      <c r="A26" s="119">
        <v>117</v>
      </c>
      <c r="B26" s="120" t="s">
        <v>160</v>
      </c>
      <c r="C26" s="120" t="s">
        <v>20</v>
      </c>
      <c r="D26" s="120" t="s">
        <v>107</v>
      </c>
      <c r="E26" s="120" t="s">
        <v>918</v>
      </c>
      <c r="F26" s="121"/>
      <c r="G26" s="127">
        <v>200000</v>
      </c>
    </row>
    <row r="27" spans="1:7">
      <c r="A27" s="119">
        <v>11</v>
      </c>
      <c r="B27" s="120" t="s">
        <v>179</v>
      </c>
      <c r="C27" s="120" t="s">
        <v>20</v>
      </c>
      <c r="D27" s="120" t="s">
        <v>170</v>
      </c>
      <c r="E27" s="120" t="s">
        <v>847</v>
      </c>
      <c r="F27" s="121"/>
      <c r="G27" s="127">
        <v>200000</v>
      </c>
    </row>
    <row r="28" spans="1:7">
      <c r="A28" s="119">
        <v>14</v>
      </c>
      <c r="B28" s="120" t="s">
        <v>183</v>
      </c>
      <c r="C28" s="120" t="s">
        <v>20</v>
      </c>
      <c r="D28" s="120" t="s">
        <v>170</v>
      </c>
      <c r="E28" s="120" t="s">
        <v>847</v>
      </c>
      <c r="F28" s="121"/>
      <c r="G28" s="127">
        <v>200000</v>
      </c>
    </row>
    <row r="29" spans="1:7">
      <c r="A29" s="119">
        <v>27</v>
      </c>
      <c r="B29" s="120" t="s">
        <v>169</v>
      </c>
      <c r="C29" s="120" t="s">
        <v>20</v>
      </c>
      <c r="D29" s="120" t="s">
        <v>170</v>
      </c>
      <c r="E29" s="120" t="s">
        <v>847</v>
      </c>
      <c r="F29" s="121"/>
      <c r="G29" s="127">
        <v>200000</v>
      </c>
    </row>
    <row r="30" spans="1:7">
      <c r="A30" s="119">
        <v>73</v>
      </c>
      <c r="B30" s="120" t="s">
        <v>192</v>
      </c>
      <c r="C30" s="120" t="s">
        <v>20</v>
      </c>
      <c r="D30" s="120" t="s">
        <v>170</v>
      </c>
      <c r="E30" s="120" t="s">
        <v>847</v>
      </c>
      <c r="F30" s="121"/>
      <c r="G30" s="127">
        <v>200000</v>
      </c>
    </row>
    <row r="31" spans="1:7">
      <c r="A31" s="119">
        <v>94</v>
      </c>
      <c r="B31" s="124" t="s">
        <v>174</v>
      </c>
      <c r="C31" s="120" t="s">
        <v>20</v>
      </c>
      <c r="D31" s="120" t="s">
        <v>170</v>
      </c>
      <c r="E31" s="120" t="s">
        <v>847</v>
      </c>
      <c r="F31" s="121"/>
      <c r="G31" s="127">
        <v>200000</v>
      </c>
    </row>
    <row r="32" spans="1:7">
      <c r="A32" s="119">
        <v>29</v>
      </c>
      <c r="B32" s="120" t="s">
        <v>187</v>
      </c>
      <c r="C32" s="120" t="s">
        <v>20</v>
      </c>
      <c r="D32" s="120" t="s">
        <v>170</v>
      </c>
      <c r="E32" s="120" t="s">
        <v>775</v>
      </c>
      <c r="F32" s="121"/>
      <c r="G32" s="127">
        <v>2000000</v>
      </c>
    </row>
    <row r="33" spans="1:7">
      <c r="A33" s="119">
        <v>102</v>
      </c>
      <c r="B33" s="120" t="s">
        <v>196</v>
      </c>
      <c r="C33" s="120" t="s">
        <v>20</v>
      </c>
      <c r="D33" s="120" t="s">
        <v>170</v>
      </c>
      <c r="E33" s="120" t="s">
        <v>918</v>
      </c>
      <c r="F33" s="121"/>
      <c r="G33" s="127">
        <v>200000</v>
      </c>
    </row>
    <row r="34" spans="1:7">
      <c r="A34" s="119">
        <v>52</v>
      </c>
      <c r="B34" s="120" t="s">
        <v>200</v>
      </c>
      <c r="C34" s="120" t="s">
        <v>20</v>
      </c>
      <c r="D34" s="120" t="s">
        <v>201</v>
      </c>
      <c r="E34" s="120" t="s">
        <v>847</v>
      </c>
      <c r="F34" s="121"/>
      <c r="G34" s="127">
        <v>200000</v>
      </c>
    </row>
    <row r="35" spans="1:7">
      <c r="A35" s="119">
        <v>53</v>
      </c>
      <c r="B35" s="120" t="s">
        <v>206</v>
      </c>
      <c r="C35" s="120" t="s">
        <v>20</v>
      </c>
      <c r="D35" s="120" t="s">
        <v>201</v>
      </c>
      <c r="E35" s="120" t="s">
        <v>847</v>
      </c>
      <c r="F35" s="121"/>
      <c r="G35" s="127">
        <v>200000</v>
      </c>
    </row>
    <row r="36" spans="1:7">
      <c r="A36" s="119">
        <v>54</v>
      </c>
      <c r="B36" s="122" t="s">
        <v>211</v>
      </c>
      <c r="C36" s="120" t="s">
        <v>20</v>
      </c>
      <c r="D36" s="120" t="s">
        <v>201</v>
      </c>
      <c r="E36" s="120" t="s">
        <v>847</v>
      </c>
      <c r="F36" s="121"/>
      <c r="G36" s="127">
        <v>2000000</v>
      </c>
    </row>
    <row r="37" spans="1:7">
      <c r="A37" s="119">
        <v>65</v>
      </c>
      <c r="B37" s="120" t="s">
        <v>215</v>
      </c>
      <c r="C37" s="120" t="s">
        <v>20</v>
      </c>
      <c r="D37" s="120" t="s">
        <v>201</v>
      </c>
      <c r="E37" s="120" t="s">
        <v>847</v>
      </c>
      <c r="F37" s="121"/>
      <c r="G37" s="127">
        <v>200000</v>
      </c>
    </row>
    <row r="38" spans="1:7">
      <c r="A38" s="119">
        <v>66</v>
      </c>
      <c r="B38" s="120" t="s">
        <v>220</v>
      </c>
      <c r="C38" s="120" t="s">
        <v>20</v>
      </c>
      <c r="D38" s="120" t="s">
        <v>201</v>
      </c>
      <c r="E38" s="120" t="s">
        <v>847</v>
      </c>
      <c r="F38" s="121"/>
      <c r="G38" s="127">
        <v>200000</v>
      </c>
    </row>
    <row r="39" spans="1:7">
      <c r="A39" s="119">
        <v>15</v>
      </c>
      <c r="B39" s="124" t="s">
        <v>234</v>
      </c>
      <c r="C39" s="120" t="s">
        <v>20</v>
      </c>
      <c r="D39" s="120" t="s">
        <v>235</v>
      </c>
      <c r="E39" s="120" t="s">
        <v>847</v>
      </c>
      <c r="F39" s="121"/>
      <c r="G39" s="127">
        <v>200000</v>
      </c>
    </row>
    <row r="40" spans="1:7">
      <c r="A40" s="119">
        <v>23</v>
      </c>
      <c r="B40" s="124" t="s">
        <v>321</v>
      </c>
      <c r="C40" s="120" t="s">
        <v>20</v>
      </c>
      <c r="D40" s="120" t="s">
        <v>235</v>
      </c>
      <c r="E40" s="120" t="s">
        <v>847</v>
      </c>
      <c r="F40" s="121"/>
      <c r="G40" s="127">
        <v>200000</v>
      </c>
    </row>
    <row r="41" spans="1:7">
      <c r="A41" s="119">
        <v>28</v>
      </c>
      <c r="B41" s="124" t="s">
        <v>243</v>
      </c>
      <c r="C41" s="120" t="s">
        <v>20</v>
      </c>
      <c r="D41" s="120" t="s">
        <v>235</v>
      </c>
      <c r="E41" s="120" t="s">
        <v>847</v>
      </c>
      <c r="F41" s="121"/>
      <c r="G41" s="127">
        <v>200000</v>
      </c>
    </row>
    <row r="42" spans="1:7">
      <c r="A42" s="119">
        <v>37</v>
      </c>
      <c r="B42" s="120" t="s">
        <v>239</v>
      </c>
      <c r="C42" s="120" t="s">
        <v>20</v>
      </c>
      <c r="D42" s="120" t="s">
        <v>235</v>
      </c>
      <c r="E42" s="120" t="s">
        <v>847</v>
      </c>
      <c r="F42" s="121"/>
      <c r="G42" s="127">
        <v>200000</v>
      </c>
    </row>
    <row r="43" spans="1:7">
      <c r="A43" s="119">
        <v>40</v>
      </c>
      <c r="B43" s="124" t="s">
        <v>251</v>
      </c>
      <c r="C43" s="120" t="s">
        <v>20</v>
      </c>
      <c r="D43" s="120" t="s">
        <v>235</v>
      </c>
      <c r="E43" s="120" t="s">
        <v>847</v>
      </c>
      <c r="F43" s="121"/>
      <c r="G43" s="127">
        <v>200000</v>
      </c>
    </row>
    <row r="44" spans="1:7">
      <c r="A44" s="119">
        <v>45</v>
      </c>
      <c r="B44" s="124" t="s">
        <v>260</v>
      </c>
      <c r="C44" s="120" t="s">
        <v>20</v>
      </c>
      <c r="D44" s="120" t="s">
        <v>235</v>
      </c>
      <c r="E44" s="120" t="s">
        <v>847</v>
      </c>
      <c r="F44" s="121"/>
      <c r="G44" s="127">
        <v>200000</v>
      </c>
    </row>
    <row r="45" spans="1:7">
      <c r="A45" s="119">
        <v>62</v>
      </c>
      <c r="B45" s="120" t="s">
        <v>268</v>
      </c>
      <c r="C45" s="120" t="s">
        <v>20</v>
      </c>
      <c r="D45" s="120" t="s">
        <v>235</v>
      </c>
      <c r="E45" s="120" t="s">
        <v>847</v>
      </c>
      <c r="F45" s="121"/>
      <c r="G45" s="127">
        <v>200000</v>
      </c>
    </row>
    <row r="46" spans="1:7">
      <c r="A46" s="119">
        <v>69</v>
      </c>
      <c r="B46" s="120" t="s">
        <v>277</v>
      </c>
      <c r="C46" s="120" t="s">
        <v>20</v>
      </c>
      <c r="D46" s="120" t="s">
        <v>235</v>
      </c>
      <c r="E46" s="120" t="s">
        <v>847</v>
      </c>
      <c r="F46" s="121"/>
      <c r="G46" s="127">
        <v>200000</v>
      </c>
    </row>
    <row r="47" spans="1:7">
      <c r="A47" s="119">
        <v>70</v>
      </c>
      <c r="B47" s="120" t="s">
        <v>224</v>
      </c>
      <c r="C47" s="120" t="s">
        <v>20</v>
      </c>
      <c r="D47" s="120" t="s">
        <v>235</v>
      </c>
      <c r="E47" s="120" t="s">
        <v>847</v>
      </c>
      <c r="F47" s="121"/>
      <c r="G47" s="127">
        <v>200000</v>
      </c>
    </row>
    <row r="48" spans="1:7">
      <c r="A48" s="119">
        <v>21</v>
      </c>
      <c r="B48" s="120" t="s">
        <v>247</v>
      </c>
      <c r="C48" s="120" t="s">
        <v>20</v>
      </c>
      <c r="D48" s="123" t="s">
        <v>235</v>
      </c>
      <c r="E48" s="120" t="s">
        <v>775</v>
      </c>
      <c r="F48" s="121"/>
      <c r="G48" s="127">
        <v>2000000</v>
      </c>
    </row>
    <row r="49" spans="1:7">
      <c r="A49" s="119">
        <v>41</v>
      </c>
      <c r="B49" s="120" t="s">
        <v>255</v>
      </c>
      <c r="C49" s="120" t="s">
        <v>20</v>
      </c>
      <c r="D49" s="125" t="s">
        <v>235</v>
      </c>
      <c r="E49" s="120" t="s">
        <v>775</v>
      </c>
      <c r="F49" s="121"/>
      <c r="G49" s="127">
        <v>200000</v>
      </c>
    </row>
    <row r="50" spans="1:7">
      <c r="A50" s="119">
        <v>61</v>
      </c>
      <c r="B50" s="120" t="s">
        <v>264</v>
      </c>
      <c r="C50" s="120" t="s">
        <v>20</v>
      </c>
      <c r="D50" s="125" t="s">
        <v>235</v>
      </c>
      <c r="E50" s="120" t="s">
        <v>918</v>
      </c>
      <c r="F50" s="121"/>
      <c r="G50" s="127">
        <v>200000</v>
      </c>
    </row>
    <row r="51" spans="1:7">
      <c r="A51" s="119">
        <v>63</v>
      </c>
      <c r="B51" s="120" t="s">
        <v>273</v>
      </c>
      <c r="C51" s="120" t="s">
        <v>20</v>
      </c>
      <c r="D51" s="125" t="s">
        <v>235</v>
      </c>
      <c r="E51" s="120" t="s">
        <v>918</v>
      </c>
      <c r="F51" s="121"/>
      <c r="G51" s="127">
        <v>200000</v>
      </c>
    </row>
    <row r="52" spans="1:7">
      <c r="A52" s="119">
        <v>79</v>
      </c>
      <c r="B52" s="126" t="s">
        <v>282</v>
      </c>
      <c r="C52" s="120" t="s">
        <v>20</v>
      </c>
      <c r="D52" s="125" t="s">
        <v>235</v>
      </c>
      <c r="E52" s="120" t="s">
        <v>918</v>
      </c>
      <c r="F52" s="121"/>
      <c r="G52" s="127">
        <v>200000</v>
      </c>
    </row>
    <row r="53" spans="1:7">
      <c r="A53" s="119">
        <v>80</v>
      </c>
      <c r="B53" s="124" t="s">
        <v>286</v>
      </c>
      <c r="C53" s="120" t="s">
        <v>20</v>
      </c>
      <c r="D53" s="125" t="s">
        <v>235</v>
      </c>
      <c r="E53" s="120" t="s">
        <v>918</v>
      </c>
      <c r="F53" s="121"/>
      <c r="G53" s="127">
        <v>200000</v>
      </c>
    </row>
    <row r="54" spans="1:7">
      <c r="A54" s="119">
        <v>81</v>
      </c>
      <c r="B54" s="124" t="s">
        <v>290</v>
      </c>
      <c r="C54" s="120" t="s">
        <v>20</v>
      </c>
      <c r="D54" s="125" t="s">
        <v>235</v>
      </c>
      <c r="E54" s="120" t="s">
        <v>918</v>
      </c>
      <c r="F54" s="121"/>
      <c r="G54" s="127">
        <v>200000</v>
      </c>
    </row>
    <row r="55" spans="1:7">
      <c r="A55" s="119">
        <v>82</v>
      </c>
      <c r="B55" s="126" t="s">
        <v>294</v>
      </c>
      <c r="C55" s="120" t="s">
        <v>20</v>
      </c>
      <c r="D55" s="125" t="s">
        <v>235</v>
      </c>
      <c r="E55" s="120" t="s">
        <v>918</v>
      </c>
      <c r="F55" s="121"/>
      <c r="G55" s="127">
        <v>200000</v>
      </c>
    </row>
    <row r="56" spans="1:7">
      <c r="A56" s="119">
        <v>83</v>
      </c>
      <c r="B56" s="124" t="s">
        <v>298</v>
      </c>
      <c r="C56" s="120" t="s">
        <v>20</v>
      </c>
      <c r="D56" s="125" t="s">
        <v>235</v>
      </c>
      <c r="E56" s="120" t="s">
        <v>918</v>
      </c>
      <c r="F56" s="121"/>
      <c r="G56" s="127">
        <v>200000</v>
      </c>
    </row>
    <row r="57" spans="1:7">
      <c r="A57" s="119">
        <v>84</v>
      </c>
      <c r="B57" s="124" t="s">
        <v>302</v>
      </c>
      <c r="C57" s="120" t="s">
        <v>20</v>
      </c>
      <c r="D57" s="125" t="s">
        <v>235</v>
      </c>
      <c r="E57" s="120" t="s">
        <v>918</v>
      </c>
      <c r="F57" s="121"/>
      <c r="G57" s="127">
        <v>200000</v>
      </c>
    </row>
    <row r="58" spans="1:7">
      <c r="A58" s="119">
        <v>88</v>
      </c>
      <c r="B58" s="124" t="s">
        <v>307</v>
      </c>
      <c r="C58" s="120" t="s">
        <v>20</v>
      </c>
      <c r="D58" s="125" t="s">
        <v>235</v>
      </c>
      <c r="E58" s="120" t="s">
        <v>918</v>
      </c>
      <c r="F58" s="121"/>
      <c r="G58" s="127">
        <v>200000</v>
      </c>
    </row>
    <row r="59" spans="1:7">
      <c r="A59" s="119">
        <v>93</v>
      </c>
      <c r="B59" s="124" t="s">
        <v>312</v>
      </c>
      <c r="C59" s="120" t="s">
        <v>20</v>
      </c>
      <c r="D59" s="120" t="s">
        <v>235</v>
      </c>
      <c r="E59" s="120" t="s">
        <v>918</v>
      </c>
      <c r="F59" s="121"/>
      <c r="G59" s="127">
        <v>200000</v>
      </c>
    </row>
    <row r="60" spans="1:7">
      <c r="A60" s="119">
        <v>96</v>
      </c>
      <c r="B60" s="120" t="s">
        <v>316</v>
      </c>
      <c r="C60" s="120" t="s">
        <v>20</v>
      </c>
      <c r="D60" s="120" t="s">
        <v>235</v>
      </c>
      <c r="E60" s="120" t="s">
        <v>918</v>
      </c>
      <c r="F60" s="121"/>
      <c r="G60" s="127">
        <v>200000</v>
      </c>
    </row>
    <row r="61" spans="1:7">
      <c r="A61" s="119">
        <v>100</v>
      </c>
      <c r="B61" s="124" t="s">
        <v>325</v>
      </c>
      <c r="C61" s="120" t="s">
        <v>20</v>
      </c>
      <c r="D61" s="120" t="s">
        <v>235</v>
      </c>
      <c r="E61" s="120" t="s">
        <v>918</v>
      </c>
      <c r="F61" s="121"/>
      <c r="G61" s="127">
        <v>200000</v>
      </c>
    </row>
    <row r="62" spans="1:7">
      <c r="A62" s="119">
        <v>3</v>
      </c>
      <c r="B62" s="120" t="s">
        <v>352</v>
      </c>
      <c r="C62" s="120" t="s">
        <v>20</v>
      </c>
      <c r="D62" s="120" t="s">
        <v>330</v>
      </c>
      <c r="E62" s="120" t="s">
        <v>847</v>
      </c>
      <c r="F62" s="121"/>
      <c r="G62" s="127">
        <v>200000</v>
      </c>
    </row>
    <row r="63" spans="1:7">
      <c r="A63" s="119">
        <v>13</v>
      </c>
      <c r="B63" s="120" t="s">
        <v>329</v>
      </c>
      <c r="C63" s="120" t="s">
        <v>20</v>
      </c>
      <c r="D63" s="120" t="s">
        <v>330</v>
      </c>
      <c r="E63" s="120" t="s">
        <v>847</v>
      </c>
      <c r="F63" s="121"/>
      <c r="G63" s="127">
        <v>200000</v>
      </c>
    </row>
    <row r="64" spans="1:7">
      <c r="A64" s="119">
        <v>5</v>
      </c>
      <c r="B64" s="120" t="s">
        <v>334</v>
      </c>
      <c r="C64" s="120" t="s">
        <v>20</v>
      </c>
      <c r="D64" s="120" t="s">
        <v>330</v>
      </c>
      <c r="E64" s="120" t="s">
        <v>775</v>
      </c>
      <c r="F64" s="121"/>
      <c r="G64" s="127">
        <v>2000000</v>
      </c>
    </row>
    <row r="65" spans="1:7">
      <c r="A65" s="119">
        <v>6</v>
      </c>
      <c r="B65" s="120" t="s">
        <v>343</v>
      </c>
      <c r="C65" s="120" t="s">
        <v>20</v>
      </c>
      <c r="D65" s="120" t="s">
        <v>330</v>
      </c>
      <c r="E65" s="120" t="s">
        <v>775</v>
      </c>
      <c r="F65" s="121"/>
      <c r="G65" s="127">
        <v>200000</v>
      </c>
    </row>
    <row r="66" spans="1:7">
      <c r="A66" s="119">
        <v>22</v>
      </c>
      <c r="B66" s="120" t="s">
        <v>347</v>
      </c>
      <c r="C66" s="120" t="s">
        <v>20</v>
      </c>
      <c r="D66" s="120" t="s">
        <v>330</v>
      </c>
      <c r="E66" s="120" t="s">
        <v>775</v>
      </c>
      <c r="F66" s="121"/>
      <c r="G66" s="127">
        <v>200000</v>
      </c>
    </row>
    <row r="67" spans="1:7">
      <c r="A67" s="119">
        <v>43</v>
      </c>
      <c r="B67" s="120" t="s">
        <v>427</v>
      </c>
      <c r="C67" s="120" t="s">
        <v>20</v>
      </c>
      <c r="D67" s="120" t="s">
        <v>330</v>
      </c>
      <c r="E67" s="120" t="s">
        <v>775</v>
      </c>
      <c r="F67" s="121"/>
      <c r="G67" s="127">
        <v>200000</v>
      </c>
    </row>
    <row r="68" spans="1:7">
      <c r="A68" s="119">
        <v>91</v>
      </c>
      <c r="B68" s="120" t="s">
        <v>357</v>
      </c>
      <c r="C68" s="120" t="s">
        <v>20</v>
      </c>
      <c r="D68" s="120" t="s">
        <v>330</v>
      </c>
      <c r="E68" s="120" t="s">
        <v>918</v>
      </c>
      <c r="F68" s="121"/>
      <c r="G68" s="127">
        <v>200000</v>
      </c>
    </row>
    <row r="69" spans="1:7">
      <c r="A69" s="119">
        <v>98</v>
      </c>
      <c r="B69" s="122" t="s">
        <v>361</v>
      </c>
      <c r="C69" s="120" t="s">
        <v>20</v>
      </c>
      <c r="D69" s="120" t="s">
        <v>330</v>
      </c>
      <c r="E69" s="120" t="s">
        <v>918</v>
      </c>
      <c r="F69" s="121"/>
      <c r="G69" s="127">
        <v>200000</v>
      </c>
    </row>
    <row r="70" spans="1:7">
      <c r="A70" s="119">
        <v>111</v>
      </c>
      <c r="B70" s="120" t="s">
        <v>366</v>
      </c>
      <c r="C70" s="120" t="s">
        <v>694</v>
      </c>
      <c r="D70" s="120" t="s">
        <v>330</v>
      </c>
      <c r="E70" s="120" t="s">
        <v>1207</v>
      </c>
      <c r="F70" s="121"/>
      <c r="G70" s="127">
        <v>200000</v>
      </c>
    </row>
    <row r="71" spans="1:7">
      <c r="A71" s="119">
        <v>32</v>
      </c>
      <c r="B71" s="120" t="s">
        <v>378</v>
      </c>
      <c r="C71" s="120" t="s">
        <v>20</v>
      </c>
      <c r="D71" s="120" t="s">
        <v>370</v>
      </c>
      <c r="E71" s="120" t="s">
        <v>847</v>
      </c>
      <c r="F71" s="121"/>
      <c r="G71" s="127">
        <v>200000</v>
      </c>
    </row>
    <row r="72" spans="1:7">
      <c r="A72" s="119">
        <v>74</v>
      </c>
      <c r="B72" s="120" t="s">
        <v>386</v>
      </c>
      <c r="C72" s="120" t="s">
        <v>20</v>
      </c>
      <c r="D72" s="120" t="s">
        <v>370</v>
      </c>
      <c r="E72" s="120" t="s">
        <v>847</v>
      </c>
      <c r="F72" s="121"/>
      <c r="G72" s="127">
        <v>200000</v>
      </c>
    </row>
    <row r="73" spans="1:7">
      <c r="A73" s="119">
        <v>92</v>
      </c>
      <c r="B73" s="120" t="s">
        <v>393</v>
      </c>
      <c r="C73" s="120" t="s">
        <v>20</v>
      </c>
      <c r="D73" s="120" t="s">
        <v>370</v>
      </c>
      <c r="E73" s="120" t="s">
        <v>847</v>
      </c>
      <c r="F73" s="121"/>
      <c r="G73" s="127">
        <v>200000</v>
      </c>
    </row>
    <row r="74" spans="1:7">
      <c r="A74" s="119">
        <v>10</v>
      </c>
      <c r="B74" s="120" t="s">
        <v>408</v>
      </c>
      <c r="C74" s="120" t="s">
        <v>20</v>
      </c>
      <c r="D74" s="120" t="s">
        <v>370</v>
      </c>
      <c r="E74" s="120" t="s">
        <v>775</v>
      </c>
      <c r="F74" s="121"/>
      <c r="G74" s="127">
        <v>200000</v>
      </c>
    </row>
    <row r="75" spans="1:7">
      <c r="A75" s="119">
        <v>33</v>
      </c>
      <c r="B75" s="120" t="s">
        <v>382</v>
      </c>
      <c r="C75" s="120" t="s">
        <v>20</v>
      </c>
      <c r="D75" s="120" t="s">
        <v>370</v>
      </c>
      <c r="E75" s="120" t="s">
        <v>775</v>
      </c>
      <c r="F75" s="121"/>
      <c r="G75" s="127">
        <v>200000</v>
      </c>
    </row>
    <row r="76" spans="1:7">
      <c r="A76" s="119">
        <v>38</v>
      </c>
      <c r="B76" s="120" t="s">
        <v>374</v>
      </c>
      <c r="C76" s="120" t="s">
        <v>20</v>
      </c>
      <c r="D76" s="120" t="s">
        <v>370</v>
      </c>
      <c r="E76" s="120" t="s">
        <v>775</v>
      </c>
      <c r="F76" s="121"/>
      <c r="G76" s="127">
        <v>200000</v>
      </c>
    </row>
    <row r="77" spans="1:7">
      <c r="A77" s="119">
        <v>44</v>
      </c>
      <c r="B77" s="120" t="s">
        <v>369</v>
      </c>
      <c r="C77" s="120" t="s">
        <v>20</v>
      </c>
      <c r="D77" s="120" t="s">
        <v>370</v>
      </c>
      <c r="E77" s="120" t="s">
        <v>775</v>
      </c>
      <c r="F77" s="121"/>
      <c r="G77" s="127">
        <v>2000000</v>
      </c>
    </row>
    <row r="78" spans="1:7">
      <c r="A78" s="119">
        <v>99</v>
      </c>
      <c r="B78" s="120" t="s">
        <v>398</v>
      </c>
      <c r="C78" s="120" t="s">
        <v>20</v>
      </c>
      <c r="D78" s="120" t="s">
        <v>370</v>
      </c>
      <c r="E78" s="120" t="s">
        <v>918</v>
      </c>
      <c r="F78" s="121"/>
      <c r="G78" s="127">
        <v>200000</v>
      </c>
    </row>
    <row r="79" spans="1:7">
      <c r="A79" s="119">
        <v>110</v>
      </c>
      <c r="B79" s="120" t="s">
        <v>402</v>
      </c>
      <c r="C79" s="120" t="s">
        <v>20</v>
      </c>
      <c r="D79" s="120" t="s">
        <v>370</v>
      </c>
      <c r="E79" s="120" t="s">
        <v>918</v>
      </c>
      <c r="F79" s="121"/>
      <c r="G79" s="127">
        <v>200000</v>
      </c>
    </row>
    <row r="80" spans="1:7">
      <c r="A80" s="119">
        <v>113</v>
      </c>
      <c r="B80" s="120" t="s">
        <v>406</v>
      </c>
      <c r="C80" s="120" t="s">
        <v>694</v>
      </c>
      <c r="D80" s="120" t="s">
        <v>370</v>
      </c>
      <c r="E80" s="120" t="s">
        <v>776</v>
      </c>
      <c r="F80" s="121"/>
      <c r="G80" s="127">
        <v>200000</v>
      </c>
    </row>
    <row r="81" spans="1:7">
      <c r="A81" s="119">
        <v>2</v>
      </c>
      <c r="B81" s="120" t="s">
        <v>339</v>
      </c>
      <c r="C81" s="120" t="s">
        <v>20</v>
      </c>
      <c r="D81" s="120" t="s">
        <v>413</v>
      </c>
      <c r="E81" s="120" t="s">
        <v>847</v>
      </c>
      <c r="F81" s="121"/>
      <c r="G81" s="127">
        <v>200000</v>
      </c>
    </row>
    <row r="82" spans="1:7">
      <c r="A82" s="119">
        <v>24</v>
      </c>
      <c r="B82" s="124" t="s">
        <v>438</v>
      </c>
      <c r="C82" s="120" t="s">
        <v>20</v>
      </c>
      <c r="D82" s="120" t="s">
        <v>413</v>
      </c>
      <c r="E82" s="120" t="s">
        <v>775</v>
      </c>
      <c r="F82" s="121"/>
      <c r="G82" s="127">
        <v>200000</v>
      </c>
    </row>
    <row r="83" spans="1:7">
      <c r="A83" s="119">
        <v>30</v>
      </c>
      <c r="B83" s="120" t="s">
        <v>412</v>
      </c>
      <c r="C83" s="120" t="s">
        <v>20</v>
      </c>
      <c r="D83" s="120" t="s">
        <v>413</v>
      </c>
      <c r="E83" s="120" t="s">
        <v>775</v>
      </c>
      <c r="F83" s="121"/>
      <c r="G83" s="127">
        <v>2000000</v>
      </c>
    </row>
    <row r="84" spans="1:7">
      <c r="A84" s="119">
        <v>97</v>
      </c>
      <c r="B84" s="120" t="s">
        <v>488</v>
      </c>
      <c r="C84" s="120" t="s">
        <v>20</v>
      </c>
      <c r="D84" s="120" t="s">
        <v>413</v>
      </c>
      <c r="E84" s="120" t="s">
        <v>776</v>
      </c>
      <c r="F84" s="121"/>
      <c r="G84" s="127">
        <v>2000000</v>
      </c>
    </row>
    <row r="85" spans="1:7">
      <c r="A85" s="119">
        <v>17</v>
      </c>
      <c r="B85" s="120" t="s">
        <v>417</v>
      </c>
      <c r="C85" s="120" t="s">
        <v>20</v>
      </c>
      <c r="D85" s="120" t="s">
        <v>413</v>
      </c>
      <c r="E85" s="120" t="s">
        <v>918</v>
      </c>
      <c r="F85" s="121"/>
      <c r="G85" s="127">
        <v>200000</v>
      </c>
    </row>
    <row r="86" spans="1:7">
      <c r="A86" s="119">
        <v>35</v>
      </c>
      <c r="B86" s="120" t="s">
        <v>422</v>
      </c>
      <c r="C86" s="120" t="s">
        <v>20</v>
      </c>
      <c r="D86" s="120" t="s">
        <v>413</v>
      </c>
      <c r="E86" s="120" t="s">
        <v>918</v>
      </c>
      <c r="F86" s="121"/>
      <c r="G86" s="127">
        <v>200000</v>
      </c>
    </row>
    <row r="87" spans="1:7">
      <c r="A87" s="119">
        <v>95</v>
      </c>
      <c r="B87" s="124" t="s">
        <v>514</v>
      </c>
      <c r="C87" s="120" t="s">
        <v>20</v>
      </c>
      <c r="D87" s="120" t="s">
        <v>413</v>
      </c>
      <c r="E87" s="120" t="s">
        <v>918</v>
      </c>
      <c r="F87" s="121"/>
      <c r="G87" s="127">
        <v>200000</v>
      </c>
    </row>
    <row r="88" spans="1:7">
      <c r="A88" s="119">
        <v>105</v>
      </c>
      <c r="B88" s="120" t="s">
        <v>442</v>
      </c>
      <c r="C88" s="120" t="s">
        <v>20</v>
      </c>
      <c r="D88" s="120" t="s">
        <v>413</v>
      </c>
      <c r="E88" s="120" t="s">
        <v>918</v>
      </c>
      <c r="F88" s="121"/>
      <c r="G88" s="127">
        <v>200000</v>
      </c>
    </row>
    <row r="89" spans="1:7">
      <c r="A89" s="119">
        <v>56</v>
      </c>
      <c r="B89" s="120" t="s">
        <v>461</v>
      </c>
      <c r="C89" s="120" t="s">
        <v>20</v>
      </c>
      <c r="D89" s="120" t="s">
        <v>448</v>
      </c>
      <c r="E89" s="120" t="s">
        <v>847</v>
      </c>
      <c r="F89" s="121"/>
      <c r="G89" s="127">
        <v>200000</v>
      </c>
    </row>
    <row r="90" spans="1:7">
      <c r="A90" s="119">
        <v>57</v>
      </c>
      <c r="B90" s="120" t="s">
        <v>465</v>
      </c>
      <c r="C90" s="120" t="s">
        <v>20</v>
      </c>
      <c r="D90" s="123" t="s">
        <v>448</v>
      </c>
      <c r="E90" s="120" t="s">
        <v>847</v>
      </c>
      <c r="F90" s="121"/>
      <c r="G90" s="127">
        <v>200000</v>
      </c>
    </row>
    <row r="91" spans="1:7">
      <c r="A91" s="119">
        <v>58</v>
      </c>
      <c r="B91" s="120" t="s">
        <v>469</v>
      </c>
      <c r="C91" s="120" t="s">
        <v>20</v>
      </c>
      <c r="D91" s="120" t="s">
        <v>448</v>
      </c>
      <c r="E91" s="120" t="s">
        <v>847</v>
      </c>
      <c r="F91" s="121"/>
      <c r="G91" s="127">
        <v>200000</v>
      </c>
    </row>
    <row r="92" spans="1:7">
      <c r="A92" s="119">
        <v>36</v>
      </c>
      <c r="B92" s="120" t="s">
        <v>447</v>
      </c>
      <c r="C92" s="120" t="s">
        <v>20</v>
      </c>
      <c r="D92" s="120" t="s">
        <v>448</v>
      </c>
      <c r="E92" s="123" t="s">
        <v>775</v>
      </c>
      <c r="F92" s="121"/>
      <c r="G92" s="127">
        <v>2000000</v>
      </c>
    </row>
    <row r="93" spans="1:7">
      <c r="A93" s="119">
        <v>1</v>
      </c>
      <c r="B93" s="120" t="s">
        <v>474</v>
      </c>
      <c r="C93" s="120" t="s">
        <v>20</v>
      </c>
      <c r="D93" s="120" t="s">
        <v>475</v>
      </c>
      <c r="E93" s="120" t="s">
        <v>847</v>
      </c>
      <c r="F93" s="121"/>
      <c r="G93" s="127">
        <v>200000</v>
      </c>
    </row>
    <row r="94" spans="1:7">
      <c r="A94" s="119">
        <v>7</v>
      </c>
      <c r="B94" s="120" t="s">
        <v>519</v>
      </c>
      <c r="C94" s="120" t="s">
        <v>20</v>
      </c>
      <c r="D94" s="120" t="s">
        <v>475</v>
      </c>
      <c r="E94" s="120" t="s">
        <v>847</v>
      </c>
      <c r="F94" s="121"/>
      <c r="G94" s="127">
        <v>200000</v>
      </c>
    </row>
    <row r="95" spans="1:7">
      <c r="A95" s="119">
        <v>16</v>
      </c>
      <c r="B95" s="120" t="s">
        <v>484</v>
      </c>
      <c r="C95" s="120" t="s">
        <v>20</v>
      </c>
      <c r="D95" s="120" t="s">
        <v>475</v>
      </c>
      <c r="E95" s="120" t="s">
        <v>847</v>
      </c>
      <c r="F95" s="121"/>
      <c r="G95" s="127">
        <v>200000</v>
      </c>
    </row>
    <row r="96" spans="1:7">
      <c r="A96" s="119">
        <v>19</v>
      </c>
      <c r="B96" s="120" t="s">
        <v>480</v>
      </c>
      <c r="C96" s="120" t="s">
        <v>20</v>
      </c>
      <c r="D96" s="120" t="s">
        <v>475</v>
      </c>
      <c r="E96" s="120" t="s">
        <v>847</v>
      </c>
      <c r="F96" s="121"/>
      <c r="G96" s="127">
        <v>200000</v>
      </c>
    </row>
    <row r="97" spans="1:7">
      <c r="A97" s="119">
        <v>18</v>
      </c>
      <c r="B97" s="120" t="s">
        <v>492</v>
      </c>
      <c r="C97" s="120" t="s">
        <v>20</v>
      </c>
      <c r="D97" s="120" t="s">
        <v>475</v>
      </c>
      <c r="E97" s="120" t="s">
        <v>775</v>
      </c>
      <c r="F97" s="121"/>
      <c r="G97" s="127">
        <v>200000</v>
      </c>
    </row>
    <row r="98" spans="1:7">
      <c r="A98" s="119">
        <v>59</v>
      </c>
      <c r="B98" s="120" t="s">
        <v>501</v>
      </c>
      <c r="C98" s="120" t="s">
        <v>20</v>
      </c>
      <c r="D98" s="120" t="s">
        <v>475</v>
      </c>
      <c r="E98" s="120" t="s">
        <v>775</v>
      </c>
      <c r="F98" s="121"/>
      <c r="G98" s="127">
        <v>2000000</v>
      </c>
    </row>
    <row r="99" spans="1:7">
      <c r="A99" s="119">
        <v>42</v>
      </c>
      <c r="B99" s="120" t="s">
        <v>497</v>
      </c>
      <c r="C99" s="120" t="s">
        <v>20</v>
      </c>
      <c r="D99" s="120" t="s">
        <v>475</v>
      </c>
      <c r="E99" s="120" t="s">
        <v>918</v>
      </c>
      <c r="F99" s="121"/>
      <c r="G99" s="127">
        <v>200000</v>
      </c>
    </row>
    <row r="100" spans="1:7">
      <c r="A100" s="119">
        <v>64</v>
      </c>
      <c r="B100" s="120" t="s">
        <v>506</v>
      </c>
      <c r="C100" s="120" t="s">
        <v>20</v>
      </c>
      <c r="D100" s="120" t="s">
        <v>475</v>
      </c>
      <c r="E100" s="120" t="s">
        <v>918</v>
      </c>
      <c r="F100" s="121"/>
      <c r="G100" s="127">
        <v>200000</v>
      </c>
    </row>
    <row r="101" spans="1:7">
      <c r="A101" s="119">
        <v>25</v>
      </c>
      <c r="B101" s="120" t="s">
        <v>548</v>
      </c>
      <c r="C101" s="120" t="s">
        <v>20</v>
      </c>
      <c r="D101" s="120" t="s">
        <v>524</v>
      </c>
      <c r="E101" s="120" t="s">
        <v>847</v>
      </c>
      <c r="F101" s="121"/>
      <c r="G101" s="127">
        <v>200000</v>
      </c>
    </row>
    <row r="102" spans="1:7">
      <c r="A102" s="119">
        <v>39</v>
      </c>
      <c r="B102" s="120" t="s">
        <v>523</v>
      </c>
      <c r="C102" s="120" t="s">
        <v>20</v>
      </c>
      <c r="D102" s="120" t="s">
        <v>524</v>
      </c>
      <c r="E102" s="120" t="s">
        <v>847</v>
      </c>
      <c r="F102" s="121"/>
      <c r="G102" s="127">
        <v>200000</v>
      </c>
    </row>
    <row r="103" spans="1:7">
      <c r="A103" s="119">
        <v>86</v>
      </c>
      <c r="B103" s="120" t="s">
        <v>560</v>
      </c>
      <c r="C103" s="120" t="s">
        <v>20</v>
      </c>
      <c r="D103" s="120" t="s">
        <v>524</v>
      </c>
      <c r="E103" s="120" t="s">
        <v>847</v>
      </c>
      <c r="F103" s="121"/>
      <c r="G103" s="127">
        <v>200000</v>
      </c>
    </row>
    <row r="104" spans="1:7">
      <c r="A104" s="119">
        <v>87</v>
      </c>
      <c r="B104" s="120" t="s">
        <v>564</v>
      </c>
      <c r="C104" s="120" t="s">
        <v>20</v>
      </c>
      <c r="D104" s="120" t="s">
        <v>524</v>
      </c>
      <c r="E104" s="120" t="s">
        <v>847</v>
      </c>
      <c r="F104" s="121"/>
      <c r="G104" s="127">
        <v>200000</v>
      </c>
    </row>
    <row r="105" spans="1:7">
      <c r="A105" s="119">
        <v>4</v>
      </c>
      <c r="B105" s="120" t="s">
        <v>544</v>
      </c>
      <c r="C105" s="120" t="s">
        <v>20</v>
      </c>
      <c r="D105" s="120" t="s">
        <v>524</v>
      </c>
      <c r="E105" s="120" t="s">
        <v>775</v>
      </c>
      <c r="F105" s="121"/>
      <c r="G105" s="127">
        <v>2000000</v>
      </c>
    </row>
    <row r="106" spans="1:7">
      <c r="A106" s="119">
        <v>8</v>
      </c>
      <c r="B106" s="120" t="s">
        <v>536</v>
      </c>
      <c r="C106" s="120" t="s">
        <v>20</v>
      </c>
      <c r="D106" s="120" t="s">
        <v>524</v>
      </c>
      <c r="E106" s="120" t="s">
        <v>775</v>
      </c>
      <c r="F106" s="121"/>
      <c r="G106" s="127">
        <v>200000</v>
      </c>
    </row>
    <row r="107" spans="1:7">
      <c r="A107" s="119">
        <v>9</v>
      </c>
      <c r="B107" s="120" t="s">
        <v>540</v>
      </c>
      <c r="C107" s="120" t="s">
        <v>20</v>
      </c>
      <c r="D107" s="120" t="s">
        <v>524</v>
      </c>
      <c r="E107" s="120" t="s">
        <v>776</v>
      </c>
      <c r="F107" s="121"/>
      <c r="G107" s="127">
        <v>2000000</v>
      </c>
    </row>
    <row r="108" spans="1:7">
      <c r="A108" s="119">
        <v>12</v>
      </c>
      <c r="B108" s="120" t="s">
        <v>528</v>
      </c>
      <c r="C108" s="120" t="s">
        <v>20</v>
      </c>
      <c r="D108" s="120" t="s">
        <v>524</v>
      </c>
      <c r="E108" s="120" t="s">
        <v>918</v>
      </c>
      <c r="F108" s="121"/>
      <c r="G108" s="127">
        <v>200000</v>
      </c>
    </row>
    <row r="109" spans="1:7">
      <c r="A109" s="119">
        <v>68</v>
      </c>
      <c r="B109" s="126" t="s">
        <v>552</v>
      </c>
      <c r="C109" s="120" t="s">
        <v>20</v>
      </c>
      <c r="D109" s="120" t="s">
        <v>524</v>
      </c>
      <c r="E109" s="120" t="s">
        <v>918</v>
      </c>
      <c r="F109" s="121"/>
      <c r="G109" s="127">
        <v>200000</v>
      </c>
    </row>
    <row r="110" spans="1:7">
      <c r="A110" s="119">
        <v>109</v>
      </c>
      <c r="B110" s="120" t="s">
        <v>568</v>
      </c>
      <c r="C110" s="120" t="s">
        <v>20</v>
      </c>
      <c r="D110" s="120" t="s">
        <v>524</v>
      </c>
      <c r="E110" s="120" t="s">
        <v>918</v>
      </c>
      <c r="F110" s="121"/>
      <c r="G110" s="127">
        <v>200000</v>
      </c>
    </row>
    <row r="111" spans="1:7">
      <c r="G111" s="128">
        <f>SUM(G2:G110)</f>
        <v>45200000</v>
      </c>
    </row>
  </sheetData>
  <autoFilter ref="A1:E110" xr:uid="{00000000-0001-0000-0000-000000000000}">
    <sortState xmlns:xlrd2="http://schemas.microsoft.com/office/spreadsheetml/2017/richdata2" ref="A2:E110">
      <sortCondition ref="A1:A110"/>
    </sortState>
  </autoFilter>
  <sortState xmlns:xlrd2="http://schemas.microsoft.com/office/spreadsheetml/2017/richdata2" ref="A2:BT110">
    <sortCondition ref="D2:D110"/>
    <sortCondition ref="E2:E110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385A-4658-486C-BEDE-BC18236D1F78}">
  <dimension ref="A1:J992"/>
  <sheetViews>
    <sheetView topLeftCell="A27" workbookViewId="0">
      <selection activeCell="E45" sqref="E45"/>
    </sheetView>
  </sheetViews>
  <sheetFormatPr defaultColWidth="8.85546875" defaultRowHeight="15"/>
  <cols>
    <col min="1" max="1" width="22.85546875" bestFit="1" customWidth="1"/>
    <col min="2" max="2" width="14.7109375" bestFit="1" customWidth="1"/>
    <col min="3" max="3" width="6.140625" bestFit="1" customWidth="1"/>
    <col min="4" max="4" width="19.7109375" bestFit="1" customWidth="1"/>
    <col min="5" max="5" width="24.28515625" bestFit="1" customWidth="1"/>
    <col min="6" max="6" width="7.42578125" bestFit="1" customWidth="1"/>
    <col min="7" max="7" width="24.42578125" bestFit="1" customWidth="1"/>
    <col min="8" max="8" width="15.7109375" bestFit="1" customWidth="1"/>
    <col min="9" max="9" width="17.28515625" bestFit="1" customWidth="1"/>
    <col min="10" max="10" width="27.42578125" bestFit="1" customWidth="1"/>
  </cols>
  <sheetData>
    <row r="1" spans="1:9">
      <c r="A1" s="137" t="s">
        <v>2738</v>
      </c>
      <c r="B1" s="136" t="s">
        <v>2739</v>
      </c>
      <c r="C1" s="137" t="s">
        <v>2740</v>
      </c>
      <c r="D1" s="137" t="s">
        <v>2150</v>
      </c>
      <c r="E1" s="137" t="s">
        <v>2738</v>
      </c>
      <c r="F1" s="137" t="s">
        <v>2741</v>
      </c>
      <c r="G1" s="137" t="s">
        <v>2742</v>
      </c>
      <c r="H1" s="137" t="s">
        <v>2743</v>
      </c>
      <c r="I1" s="138" t="s">
        <v>2744</v>
      </c>
    </row>
    <row r="2" spans="1:9">
      <c r="A2" s="140" t="s">
        <v>673</v>
      </c>
      <c r="B2" s="139" t="s">
        <v>2745</v>
      </c>
      <c r="C2" s="140" t="s">
        <v>2746</v>
      </c>
      <c r="D2" s="140" t="s">
        <v>2747</v>
      </c>
      <c r="E2" s="140" t="s">
        <v>673</v>
      </c>
      <c r="F2" s="140" t="s">
        <v>2748</v>
      </c>
      <c r="G2" s="140" t="s">
        <v>2749</v>
      </c>
      <c r="H2" s="141" t="s">
        <v>511</v>
      </c>
      <c r="I2" s="142" t="s">
        <v>2750</v>
      </c>
    </row>
    <row r="3" spans="1:9">
      <c r="A3" s="140" t="s">
        <v>2751</v>
      </c>
      <c r="B3" s="139" t="s">
        <v>2752</v>
      </c>
      <c r="C3" s="140" t="s">
        <v>2746</v>
      </c>
      <c r="D3" s="140" t="s">
        <v>2753</v>
      </c>
      <c r="E3" s="140" t="s">
        <v>334</v>
      </c>
      <c r="F3" s="140" t="s">
        <v>2754</v>
      </c>
      <c r="G3" s="140" t="s">
        <v>2755</v>
      </c>
      <c r="H3" s="140" t="s">
        <v>2756</v>
      </c>
      <c r="I3" s="142" t="s">
        <v>2757</v>
      </c>
    </row>
    <row r="4" spans="1:9">
      <c r="A4" s="140" t="s">
        <v>2758</v>
      </c>
      <c r="B4" s="139" t="s">
        <v>2752</v>
      </c>
      <c r="C4" s="140" t="s">
        <v>2746</v>
      </c>
      <c r="D4" s="140" t="s">
        <v>2759</v>
      </c>
      <c r="E4" s="140" t="s">
        <v>412</v>
      </c>
      <c r="F4" s="140" t="s">
        <v>2754</v>
      </c>
      <c r="G4" s="140" t="s">
        <v>2755</v>
      </c>
      <c r="H4" s="140" t="s">
        <v>2760</v>
      </c>
      <c r="I4" s="142" t="s">
        <v>2757</v>
      </c>
    </row>
    <row r="5" spans="1:9">
      <c r="A5" s="140" t="s">
        <v>2761</v>
      </c>
      <c r="B5" s="139" t="s">
        <v>2752</v>
      </c>
      <c r="C5" s="140" t="s">
        <v>2746</v>
      </c>
      <c r="D5" s="140" t="s">
        <v>2762</v>
      </c>
      <c r="E5" s="140" t="s">
        <v>572</v>
      </c>
      <c r="F5" s="140" t="s">
        <v>2754</v>
      </c>
      <c r="G5" s="140" t="s">
        <v>2755</v>
      </c>
      <c r="H5" s="140" t="s">
        <v>2763</v>
      </c>
      <c r="I5" s="142" t="s">
        <v>2757</v>
      </c>
    </row>
    <row r="6" spans="1:9">
      <c r="A6" s="140" t="s">
        <v>2764</v>
      </c>
      <c r="B6" s="139" t="s">
        <v>2752</v>
      </c>
      <c r="C6" s="140" t="s">
        <v>2746</v>
      </c>
      <c r="D6" s="140" t="s">
        <v>582</v>
      </c>
      <c r="E6" s="140" t="s">
        <v>585</v>
      </c>
      <c r="F6" s="140" t="s">
        <v>2754</v>
      </c>
      <c r="G6" s="140" t="s">
        <v>2755</v>
      </c>
      <c r="H6" s="140" t="s">
        <v>2765</v>
      </c>
      <c r="I6" s="142" t="s">
        <v>2757</v>
      </c>
    </row>
    <row r="7" spans="1:9">
      <c r="A7" s="140" t="s">
        <v>2766</v>
      </c>
      <c r="B7" s="139" t="s">
        <v>2752</v>
      </c>
      <c r="C7" s="140" t="s">
        <v>2746</v>
      </c>
      <c r="D7" s="140" t="s">
        <v>2767</v>
      </c>
      <c r="E7" s="140" t="s">
        <v>616</v>
      </c>
      <c r="F7" s="140" t="s">
        <v>2754</v>
      </c>
      <c r="G7" s="140" t="s">
        <v>2755</v>
      </c>
      <c r="H7" s="140" t="s">
        <v>2768</v>
      </c>
      <c r="I7" s="142" t="s">
        <v>2757</v>
      </c>
    </row>
    <row r="8" spans="1:9">
      <c r="A8" s="140" t="s">
        <v>2769</v>
      </c>
      <c r="B8" s="139" t="s">
        <v>2752</v>
      </c>
      <c r="C8" s="140" t="s">
        <v>2746</v>
      </c>
      <c r="D8" s="140" t="s">
        <v>2770</v>
      </c>
      <c r="E8" s="140" t="s">
        <v>568</v>
      </c>
      <c r="F8" s="140" t="s">
        <v>2754</v>
      </c>
      <c r="G8" s="140" t="s">
        <v>2755</v>
      </c>
      <c r="H8" s="140" t="s">
        <v>2771</v>
      </c>
      <c r="I8" s="142" t="s">
        <v>2757</v>
      </c>
    </row>
    <row r="9" spans="1:9">
      <c r="A9" s="140" t="s">
        <v>2772</v>
      </c>
      <c r="B9" s="139" t="s">
        <v>2752</v>
      </c>
      <c r="C9" s="140" t="s">
        <v>2746</v>
      </c>
      <c r="D9" s="140" t="s">
        <v>2773</v>
      </c>
      <c r="E9" s="140" t="s">
        <v>599</v>
      </c>
      <c r="F9" s="140" t="s">
        <v>2754</v>
      </c>
      <c r="G9" s="140" t="s">
        <v>2755</v>
      </c>
      <c r="H9" s="140" t="s">
        <v>2774</v>
      </c>
      <c r="I9" s="142" t="s">
        <v>2757</v>
      </c>
    </row>
    <row r="10" spans="1:9">
      <c r="A10" s="140" t="s">
        <v>2775</v>
      </c>
      <c r="B10" s="139" t="s">
        <v>2752</v>
      </c>
      <c r="C10" s="140" t="s">
        <v>2746</v>
      </c>
      <c r="D10" s="140" t="s">
        <v>2776</v>
      </c>
      <c r="E10" s="140" t="s">
        <v>588</v>
      </c>
      <c r="F10" s="140" t="s">
        <v>2754</v>
      </c>
      <c r="G10" s="140" t="s">
        <v>2755</v>
      </c>
      <c r="H10" s="140" t="s">
        <v>2777</v>
      </c>
      <c r="I10" s="142" t="s">
        <v>2757</v>
      </c>
    </row>
    <row r="11" spans="1:9">
      <c r="A11" s="140" t="s">
        <v>2778</v>
      </c>
      <c r="B11" s="139" t="s">
        <v>2752</v>
      </c>
      <c r="C11" s="140" t="s">
        <v>2746</v>
      </c>
      <c r="D11" s="140" t="s">
        <v>2770</v>
      </c>
      <c r="E11" s="140" t="s">
        <v>668</v>
      </c>
      <c r="F11" s="140" t="s">
        <v>2754</v>
      </c>
      <c r="G11" s="140" t="s">
        <v>2755</v>
      </c>
      <c r="H11" s="140" t="s">
        <v>2779</v>
      </c>
      <c r="I11" s="142" t="s">
        <v>2757</v>
      </c>
    </row>
    <row r="12" spans="1:9">
      <c r="A12" s="140" t="s">
        <v>2780</v>
      </c>
      <c r="B12" s="139" t="s">
        <v>2752</v>
      </c>
      <c r="C12" s="140" t="s">
        <v>2746</v>
      </c>
      <c r="D12" s="140" t="s">
        <v>2781</v>
      </c>
      <c r="E12" s="140" t="s">
        <v>602</v>
      </c>
      <c r="F12" s="140" t="s">
        <v>2754</v>
      </c>
      <c r="G12" s="140" t="s">
        <v>2755</v>
      </c>
      <c r="H12" s="140" t="s">
        <v>2782</v>
      </c>
      <c r="I12" s="142" t="s">
        <v>2757</v>
      </c>
    </row>
    <row r="13" spans="1:9">
      <c r="A13" s="140" t="s">
        <v>2783</v>
      </c>
      <c r="B13" s="139" t="s">
        <v>2752</v>
      </c>
      <c r="C13" s="140" t="s">
        <v>2746</v>
      </c>
      <c r="D13" s="140" t="s">
        <v>2784</v>
      </c>
      <c r="E13" s="140" t="s">
        <v>633</v>
      </c>
      <c r="F13" s="140" t="s">
        <v>2754</v>
      </c>
      <c r="G13" s="140" t="s">
        <v>2755</v>
      </c>
      <c r="H13" s="140" t="s">
        <v>2785</v>
      </c>
      <c r="I13" s="142" t="s">
        <v>2757</v>
      </c>
    </row>
    <row r="14" spans="1:9">
      <c r="A14" s="140" t="s">
        <v>2786</v>
      </c>
      <c r="B14" s="139" t="s">
        <v>2752</v>
      </c>
      <c r="C14" s="140" t="s">
        <v>2746</v>
      </c>
      <c r="D14" s="140" t="s">
        <v>2781</v>
      </c>
      <c r="E14" s="140" t="s">
        <v>655</v>
      </c>
      <c r="F14" s="140" t="s">
        <v>2754</v>
      </c>
      <c r="G14" s="140" t="s">
        <v>2755</v>
      </c>
      <c r="H14" s="140" t="s">
        <v>2787</v>
      </c>
      <c r="I14" s="142" t="s">
        <v>2757</v>
      </c>
    </row>
    <row r="15" spans="1:9">
      <c r="A15" s="140" t="s">
        <v>2788</v>
      </c>
      <c r="B15" s="139" t="s">
        <v>2752</v>
      </c>
      <c r="C15" s="140" t="s">
        <v>2746</v>
      </c>
      <c r="D15" s="140" t="s">
        <v>2789</v>
      </c>
      <c r="E15" s="140" t="s">
        <v>746</v>
      </c>
      <c r="F15" s="140" t="s">
        <v>2754</v>
      </c>
      <c r="G15" s="140" t="s">
        <v>2755</v>
      </c>
      <c r="H15" s="140" t="s">
        <v>2790</v>
      </c>
      <c r="I15" s="142" t="s">
        <v>2791</v>
      </c>
    </row>
    <row r="16" spans="1:9">
      <c r="A16" s="140" t="s">
        <v>2792</v>
      </c>
      <c r="B16" s="139" t="s">
        <v>2752</v>
      </c>
      <c r="C16" s="140" t="s">
        <v>2746</v>
      </c>
      <c r="D16" s="140" t="s">
        <v>2793</v>
      </c>
      <c r="E16" s="140" t="s">
        <v>596</v>
      </c>
      <c r="F16" s="140" t="s">
        <v>2754</v>
      </c>
      <c r="G16" s="140" t="s">
        <v>2755</v>
      </c>
      <c r="H16" s="140" t="s">
        <v>2794</v>
      </c>
      <c r="I16" s="142" t="s">
        <v>2757</v>
      </c>
    </row>
    <row r="17" spans="1:10">
      <c r="A17" s="140" t="s">
        <v>2795</v>
      </c>
      <c r="B17" s="139" t="s">
        <v>2752</v>
      </c>
      <c r="C17" s="140" t="s">
        <v>2746</v>
      </c>
      <c r="D17" s="140" t="s">
        <v>2793</v>
      </c>
      <c r="E17" s="140" t="s">
        <v>658</v>
      </c>
      <c r="F17" s="140" t="s">
        <v>2754</v>
      </c>
      <c r="G17" s="140" t="s">
        <v>2755</v>
      </c>
      <c r="H17" s="140" t="s">
        <v>2796</v>
      </c>
      <c r="I17" s="142" t="s">
        <v>2757</v>
      </c>
    </row>
    <row r="18" spans="1:10">
      <c r="A18" s="140" t="s">
        <v>2797</v>
      </c>
      <c r="B18" s="139" t="s">
        <v>2752</v>
      </c>
      <c r="C18" s="140" t="s">
        <v>2746</v>
      </c>
      <c r="D18" s="140" t="s">
        <v>2767</v>
      </c>
      <c r="E18" s="140" t="s">
        <v>592</v>
      </c>
      <c r="F18" s="140" t="s">
        <v>2754</v>
      </c>
      <c r="G18" s="140" t="s">
        <v>2755</v>
      </c>
      <c r="H18" s="140" t="s">
        <v>2798</v>
      </c>
      <c r="I18" s="142" t="s">
        <v>2757</v>
      </c>
    </row>
    <row r="19" spans="1:10">
      <c r="A19" s="140" t="s">
        <v>2799</v>
      </c>
      <c r="B19" s="139" t="s">
        <v>2752</v>
      </c>
      <c r="C19" s="140" t="s">
        <v>2746</v>
      </c>
      <c r="D19" s="140" t="s">
        <v>2800</v>
      </c>
      <c r="E19" s="140" t="s">
        <v>488</v>
      </c>
      <c r="F19" s="140" t="s">
        <v>2754</v>
      </c>
      <c r="G19" s="140" t="s">
        <v>2755</v>
      </c>
      <c r="H19" s="140" t="s">
        <v>2801</v>
      </c>
      <c r="I19" s="142" t="s">
        <v>2757</v>
      </c>
    </row>
    <row r="20" spans="1:10">
      <c r="A20" s="140" t="s">
        <v>2802</v>
      </c>
      <c r="B20" s="139" t="s">
        <v>2752</v>
      </c>
      <c r="C20" s="140" t="s">
        <v>2746</v>
      </c>
      <c r="D20" s="140" t="s">
        <v>2803</v>
      </c>
      <c r="E20" s="140" t="s">
        <v>660</v>
      </c>
      <c r="F20" s="140" t="s">
        <v>2754</v>
      </c>
      <c r="G20" s="140" t="s">
        <v>2755</v>
      </c>
      <c r="H20" s="140" t="s">
        <v>2804</v>
      </c>
      <c r="I20" s="142" t="s">
        <v>2757</v>
      </c>
    </row>
    <row r="21" spans="1:10">
      <c r="A21" s="140" t="s">
        <v>2805</v>
      </c>
      <c r="B21" s="139" t="s">
        <v>2752</v>
      </c>
      <c r="C21" s="140" t="s">
        <v>2746</v>
      </c>
      <c r="D21" s="140" t="s">
        <v>2747</v>
      </c>
      <c r="E21" s="140" t="s">
        <v>645</v>
      </c>
      <c r="F21" s="140" t="s">
        <v>2754</v>
      </c>
      <c r="G21" s="140" t="s">
        <v>2755</v>
      </c>
      <c r="H21" s="140" t="s">
        <v>2806</v>
      </c>
      <c r="I21" s="142" t="s">
        <v>2757</v>
      </c>
    </row>
    <row r="22" spans="1:10">
      <c r="A22" s="140" t="s">
        <v>2807</v>
      </c>
      <c r="B22" s="139" t="s">
        <v>2752</v>
      </c>
      <c r="C22" s="140" t="s">
        <v>2746</v>
      </c>
      <c r="D22" s="140" t="s">
        <v>2789</v>
      </c>
      <c r="E22" s="140" t="s">
        <v>676</v>
      </c>
      <c r="F22" s="140" t="s">
        <v>2754</v>
      </c>
      <c r="G22" s="140" t="s">
        <v>2755</v>
      </c>
      <c r="H22" s="140" t="s">
        <v>2808</v>
      </c>
      <c r="I22" s="142" t="s">
        <v>2757</v>
      </c>
    </row>
    <row r="23" spans="1:10">
      <c r="A23" s="140" t="s">
        <v>2809</v>
      </c>
      <c r="B23" s="139" t="s">
        <v>2752</v>
      </c>
      <c r="C23" s="140" t="s">
        <v>2746</v>
      </c>
      <c r="D23" s="140" t="s">
        <v>2770</v>
      </c>
      <c r="E23" s="140" t="s">
        <v>606</v>
      </c>
      <c r="F23" s="140" t="s">
        <v>2754</v>
      </c>
      <c r="G23" s="140" t="s">
        <v>2755</v>
      </c>
      <c r="H23" s="140" t="s">
        <v>2810</v>
      </c>
      <c r="I23" s="142" t="s">
        <v>2757</v>
      </c>
    </row>
    <row r="24" spans="1:10">
      <c r="A24" s="140" t="s">
        <v>2811</v>
      </c>
      <c r="B24" s="139" t="s">
        <v>2752</v>
      </c>
      <c r="C24" s="140" t="s">
        <v>2746</v>
      </c>
      <c r="D24" s="140" t="s">
        <v>2762</v>
      </c>
      <c r="E24" s="140" t="s">
        <v>627</v>
      </c>
      <c r="F24" s="140" t="s">
        <v>2754</v>
      </c>
      <c r="G24" s="140" t="s">
        <v>2755</v>
      </c>
      <c r="H24" s="140" t="s">
        <v>2812</v>
      </c>
      <c r="I24" s="142" t="s">
        <v>2757</v>
      </c>
    </row>
    <row r="25" spans="1:10">
      <c r="A25" s="140" t="s">
        <v>2813</v>
      </c>
      <c r="B25" s="139" t="s">
        <v>2752</v>
      </c>
      <c r="C25" s="140" t="s">
        <v>2746</v>
      </c>
      <c r="D25" s="140" t="s">
        <v>2814</v>
      </c>
      <c r="E25" s="140" t="s">
        <v>347</v>
      </c>
      <c r="F25" s="140" t="s">
        <v>2754</v>
      </c>
      <c r="G25" s="140" t="s">
        <v>2755</v>
      </c>
      <c r="H25" s="140" t="s">
        <v>2815</v>
      </c>
      <c r="I25" s="142" t="s">
        <v>2757</v>
      </c>
      <c r="J25" t="s">
        <v>2816</v>
      </c>
    </row>
    <row r="26" spans="1:10">
      <c r="A26" s="140" t="s">
        <v>2817</v>
      </c>
      <c r="B26" s="139" t="s">
        <v>2752</v>
      </c>
      <c r="C26" s="140" t="s">
        <v>2746</v>
      </c>
      <c r="D26" s="140" t="s">
        <v>2818</v>
      </c>
      <c r="E26" s="140" t="s">
        <v>369</v>
      </c>
      <c r="F26" s="140" t="s">
        <v>2754</v>
      </c>
      <c r="G26" s="140" t="s">
        <v>2755</v>
      </c>
      <c r="H26" s="140" t="s">
        <v>2819</v>
      </c>
      <c r="I26" s="142" t="s">
        <v>2757</v>
      </c>
    </row>
    <row r="27" spans="1:10">
      <c r="A27" s="140" t="s">
        <v>2820</v>
      </c>
      <c r="B27" s="139" t="s">
        <v>2752</v>
      </c>
      <c r="C27" s="140" t="s">
        <v>2746</v>
      </c>
      <c r="D27" s="140" t="s">
        <v>2821</v>
      </c>
      <c r="E27" s="140" t="s">
        <v>116</v>
      </c>
      <c r="F27" s="140" t="s">
        <v>2754</v>
      </c>
      <c r="G27" s="140" t="s">
        <v>2755</v>
      </c>
      <c r="H27" s="140" t="s">
        <v>2822</v>
      </c>
      <c r="I27" s="142" t="s">
        <v>2757</v>
      </c>
    </row>
    <row r="28" spans="1:10">
      <c r="A28" s="140" t="s">
        <v>2823</v>
      </c>
      <c r="B28" s="139" t="s">
        <v>2752</v>
      </c>
      <c r="C28" s="140" t="s">
        <v>2746</v>
      </c>
      <c r="D28" s="140" t="s">
        <v>582</v>
      </c>
      <c r="E28" s="140" t="s">
        <v>581</v>
      </c>
      <c r="F28" s="140" t="s">
        <v>2754</v>
      </c>
      <c r="G28" s="140" t="s">
        <v>2755</v>
      </c>
      <c r="H28" s="140" t="s">
        <v>2824</v>
      </c>
      <c r="I28" s="142" t="s">
        <v>2757</v>
      </c>
    </row>
    <row r="29" spans="1:10">
      <c r="A29" s="140" t="s">
        <v>2825</v>
      </c>
      <c r="B29" s="139" t="s">
        <v>2752</v>
      </c>
      <c r="C29" s="140" t="s">
        <v>2746</v>
      </c>
      <c r="D29" s="140" t="s">
        <v>2826</v>
      </c>
      <c r="E29" s="140" t="s">
        <v>211</v>
      </c>
      <c r="F29" s="140" t="s">
        <v>2754</v>
      </c>
      <c r="G29" s="140" t="s">
        <v>2755</v>
      </c>
      <c r="H29" s="140" t="s">
        <v>2827</v>
      </c>
      <c r="I29" s="142" t="s">
        <v>2757</v>
      </c>
    </row>
    <row r="30" spans="1:10">
      <c r="A30" s="140" t="s">
        <v>66</v>
      </c>
      <c r="B30" s="139" t="s">
        <v>2752</v>
      </c>
      <c r="C30" s="140" t="s">
        <v>2828</v>
      </c>
      <c r="D30" s="140" t="s">
        <v>2747</v>
      </c>
      <c r="E30" s="140" t="s">
        <v>66</v>
      </c>
      <c r="F30" s="140" t="s">
        <v>2748</v>
      </c>
      <c r="G30" s="140" t="s">
        <v>2829</v>
      </c>
      <c r="H30" s="140" t="s">
        <v>2830</v>
      </c>
      <c r="I30" s="142" t="s">
        <v>2757</v>
      </c>
    </row>
    <row r="31" spans="1:10">
      <c r="A31" s="140" t="s">
        <v>2831</v>
      </c>
      <c r="B31" s="139" t="s">
        <v>2752</v>
      </c>
      <c r="C31" s="140" t="s">
        <v>2746</v>
      </c>
      <c r="D31" s="140" t="s">
        <v>1668</v>
      </c>
      <c r="E31" s="140" t="s">
        <v>2831</v>
      </c>
      <c r="F31" s="140" t="s">
        <v>2832</v>
      </c>
      <c r="G31" s="140" t="s">
        <v>2833</v>
      </c>
      <c r="H31" s="140" t="s">
        <v>2834</v>
      </c>
      <c r="I31" s="142" t="s">
        <v>2757</v>
      </c>
    </row>
    <row r="32" spans="1:10">
      <c r="A32" s="140" t="s">
        <v>623</v>
      </c>
      <c r="B32" s="139" t="s">
        <v>2752</v>
      </c>
      <c r="C32" s="140" t="s">
        <v>2746</v>
      </c>
      <c r="D32" s="140" t="s">
        <v>1668</v>
      </c>
      <c r="E32" s="140" t="s">
        <v>623</v>
      </c>
      <c r="F32" s="140" t="s">
        <v>2832</v>
      </c>
      <c r="G32" s="140" t="s">
        <v>2833</v>
      </c>
      <c r="H32" s="140" t="s">
        <v>2835</v>
      </c>
      <c r="I32" s="142" t="s">
        <v>2757</v>
      </c>
    </row>
    <row r="33" spans="1:9">
      <c r="A33" s="140" t="s">
        <v>641</v>
      </c>
      <c r="B33" s="139" t="s">
        <v>2745</v>
      </c>
      <c r="C33" s="140" t="s">
        <v>2746</v>
      </c>
      <c r="D33" s="140" t="s">
        <v>631</v>
      </c>
      <c r="E33" s="140" t="s">
        <v>641</v>
      </c>
      <c r="F33" s="140" t="s">
        <v>2748</v>
      </c>
      <c r="G33" s="140" t="s">
        <v>2749</v>
      </c>
      <c r="H33" s="140" t="s">
        <v>2836</v>
      </c>
      <c r="I33" s="142" t="s">
        <v>2757</v>
      </c>
    </row>
    <row r="34" spans="1:9">
      <c r="A34" s="140" t="s">
        <v>673</v>
      </c>
      <c r="B34" s="139" t="s">
        <v>2752</v>
      </c>
      <c r="C34" s="140" t="s">
        <v>2746</v>
      </c>
      <c r="D34" s="140" t="s">
        <v>2747</v>
      </c>
      <c r="E34" s="140" t="s">
        <v>673</v>
      </c>
      <c r="F34" s="140" t="s">
        <v>2748</v>
      </c>
      <c r="G34" s="140" t="s">
        <v>2837</v>
      </c>
      <c r="H34" s="140" t="s">
        <v>2838</v>
      </c>
      <c r="I34" s="142" t="s">
        <v>2757</v>
      </c>
    </row>
    <row r="35" spans="1:9">
      <c r="A35" s="140" t="s">
        <v>652</v>
      </c>
      <c r="B35" s="139" t="s">
        <v>2752</v>
      </c>
      <c r="C35" s="140" t="s">
        <v>2746</v>
      </c>
      <c r="D35" s="140" t="s">
        <v>649</v>
      </c>
      <c r="E35" s="140" t="s">
        <v>652</v>
      </c>
      <c r="F35" s="140" t="s">
        <v>2832</v>
      </c>
      <c r="G35" s="140" t="s">
        <v>2833</v>
      </c>
      <c r="H35" s="140" t="s">
        <v>2839</v>
      </c>
      <c r="I35" s="142" t="s">
        <v>2757</v>
      </c>
    </row>
    <row r="36" spans="1:9">
      <c r="A36" s="140" t="s">
        <v>577</v>
      </c>
      <c r="B36" s="139" t="s">
        <v>2752</v>
      </c>
      <c r="C36" s="140" t="s">
        <v>2746</v>
      </c>
      <c r="D36" s="140" t="s">
        <v>1668</v>
      </c>
      <c r="E36" s="140" t="s">
        <v>577</v>
      </c>
      <c r="F36" s="140" t="s">
        <v>2832</v>
      </c>
      <c r="G36" s="140" t="s">
        <v>2833</v>
      </c>
      <c r="H36" s="140" t="s">
        <v>2840</v>
      </c>
      <c r="I36" s="142" t="s">
        <v>2757</v>
      </c>
    </row>
    <row r="37" spans="1:9">
      <c r="A37" s="140" t="s">
        <v>664</v>
      </c>
      <c r="B37" s="139" t="s">
        <v>2752</v>
      </c>
      <c r="C37" s="140" t="s">
        <v>2746</v>
      </c>
      <c r="D37" s="140" t="s">
        <v>1668</v>
      </c>
      <c r="E37" s="140" t="s">
        <v>664</v>
      </c>
      <c r="F37" s="140" t="s">
        <v>2832</v>
      </c>
      <c r="G37" s="140" t="s">
        <v>2833</v>
      </c>
      <c r="H37" s="140" t="s">
        <v>2841</v>
      </c>
      <c r="I37" s="142" t="s">
        <v>2757</v>
      </c>
    </row>
    <row r="38" spans="1:9">
      <c r="A38" s="140" t="s">
        <v>679</v>
      </c>
      <c r="B38" s="139" t="s">
        <v>2752</v>
      </c>
      <c r="C38" s="140" t="s">
        <v>2746</v>
      </c>
      <c r="D38" s="140" t="s">
        <v>2842</v>
      </c>
      <c r="E38" s="140" t="s">
        <v>679</v>
      </c>
      <c r="F38" s="140" t="s">
        <v>2832</v>
      </c>
      <c r="G38" s="140" t="s">
        <v>2833</v>
      </c>
      <c r="H38" s="140" t="s">
        <v>2843</v>
      </c>
      <c r="I38" s="142" t="s">
        <v>2791</v>
      </c>
    </row>
    <row r="39" spans="1:9">
      <c r="A39" s="140" t="s">
        <v>609</v>
      </c>
      <c r="B39" s="139" t="s">
        <v>2752</v>
      </c>
      <c r="C39" s="140" t="s">
        <v>2844</v>
      </c>
      <c r="D39" s="140" t="s">
        <v>2803</v>
      </c>
      <c r="E39" s="140" t="s">
        <v>609</v>
      </c>
      <c r="F39" s="140" t="s">
        <v>2845</v>
      </c>
      <c r="G39" s="140" t="s">
        <v>2846</v>
      </c>
      <c r="H39" s="140" t="s">
        <v>2847</v>
      </c>
      <c r="I39" s="142" t="s">
        <v>2757</v>
      </c>
    </row>
    <row r="40" spans="1:9">
      <c r="A40" s="140" t="s">
        <v>2848</v>
      </c>
      <c r="B40" s="139" t="s">
        <v>2752</v>
      </c>
      <c r="C40" s="140" t="s">
        <v>2844</v>
      </c>
      <c r="D40" s="140" t="s">
        <v>2848</v>
      </c>
      <c r="E40" s="140" t="s">
        <v>2848</v>
      </c>
      <c r="F40" s="140" t="s">
        <v>2845</v>
      </c>
      <c r="G40" s="140" t="s">
        <v>2849</v>
      </c>
      <c r="H40" s="140" t="s">
        <v>2847</v>
      </c>
      <c r="I40" s="142" t="s">
        <v>2757</v>
      </c>
    </row>
    <row r="41" spans="1:9">
      <c r="A41" s="140" t="s">
        <v>2850</v>
      </c>
      <c r="B41" s="139" t="s">
        <v>2752</v>
      </c>
      <c r="C41" s="140" t="s">
        <v>2844</v>
      </c>
      <c r="D41" s="140" t="s">
        <v>2850</v>
      </c>
      <c r="E41" s="140" t="s">
        <v>2850</v>
      </c>
      <c r="F41" s="140" t="s">
        <v>2845</v>
      </c>
      <c r="G41" s="140" t="s">
        <v>2846</v>
      </c>
      <c r="H41" s="140" t="s">
        <v>2847</v>
      </c>
      <c r="I41" s="142" t="s">
        <v>2757</v>
      </c>
    </row>
    <row r="42" spans="1:9">
      <c r="A42" s="140" t="s">
        <v>2851</v>
      </c>
      <c r="B42" s="139" t="s">
        <v>2745</v>
      </c>
      <c r="C42" s="140" t="s">
        <v>2746</v>
      </c>
      <c r="D42" s="140" t="s">
        <v>2852</v>
      </c>
      <c r="E42" s="140" t="s">
        <v>619</v>
      </c>
      <c r="F42" s="140" t="s">
        <v>2853</v>
      </c>
      <c r="G42" s="140" t="s">
        <v>2854</v>
      </c>
      <c r="H42" s="412"/>
      <c r="I42" s="142" t="s">
        <v>2757</v>
      </c>
    </row>
    <row r="43" spans="1:9">
      <c r="A43" s="140" t="s">
        <v>2855</v>
      </c>
      <c r="B43" s="139" t="s">
        <v>2752</v>
      </c>
      <c r="C43" s="140" t="s">
        <v>2746</v>
      </c>
      <c r="D43" s="140" t="s">
        <v>2842</v>
      </c>
      <c r="E43" s="140" t="s">
        <v>552</v>
      </c>
      <c r="F43" s="140" t="s">
        <v>2832</v>
      </c>
      <c r="G43" s="140" t="s">
        <v>2833</v>
      </c>
      <c r="H43" s="140" t="s">
        <v>2856</v>
      </c>
      <c r="I43" s="142" t="s">
        <v>2757</v>
      </c>
    </row>
    <row r="44" spans="1:9">
      <c r="A44" s="140" t="s">
        <v>2857</v>
      </c>
      <c r="B44" s="139" t="s">
        <v>2752</v>
      </c>
      <c r="C44" s="140" t="s">
        <v>2746</v>
      </c>
      <c r="D44" s="140" t="s">
        <v>2858</v>
      </c>
      <c r="E44" s="140" t="s">
        <v>2857</v>
      </c>
      <c r="F44" s="140" t="s">
        <v>2832</v>
      </c>
      <c r="G44" s="140" t="s">
        <v>2859</v>
      </c>
      <c r="H44" s="412"/>
      <c r="I44" s="142" t="s">
        <v>2757</v>
      </c>
    </row>
    <row r="45" spans="1:9">
      <c r="A45" s="140" t="s">
        <v>2860</v>
      </c>
      <c r="B45" s="139" t="s">
        <v>2752</v>
      </c>
      <c r="C45" s="140" t="s">
        <v>2746</v>
      </c>
      <c r="D45" s="140" t="s">
        <v>2773</v>
      </c>
      <c r="E45" s="140" t="s">
        <v>2860</v>
      </c>
      <c r="F45" s="140" t="s">
        <v>2754</v>
      </c>
      <c r="G45" s="140" t="s">
        <v>2755</v>
      </c>
      <c r="H45" s="412"/>
      <c r="I45" s="142" t="s">
        <v>2861</v>
      </c>
    </row>
    <row r="46" spans="1:9">
      <c r="A46" s="140" t="s">
        <v>2862</v>
      </c>
      <c r="B46" s="139" t="s">
        <v>2752</v>
      </c>
      <c r="C46" s="140" t="s">
        <v>2746</v>
      </c>
      <c r="D46" s="140" t="s">
        <v>2863</v>
      </c>
      <c r="E46" s="140" t="s">
        <v>2862</v>
      </c>
      <c r="F46" s="140" t="s">
        <v>2754</v>
      </c>
      <c r="G46" s="140" t="s">
        <v>2755</v>
      </c>
      <c r="H46" s="412"/>
      <c r="I46" s="142" t="s">
        <v>2861</v>
      </c>
    </row>
    <row r="47" spans="1:9">
      <c r="A47" s="140" t="s">
        <v>2864</v>
      </c>
      <c r="B47" s="139" t="s">
        <v>2752</v>
      </c>
      <c r="C47" s="140" t="s">
        <v>2746</v>
      </c>
      <c r="D47" s="140" t="s">
        <v>2865</v>
      </c>
      <c r="E47" s="140" t="s">
        <v>2864</v>
      </c>
      <c r="F47" s="140" t="s">
        <v>2754</v>
      </c>
      <c r="G47" s="140" t="s">
        <v>2755</v>
      </c>
      <c r="H47" s="412"/>
      <c r="I47" s="142" t="s">
        <v>2791</v>
      </c>
    </row>
    <row r="48" spans="1:9">
      <c r="A48" s="140" t="s">
        <v>2862</v>
      </c>
      <c r="B48" s="139" t="s">
        <v>2745</v>
      </c>
      <c r="C48" s="140" t="s">
        <v>2746</v>
      </c>
      <c r="D48" s="140" t="s">
        <v>582</v>
      </c>
      <c r="E48" s="140" t="s">
        <v>2862</v>
      </c>
      <c r="F48" s="140" t="s">
        <v>2748</v>
      </c>
      <c r="G48" s="140" t="s">
        <v>2749</v>
      </c>
      <c r="H48" s="140" t="s">
        <v>2866</v>
      </c>
      <c r="I48" s="142" t="s">
        <v>2757</v>
      </c>
    </row>
    <row r="49" spans="1:9">
      <c r="A49" s="140" t="s">
        <v>2867</v>
      </c>
      <c r="B49" s="139" t="s">
        <v>2745</v>
      </c>
      <c r="C49" s="140" t="s">
        <v>2746</v>
      </c>
      <c r="D49" s="140" t="s">
        <v>2747</v>
      </c>
      <c r="E49" s="140" t="s">
        <v>2867</v>
      </c>
      <c r="F49" s="140" t="s">
        <v>2748</v>
      </c>
      <c r="G49" s="140" t="s">
        <v>2749</v>
      </c>
      <c r="H49" s="412"/>
      <c r="I49" s="142" t="s">
        <v>2757</v>
      </c>
    </row>
    <row r="50" spans="1:9">
      <c r="A50" s="140" t="s">
        <v>671</v>
      </c>
      <c r="B50" s="139" t="s">
        <v>2745</v>
      </c>
      <c r="C50" s="140" t="s">
        <v>2746</v>
      </c>
      <c r="D50" s="140" t="s">
        <v>2868</v>
      </c>
      <c r="E50" s="140" t="s">
        <v>671</v>
      </c>
      <c r="F50" s="140" t="s">
        <v>2748</v>
      </c>
      <c r="G50" s="140" t="s">
        <v>2749</v>
      </c>
      <c r="H50" s="412"/>
      <c r="I50" s="142" t="s">
        <v>2757</v>
      </c>
    </row>
    <row r="51" spans="1:9">
      <c r="A51" s="140" t="s">
        <v>2869</v>
      </c>
      <c r="B51" s="139" t="s">
        <v>2745</v>
      </c>
      <c r="C51" s="140" t="s">
        <v>2746</v>
      </c>
      <c r="D51" s="140" t="s">
        <v>631</v>
      </c>
      <c r="E51" s="140" t="s">
        <v>2869</v>
      </c>
      <c r="F51" s="140" t="s">
        <v>2870</v>
      </c>
      <c r="G51" s="140" t="s">
        <v>2870</v>
      </c>
      <c r="H51" s="140" t="s">
        <v>2871</v>
      </c>
      <c r="I51" s="142" t="s">
        <v>2757</v>
      </c>
    </row>
    <row r="52" spans="1:9">
      <c r="A52" s="140" t="s">
        <v>2850</v>
      </c>
      <c r="B52" s="139" t="s">
        <v>2752</v>
      </c>
      <c r="C52" s="140" t="s">
        <v>2746</v>
      </c>
      <c r="D52" s="140" t="s">
        <v>2850</v>
      </c>
      <c r="E52" s="140" t="s">
        <v>2850</v>
      </c>
      <c r="F52" s="412"/>
      <c r="G52" s="412"/>
      <c r="H52" s="412"/>
      <c r="I52" s="142" t="s">
        <v>2757</v>
      </c>
    </row>
    <row r="53" spans="1:9">
      <c r="A53" s="140" t="s">
        <v>1225</v>
      </c>
      <c r="B53" s="139" t="s">
        <v>2752</v>
      </c>
      <c r="C53" s="140" t="s">
        <v>2844</v>
      </c>
      <c r="D53" s="140" t="s">
        <v>1225</v>
      </c>
      <c r="E53" s="140" t="s">
        <v>1225</v>
      </c>
      <c r="F53" s="412"/>
      <c r="G53" s="412"/>
      <c r="H53" s="412"/>
      <c r="I53" s="142" t="s">
        <v>2757</v>
      </c>
    </row>
    <row r="54" spans="1:9">
      <c r="A54" s="412"/>
      <c r="B54" s="413"/>
      <c r="C54" s="412"/>
      <c r="D54" s="412"/>
      <c r="E54" s="412"/>
      <c r="F54" s="412"/>
      <c r="G54" s="412"/>
      <c r="H54" s="412"/>
      <c r="I54" s="414"/>
    </row>
    <row r="55" spans="1:9">
      <c r="A55" s="412"/>
      <c r="B55" s="413"/>
      <c r="C55" s="412"/>
      <c r="D55" s="412"/>
      <c r="E55" s="412"/>
      <c r="F55" s="412"/>
      <c r="G55" s="412"/>
      <c r="H55" s="412"/>
      <c r="I55" s="414"/>
    </row>
    <row r="56" spans="1:9">
      <c r="A56" s="412"/>
      <c r="B56" s="413"/>
      <c r="C56" s="412"/>
      <c r="D56" s="412"/>
      <c r="E56" s="412"/>
      <c r="F56" s="412"/>
      <c r="G56" s="412"/>
      <c r="H56" s="412"/>
      <c r="I56" s="414"/>
    </row>
    <row r="57" spans="1:9">
      <c r="A57" s="412"/>
      <c r="B57" s="413"/>
      <c r="C57" s="412"/>
      <c r="D57" s="412"/>
      <c r="E57" s="412"/>
      <c r="F57" s="412"/>
      <c r="G57" s="412"/>
      <c r="H57" s="412"/>
      <c r="I57" s="414"/>
    </row>
    <row r="58" spans="1:9">
      <c r="A58" s="412"/>
      <c r="B58" s="413"/>
      <c r="C58" s="412"/>
      <c r="D58" s="412"/>
      <c r="E58" s="412"/>
      <c r="F58" s="412"/>
      <c r="G58" s="412"/>
      <c r="H58" s="412"/>
      <c r="I58" s="414"/>
    </row>
    <row r="59" spans="1:9">
      <c r="A59" s="412"/>
      <c r="B59" s="413"/>
      <c r="C59" s="412"/>
      <c r="D59" s="412"/>
      <c r="E59" s="412"/>
      <c r="F59" s="412"/>
      <c r="G59" s="412"/>
      <c r="H59" s="412"/>
      <c r="I59" s="414"/>
    </row>
    <row r="60" spans="1:9">
      <c r="A60" s="412"/>
      <c r="B60" s="413"/>
      <c r="C60" s="412"/>
      <c r="D60" s="412"/>
      <c r="E60" s="412"/>
      <c r="F60" s="412"/>
      <c r="G60" s="412"/>
      <c r="H60" s="412"/>
      <c r="I60" s="414"/>
    </row>
    <row r="61" spans="1:9">
      <c r="A61" s="412"/>
      <c r="B61" s="413"/>
      <c r="C61" s="412"/>
      <c r="D61" s="412"/>
      <c r="E61" s="412"/>
      <c r="F61" s="412"/>
      <c r="G61" s="412"/>
      <c r="H61" s="412"/>
      <c r="I61" s="414"/>
    </row>
    <row r="62" spans="1:9">
      <c r="A62" s="412"/>
      <c r="B62" s="413"/>
      <c r="C62" s="412"/>
      <c r="D62" s="412"/>
      <c r="E62" s="412"/>
      <c r="F62" s="412"/>
      <c r="G62" s="412"/>
      <c r="H62" s="412"/>
      <c r="I62" s="414"/>
    </row>
    <row r="63" spans="1:9">
      <c r="A63" s="412"/>
      <c r="B63" s="413"/>
      <c r="C63" s="412"/>
      <c r="D63" s="412"/>
      <c r="E63" s="412"/>
      <c r="F63" s="412"/>
      <c r="G63" s="412"/>
      <c r="H63" s="412"/>
      <c r="I63" s="414"/>
    </row>
    <row r="64" spans="1:9">
      <c r="A64" s="412"/>
      <c r="B64" s="413"/>
      <c r="C64" s="412"/>
      <c r="D64" s="412"/>
      <c r="E64" s="412"/>
      <c r="F64" s="412"/>
      <c r="G64" s="412"/>
      <c r="H64" s="412"/>
      <c r="I64" s="414"/>
    </row>
    <row r="65" spans="1:9">
      <c r="A65" s="412"/>
      <c r="B65" s="413"/>
      <c r="C65" s="412"/>
      <c r="D65" s="412"/>
      <c r="E65" s="412"/>
      <c r="F65" s="412"/>
      <c r="G65" s="412"/>
      <c r="H65" s="412"/>
      <c r="I65" s="414"/>
    </row>
    <row r="66" spans="1:9">
      <c r="A66" s="412"/>
      <c r="B66" s="413"/>
      <c r="C66" s="412"/>
      <c r="D66" s="412"/>
      <c r="E66" s="412"/>
      <c r="F66" s="412"/>
      <c r="G66" s="412"/>
      <c r="H66" s="412"/>
      <c r="I66" s="414"/>
    </row>
    <row r="67" spans="1:9">
      <c r="A67" s="412"/>
      <c r="B67" s="413"/>
      <c r="C67" s="412"/>
      <c r="D67" s="412"/>
      <c r="E67" s="412"/>
      <c r="F67" s="412"/>
      <c r="G67" s="412"/>
      <c r="H67" s="412"/>
      <c r="I67" s="414"/>
    </row>
    <row r="68" spans="1:9">
      <c r="A68" s="412"/>
      <c r="B68" s="413"/>
      <c r="C68" s="412"/>
      <c r="D68" s="412"/>
      <c r="E68" s="412"/>
      <c r="F68" s="412"/>
      <c r="G68" s="412"/>
      <c r="H68" s="412"/>
      <c r="I68" s="414"/>
    </row>
    <row r="69" spans="1:9">
      <c r="A69" s="412"/>
      <c r="B69" s="413"/>
      <c r="C69" s="412"/>
      <c r="D69" s="412"/>
      <c r="E69" s="412"/>
      <c r="F69" s="412"/>
      <c r="G69" s="412"/>
      <c r="H69" s="412"/>
      <c r="I69" s="414"/>
    </row>
    <row r="70" spans="1:9">
      <c r="A70" s="412"/>
      <c r="B70" s="413"/>
      <c r="C70" s="412"/>
      <c r="D70" s="412"/>
      <c r="E70" s="412"/>
      <c r="F70" s="412"/>
      <c r="G70" s="412"/>
      <c r="H70" s="412"/>
      <c r="I70" s="414"/>
    </row>
    <row r="71" spans="1:9">
      <c r="A71" s="412"/>
      <c r="B71" s="413"/>
      <c r="C71" s="412"/>
      <c r="D71" s="412"/>
      <c r="E71" s="412"/>
      <c r="F71" s="412"/>
      <c r="G71" s="412"/>
      <c r="H71" s="412"/>
      <c r="I71" s="414"/>
    </row>
    <row r="72" spans="1:9">
      <c r="A72" s="412"/>
      <c r="B72" s="413"/>
      <c r="C72" s="412"/>
      <c r="D72" s="412"/>
      <c r="E72" s="412"/>
      <c r="F72" s="412"/>
      <c r="G72" s="412"/>
      <c r="H72" s="412"/>
      <c r="I72" s="414"/>
    </row>
    <row r="73" spans="1:9">
      <c r="A73" s="412"/>
      <c r="B73" s="413"/>
      <c r="C73" s="412"/>
      <c r="D73" s="412"/>
      <c r="E73" s="412"/>
      <c r="F73" s="412"/>
      <c r="G73" s="412"/>
      <c r="H73" s="412"/>
      <c r="I73" s="414"/>
    </row>
    <row r="74" spans="1:9">
      <c r="A74" s="412"/>
      <c r="B74" s="413"/>
      <c r="C74" s="412"/>
      <c r="D74" s="412"/>
      <c r="E74" s="412"/>
      <c r="F74" s="412"/>
      <c r="G74" s="412"/>
      <c r="H74" s="412"/>
      <c r="I74" s="414"/>
    </row>
    <row r="75" spans="1:9">
      <c r="A75" s="412"/>
      <c r="B75" s="413"/>
      <c r="C75" s="412"/>
      <c r="D75" s="412"/>
      <c r="E75" s="412"/>
      <c r="F75" s="412"/>
      <c r="G75" s="412"/>
      <c r="H75" s="412"/>
      <c r="I75" s="414"/>
    </row>
    <row r="76" spans="1:9">
      <c r="A76" s="412"/>
      <c r="B76" s="413"/>
      <c r="C76" s="412"/>
      <c r="D76" s="412"/>
      <c r="E76" s="412"/>
      <c r="F76" s="412"/>
      <c r="G76" s="412"/>
      <c r="H76" s="412"/>
      <c r="I76" s="414"/>
    </row>
    <row r="77" spans="1:9">
      <c r="A77" s="412"/>
      <c r="B77" s="413"/>
      <c r="C77" s="412"/>
      <c r="D77" s="412"/>
      <c r="E77" s="412"/>
      <c r="F77" s="412"/>
      <c r="G77" s="412"/>
      <c r="H77" s="412"/>
      <c r="I77" s="414"/>
    </row>
    <row r="78" spans="1:9">
      <c r="A78" s="412"/>
      <c r="B78" s="413"/>
      <c r="C78" s="412"/>
      <c r="D78" s="412"/>
      <c r="E78" s="412"/>
      <c r="F78" s="412"/>
      <c r="G78" s="412"/>
      <c r="H78" s="412"/>
      <c r="I78" s="414"/>
    </row>
    <row r="79" spans="1:9">
      <c r="A79" s="412"/>
      <c r="B79" s="413"/>
      <c r="C79" s="412"/>
      <c r="D79" s="412"/>
      <c r="E79" s="412"/>
      <c r="F79" s="412"/>
      <c r="G79" s="412"/>
      <c r="H79" s="412"/>
      <c r="I79" s="414"/>
    </row>
    <row r="80" spans="1:9">
      <c r="A80" s="412"/>
      <c r="B80" s="413"/>
      <c r="C80" s="412"/>
      <c r="D80" s="412"/>
      <c r="E80" s="412"/>
      <c r="F80" s="412"/>
      <c r="G80" s="412"/>
      <c r="H80" s="412"/>
      <c r="I80" s="414"/>
    </row>
    <row r="81" spans="1:9">
      <c r="A81" s="412"/>
      <c r="B81" s="413"/>
      <c r="C81" s="412"/>
      <c r="D81" s="412"/>
      <c r="E81" s="412"/>
      <c r="F81" s="412"/>
      <c r="G81" s="412"/>
      <c r="H81" s="412"/>
      <c r="I81" s="414"/>
    </row>
    <row r="82" spans="1:9">
      <c r="A82" s="412"/>
      <c r="B82" s="413"/>
      <c r="C82" s="412"/>
      <c r="D82" s="412"/>
      <c r="E82" s="412"/>
      <c r="F82" s="412"/>
      <c r="G82" s="412"/>
      <c r="H82" s="412"/>
      <c r="I82" s="414"/>
    </row>
    <row r="83" spans="1:9">
      <c r="A83" s="412"/>
      <c r="B83" s="413"/>
      <c r="C83" s="412"/>
      <c r="D83" s="412"/>
      <c r="E83" s="412"/>
      <c r="F83" s="412"/>
      <c r="G83" s="412"/>
      <c r="H83" s="412"/>
      <c r="I83" s="414"/>
    </row>
    <row r="84" spans="1:9">
      <c r="A84" s="412"/>
      <c r="B84" s="413"/>
      <c r="C84" s="412"/>
      <c r="D84" s="412"/>
      <c r="E84" s="412"/>
      <c r="F84" s="412"/>
      <c r="G84" s="412"/>
      <c r="H84" s="412"/>
      <c r="I84" s="414"/>
    </row>
    <row r="85" spans="1:9">
      <c r="A85" s="412"/>
      <c r="B85" s="413"/>
      <c r="C85" s="412"/>
      <c r="D85" s="412"/>
      <c r="E85" s="412"/>
      <c r="F85" s="412"/>
      <c r="G85" s="412"/>
      <c r="H85" s="412"/>
      <c r="I85" s="414"/>
    </row>
    <row r="86" spans="1:9">
      <c r="A86" s="412"/>
      <c r="B86" s="413"/>
      <c r="C86" s="412"/>
      <c r="D86" s="412"/>
      <c r="E86" s="412"/>
      <c r="F86" s="412"/>
      <c r="G86" s="412"/>
      <c r="H86" s="412"/>
      <c r="I86" s="414"/>
    </row>
    <row r="87" spans="1:9">
      <c r="A87" s="412"/>
      <c r="B87" s="413"/>
      <c r="C87" s="412"/>
      <c r="D87" s="412"/>
      <c r="E87" s="412"/>
      <c r="F87" s="412"/>
      <c r="G87" s="412"/>
      <c r="H87" s="412"/>
      <c r="I87" s="414"/>
    </row>
    <row r="88" spans="1:9">
      <c r="A88" s="412"/>
      <c r="B88" s="413"/>
      <c r="C88" s="412"/>
      <c r="D88" s="412"/>
      <c r="E88" s="412"/>
      <c r="F88" s="412"/>
      <c r="G88" s="412"/>
      <c r="H88" s="412"/>
      <c r="I88" s="414"/>
    </row>
    <row r="89" spans="1:9">
      <c r="A89" s="412"/>
      <c r="B89" s="413"/>
      <c r="C89" s="412"/>
      <c r="D89" s="412"/>
      <c r="E89" s="412"/>
      <c r="F89" s="412"/>
      <c r="G89" s="412"/>
      <c r="H89" s="412"/>
      <c r="I89" s="414"/>
    </row>
    <row r="90" spans="1:9">
      <c r="A90" s="412"/>
      <c r="B90" s="413"/>
      <c r="C90" s="412"/>
      <c r="D90" s="412"/>
      <c r="E90" s="412"/>
      <c r="F90" s="412"/>
      <c r="G90" s="412"/>
      <c r="H90" s="412"/>
      <c r="I90" s="414"/>
    </row>
    <row r="91" spans="1:9">
      <c r="A91" s="412"/>
      <c r="B91" s="413"/>
      <c r="C91" s="412"/>
      <c r="D91" s="412"/>
      <c r="E91" s="412"/>
      <c r="F91" s="412"/>
      <c r="G91" s="412"/>
      <c r="H91" s="412"/>
      <c r="I91" s="414"/>
    </row>
    <row r="92" spans="1:9">
      <c r="A92" s="412"/>
      <c r="B92" s="413"/>
      <c r="C92" s="412"/>
      <c r="D92" s="412"/>
      <c r="E92" s="412"/>
      <c r="F92" s="412"/>
      <c r="G92" s="412"/>
      <c r="H92" s="412"/>
      <c r="I92" s="414"/>
    </row>
    <row r="93" spans="1:9">
      <c r="A93" s="412"/>
      <c r="B93" s="413"/>
      <c r="C93" s="412"/>
      <c r="D93" s="412"/>
      <c r="E93" s="412"/>
      <c r="F93" s="412"/>
      <c r="G93" s="412"/>
      <c r="H93" s="412"/>
      <c r="I93" s="414"/>
    </row>
    <row r="94" spans="1:9">
      <c r="A94" s="412"/>
      <c r="B94" s="413"/>
      <c r="C94" s="412"/>
      <c r="D94" s="412"/>
      <c r="E94" s="412"/>
      <c r="F94" s="412"/>
      <c r="G94" s="412"/>
      <c r="H94" s="412"/>
      <c r="I94" s="414"/>
    </row>
    <row r="95" spans="1:9">
      <c r="A95" s="412"/>
      <c r="B95" s="413"/>
      <c r="C95" s="412"/>
      <c r="D95" s="412"/>
      <c r="E95" s="412"/>
      <c r="F95" s="412"/>
      <c r="G95" s="412"/>
      <c r="H95" s="412"/>
      <c r="I95" s="414"/>
    </row>
    <row r="96" spans="1:9">
      <c r="A96" s="412"/>
      <c r="B96" s="413"/>
      <c r="C96" s="412"/>
      <c r="D96" s="412"/>
      <c r="E96" s="412"/>
      <c r="F96" s="412"/>
      <c r="G96" s="412"/>
      <c r="H96" s="412"/>
      <c r="I96" s="414"/>
    </row>
    <row r="97" spans="1:9">
      <c r="A97" s="412"/>
      <c r="B97" s="413"/>
      <c r="C97" s="412"/>
      <c r="D97" s="412"/>
      <c r="E97" s="412"/>
      <c r="F97" s="412"/>
      <c r="G97" s="412"/>
      <c r="H97" s="412"/>
      <c r="I97" s="414"/>
    </row>
    <row r="98" spans="1:9">
      <c r="A98" s="412"/>
      <c r="B98" s="413"/>
      <c r="C98" s="412"/>
      <c r="D98" s="412"/>
      <c r="E98" s="412"/>
      <c r="F98" s="412"/>
      <c r="G98" s="412"/>
      <c r="H98" s="412"/>
      <c r="I98" s="414"/>
    </row>
    <row r="99" spans="1:9">
      <c r="A99" s="412"/>
      <c r="B99" s="413"/>
      <c r="C99" s="412"/>
      <c r="D99" s="412"/>
      <c r="E99" s="412"/>
      <c r="F99" s="412"/>
      <c r="G99" s="412"/>
      <c r="H99" s="412"/>
      <c r="I99" s="414"/>
    </row>
    <row r="100" spans="1:9">
      <c r="A100" s="412"/>
      <c r="B100" s="413"/>
      <c r="C100" s="412"/>
      <c r="D100" s="412"/>
      <c r="E100" s="412"/>
      <c r="F100" s="412"/>
      <c r="G100" s="412"/>
      <c r="H100" s="412"/>
      <c r="I100" s="414"/>
    </row>
    <row r="101" spans="1:9">
      <c r="A101" s="412"/>
      <c r="B101" s="413"/>
      <c r="C101" s="412"/>
      <c r="D101" s="412"/>
      <c r="E101" s="412"/>
      <c r="F101" s="412"/>
      <c r="G101" s="412"/>
      <c r="H101" s="412"/>
      <c r="I101" s="414"/>
    </row>
    <row r="102" spans="1:9">
      <c r="A102" s="412"/>
      <c r="B102" s="413"/>
      <c r="C102" s="412"/>
      <c r="D102" s="412"/>
      <c r="E102" s="412"/>
      <c r="F102" s="412"/>
      <c r="G102" s="412"/>
      <c r="H102" s="412"/>
      <c r="I102" s="414"/>
    </row>
    <row r="103" spans="1:9">
      <c r="A103" s="412"/>
      <c r="B103" s="413"/>
      <c r="C103" s="412"/>
      <c r="D103" s="412"/>
      <c r="E103" s="412"/>
      <c r="F103" s="412"/>
      <c r="G103" s="412"/>
      <c r="H103" s="412"/>
      <c r="I103" s="414"/>
    </row>
    <row r="104" spans="1:9">
      <c r="A104" s="412"/>
      <c r="B104" s="413"/>
      <c r="C104" s="412"/>
      <c r="D104" s="412"/>
      <c r="E104" s="412"/>
      <c r="F104" s="412"/>
      <c r="G104" s="412"/>
      <c r="H104" s="412"/>
      <c r="I104" s="414"/>
    </row>
    <row r="105" spans="1:9">
      <c r="A105" s="412"/>
      <c r="B105" s="413"/>
      <c r="C105" s="412"/>
      <c r="D105" s="412"/>
      <c r="E105" s="412"/>
      <c r="F105" s="412"/>
      <c r="G105" s="412"/>
      <c r="H105" s="412"/>
      <c r="I105" s="414"/>
    </row>
    <row r="106" spans="1:9">
      <c r="A106" s="412"/>
      <c r="B106" s="413"/>
      <c r="C106" s="412"/>
      <c r="D106" s="412"/>
      <c r="E106" s="412"/>
      <c r="F106" s="412"/>
      <c r="G106" s="412"/>
      <c r="H106" s="412"/>
      <c r="I106" s="414"/>
    </row>
    <row r="107" spans="1:9">
      <c r="A107" s="412"/>
      <c r="B107" s="413"/>
      <c r="C107" s="412"/>
      <c r="D107" s="412"/>
      <c r="E107" s="412"/>
      <c r="F107" s="412"/>
      <c r="G107" s="412"/>
      <c r="H107" s="412"/>
      <c r="I107" s="414"/>
    </row>
    <row r="108" spans="1:9">
      <c r="A108" s="412"/>
      <c r="B108" s="413"/>
      <c r="C108" s="412"/>
      <c r="D108" s="412"/>
      <c r="E108" s="412"/>
      <c r="F108" s="412"/>
      <c r="G108" s="412"/>
      <c r="H108" s="412"/>
      <c r="I108" s="414"/>
    </row>
    <row r="109" spans="1:9">
      <c r="A109" s="412"/>
      <c r="B109" s="413"/>
      <c r="C109" s="412"/>
      <c r="D109" s="412"/>
      <c r="E109" s="412"/>
      <c r="F109" s="412"/>
      <c r="G109" s="412"/>
      <c r="H109" s="412"/>
      <c r="I109" s="414"/>
    </row>
    <row r="110" spans="1:9">
      <c r="A110" s="412"/>
      <c r="B110" s="413"/>
      <c r="C110" s="412"/>
      <c r="D110" s="412"/>
      <c r="E110" s="412"/>
      <c r="F110" s="412"/>
      <c r="G110" s="412"/>
      <c r="H110" s="412"/>
      <c r="I110" s="414"/>
    </row>
    <row r="111" spans="1:9">
      <c r="A111" s="412"/>
      <c r="B111" s="413"/>
      <c r="C111" s="412"/>
      <c r="D111" s="412"/>
      <c r="E111" s="412"/>
      <c r="F111" s="412"/>
      <c r="G111" s="412"/>
      <c r="H111" s="412"/>
      <c r="I111" s="414"/>
    </row>
    <row r="112" spans="1:9">
      <c r="A112" s="412"/>
      <c r="B112" s="413"/>
      <c r="C112" s="412"/>
      <c r="D112" s="412"/>
      <c r="E112" s="412"/>
      <c r="F112" s="412"/>
      <c r="G112" s="412"/>
      <c r="H112" s="412"/>
      <c r="I112" s="414"/>
    </row>
    <row r="113" spans="1:9">
      <c r="A113" s="412"/>
      <c r="B113" s="413"/>
      <c r="C113" s="412"/>
      <c r="D113" s="412"/>
      <c r="E113" s="412"/>
      <c r="F113" s="412"/>
      <c r="G113" s="412"/>
      <c r="H113" s="412"/>
      <c r="I113" s="414"/>
    </row>
    <row r="114" spans="1:9">
      <c r="A114" s="412"/>
      <c r="B114" s="413"/>
      <c r="C114" s="412"/>
      <c r="D114" s="412"/>
      <c r="E114" s="412"/>
      <c r="F114" s="412"/>
      <c r="G114" s="412"/>
      <c r="H114" s="412"/>
      <c r="I114" s="414"/>
    </row>
    <row r="115" spans="1:9">
      <c r="A115" s="412"/>
      <c r="B115" s="413"/>
      <c r="C115" s="412"/>
      <c r="D115" s="412"/>
      <c r="E115" s="412"/>
      <c r="F115" s="412"/>
      <c r="G115" s="412"/>
      <c r="H115" s="412"/>
      <c r="I115" s="414"/>
    </row>
    <row r="116" spans="1:9">
      <c r="A116" s="412"/>
      <c r="B116" s="413"/>
      <c r="C116" s="412"/>
      <c r="D116" s="412"/>
      <c r="E116" s="412"/>
      <c r="F116" s="412"/>
      <c r="G116" s="412"/>
      <c r="H116" s="412"/>
      <c r="I116" s="414"/>
    </row>
    <row r="117" spans="1:9">
      <c r="A117" s="412"/>
      <c r="B117" s="413"/>
      <c r="C117" s="412"/>
      <c r="D117" s="412"/>
      <c r="E117" s="412"/>
      <c r="F117" s="412"/>
      <c r="G117" s="412"/>
      <c r="H117" s="412"/>
      <c r="I117" s="414"/>
    </row>
    <row r="118" spans="1:9">
      <c r="A118" s="412"/>
      <c r="B118" s="413"/>
      <c r="C118" s="412"/>
      <c r="D118" s="412"/>
      <c r="E118" s="412"/>
      <c r="F118" s="412"/>
      <c r="G118" s="412"/>
      <c r="H118" s="412"/>
      <c r="I118" s="414"/>
    </row>
    <row r="119" spans="1:9">
      <c r="A119" s="412"/>
      <c r="B119" s="413"/>
      <c r="C119" s="412"/>
      <c r="D119" s="412"/>
      <c r="E119" s="412"/>
      <c r="F119" s="412"/>
      <c r="G119" s="412"/>
      <c r="H119" s="412"/>
      <c r="I119" s="414"/>
    </row>
    <row r="120" spans="1:9">
      <c r="A120" s="412"/>
      <c r="B120" s="413"/>
      <c r="C120" s="412"/>
      <c r="D120" s="412"/>
      <c r="E120" s="412"/>
      <c r="F120" s="412"/>
      <c r="G120" s="412"/>
      <c r="H120" s="412"/>
      <c r="I120" s="414"/>
    </row>
    <row r="121" spans="1:9">
      <c r="A121" s="412"/>
      <c r="B121" s="413"/>
      <c r="C121" s="412"/>
      <c r="D121" s="412"/>
      <c r="E121" s="412"/>
      <c r="F121" s="412"/>
      <c r="G121" s="412"/>
      <c r="H121" s="412"/>
      <c r="I121" s="414"/>
    </row>
    <row r="122" spans="1:9">
      <c r="A122" s="412"/>
      <c r="B122" s="413"/>
      <c r="C122" s="412"/>
      <c r="D122" s="412"/>
      <c r="E122" s="412"/>
      <c r="F122" s="412"/>
      <c r="G122" s="412"/>
      <c r="H122" s="412"/>
      <c r="I122" s="414"/>
    </row>
    <row r="123" spans="1:9">
      <c r="A123" s="412"/>
      <c r="B123" s="413"/>
      <c r="C123" s="412"/>
      <c r="D123" s="412"/>
      <c r="E123" s="412"/>
      <c r="F123" s="412"/>
      <c r="G123" s="412"/>
      <c r="H123" s="412"/>
      <c r="I123" s="414"/>
    </row>
    <row r="124" spans="1:9">
      <c r="A124" s="412"/>
      <c r="B124" s="413"/>
      <c r="C124" s="412"/>
      <c r="D124" s="412"/>
      <c r="E124" s="412"/>
      <c r="F124" s="412"/>
      <c r="G124" s="412"/>
      <c r="H124" s="412"/>
      <c r="I124" s="414"/>
    </row>
    <row r="125" spans="1:9">
      <c r="A125" s="412"/>
      <c r="B125" s="413"/>
      <c r="C125" s="412"/>
      <c r="D125" s="412"/>
      <c r="E125" s="412"/>
      <c r="F125" s="412"/>
      <c r="G125" s="412"/>
      <c r="H125" s="412"/>
      <c r="I125" s="414"/>
    </row>
    <row r="126" spans="1:9">
      <c r="A126" s="412"/>
      <c r="B126" s="413"/>
      <c r="C126" s="412"/>
      <c r="D126" s="412"/>
      <c r="E126" s="412"/>
      <c r="F126" s="412"/>
      <c r="G126" s="412"/>
      <c r="H126" s="412"/>
      <c r="I126" s="414"/>
    </row>
    <row r="127" spans="1:9">
      <c r="A127" s="412"/>
      <c r="B127" s="413"/>
      <c r="C127" s="412"/>
      <c r="D127" s="412"/>
      <c r="E127" s="412"/>
      <c r="F127" s="412"/>
      <c r="G127" s="412"/>
      <c r="H127" s="412"/>
      <c r="I127" s="414"/>
    </row>
    <row r="128" spans="1:9">
      <c r="A128" s="412"/>
      <c r="B128" s="413"/>
      <c r="C128" s="412"/>
      <c r="D128" s="412"/>
      <c r="E128" s="412"/>
      <c r="F128" s="412"/>
      <c r="G128" s="412"/>
      <c r="H128" s="412"/>
      <c r="I128" s="414"/>
    </row>
    <row r="129" spans="1:9">
      <c r="A129" s="412"/>
      <c r="B129" s="413"/>
      <c r="C129" s="412"/>
      <c r="D129" s="412"/>
      <c r="E129" s="412"/>
      <c r="F129" s="412"/>
      <c r="G129" s="412"/>
      <c r="H129" s="412"/>
      <c r="I129" s="414"/>
    </row>
    <row r="130" spans="1:9">
      <c r="A130" s="412"/>
      <c r="B130" s="413"/>
      <c r="C130" s="412"/>
      <c r="D130" s="412"/>
      <c r="E130" s="412"/>
      <c r="F130" s="412"/>
      <c r="G130" s="412"/>
      <c r="H130" s="412"/>
      <c r="I130" s="414"/>
    </row>
    <row r="131" spans="1:9">
      <c r="A131" s="412"/>
      <c r="B131" s="413"/>
      <c r="C131" s="412"/>
      <c r="D131" s="412"/>
      <c r="E131" s="412"/>
      <c r="F131" s="412"/>
      <c r="G131" s="412"/>
      <c r="H131" s="412"/>
      <c r="I131" s="414"/>
    </row>
    <row r="132" spans="1:9">
      <c r="A132" s="412"/>
      <c r="B132" s="413"/>
      <c r="C132" s="412"/>
      <c r="D132" s="412"/>
      <c r="E132" s="412"/>
      <c r="F132" s="412"/>
      <c r="G132" s="412"/>
      <c r="H132" s="412"/>
      <c r="I132" s="414"/>
    </row>
    <row r="133" spans="1:9">
      <c r="A133" s="412"/>
      <c r="B133" s="413"/>
      <c r="C133" s="412"/>
      <c r="D133" s="412"/>
      <c r="E133" s="412"/>
      <c r="F133" s="412"/>
      <c r="G133" s="412"/>
      <c r="H133" s="412"/>
      <c r="I133" s="414"/>
    </row>
    <row r="134" spans="1:9">
      <c r="A134" s="412"/>
      <c r="B134" s="413"/>
      <c r="C134" s="412"/>
      <c r="D134" s="412"/>
      <c r="E134" s="412"/>
      <c r="F134" s="412"/>
      <c r="G134" s="412"/>
      <c r="H134" s="412"/>
      <c r="I134" s="414"/>
    </row>
    <row r="135" spans="1:9">
      <c r="A135" s="412"/>
      <c r="B135" s="413"/>
      <c r="C135" s="412"/>
      <c r="D135" s="412"/>
      <c r="E135" s="412"/>
      <c r="F135" s="412"/>
      <c r="G135" s="412"/>
      <c r="H135" s="412"/>
      <c r="I135" s="414"/>
    </row>
    <row r="136" spans="1:9">
      <c r="A136" s="412"/>
      <c r="B136" s="413"/>
      <c r="C136" s="412"/>
      <c r="D136" s="412"/>
      <c r="E136" s="412"/>
      <c r="F136" s="412"/>
      <c r="G136" s="412"/>
      <c r="H136" s="412"/>
      <c r="I136" s="414"/>
    </row>
    <row r="137" spans="1:9">
      <c r="A137" s="412"/>
      <c r="B137" s="413"/>
      <c r="C137" s="412"/>
      <c r="D137" s="412"/>
      <c r="E137" s="412"/>
      <c r="F137" s="412"/>
      <c r="G137" s="412"/>
      <c r="H137" s="412"/>
      <c r="I137" s="414"/>
    </row>
    <row r="138" spans="1:9">
      <c r="A138" s="412"/>
      <c r="B138" s="413"/>
      <c r="C138" s="412"/>
      <c r="D138" s="412"/>
      <c r="E138" s="412"/>
      <c r="F138" s="412"/>
      <c r="G138" s="412"/>
      <c r="H138" s="412"/>
      <c r="I138" s="414"/>
    </row>
    <row r="139" spans="1:9">
      <c r="A139" s="412"/>
      <c r="B139" s="413"/>
      <c r="C139" s="412"/>
      <c r="D139" s="412"/>
      <c r="E139" s="412"/>
      <c r="F139" s="412"/>
      <c r="G139" s="412"/>
      <c r="H139" s="412"/>
      <c r="I139" s="414"/>
    </row>
    <row r="140" spans="1:9">
      <c r="A140" s="412"/>
      <c r="B140" s="413"/>
      <c r="C140" s="412"/>
      <c r="D140" s="412"/>
      <c r="E140" s="412"/>
      <c r="F140" s="412"/>
      <c r="G140" s="412"/>
      <c r="H140" s="412"/>
      <c r="I140" s="414"/>
    </row>
    <row r="141" spans="1:9">
      <c r="A141" s="412"/>
      <c r="B141" s="413"/>
      <c r="C141" s="412"/>
      <c r="D141" s="412"/>
      <c r="E141" s="412"/>
      <c r="F141" s="412"/>
      <c r="G141" s="412"/>
      <c r="H141" s="412"/>
      <c r="I141" s="414"/>
    </row>
    <row r="142" spans="1:9">
      <c r="A142" s="412"/>
      <c r="B142" s="413"/>
      <c r="C142" s="412"/>
      <c r="D142" s="412"/>
      <c r="E142" s="412"/>
      <c r="F142" s="412"/>
      <c r="G142" s="412"/>
      <c r="H142" s="412"/>
      <c r="I142" s="414"/>
    </row>
    <row r="143" spans="1:9">
      <c r="A143" s="412"/>
      <c r="B143" s="413"/>
      <c r="C143" s="412"/>
      <c r="D143" s="412"/>
      <c r="E143" s="412"/>
      <c r="F143" s="412"/>
      <c r="G143" s="412"/>
      <c r="H143" s="412"/>
      <c r="I143" s="414"/>
    </row>
    <row r="144" spans="1:9">
      <c r="A144" s="412"/>
      <c r="B144" s="413"/>
      <c r="C144" s="412"/>
      <c r="D144" s="412"/>
      <c r="E144" s="412"/>
      <c r="F144" s="412"/>
      <c r="G144" s="412"/>
      <c r="H144" s="412"/>
      <c r="I144" s="414"/>
    </row>
    <row r="145" spans="1:9">
      <c r="A145" s="412"/>
      <c r="B145" s="413"/>
      <c r="C145" s="412"/>
      <c r="D145" s="412"/>
      <c r="E145" s="412"/>
      <c r="F145" s="412"/>
      <c r="G145" s="412"/>
      <c r="H145" s="412"/>
      <c r="I145" s="414"/>
    </row>
    <row r="146" spans="1:9">
      <c r="A146" s="412"/>
      <c r="B146" s="413"/>
      <c r="C146" s="412"/>
      <c r="D146" s="412"/>
      <c r="E146" s="412"/>
      <c r="F146" s="412"/>
      <c r="G146" s="412"/>
      <c r="H146" s="412"/>
      <c r="I146" s="414"/>
    </row>
    <row r="147" spans="1:9">
      <c r="A147" s="412"/>
      <c r="B147" s="413"/>
      <c r="C147" s="412"/>
      <c r="D147" s="412"/>
      <c r="E147" s="412"/>
      <c r="F147" s="412"/>
      <c r="G147" s="412"/>
      <c r="H147" s="412"/>
      <c r="I147" s="414"/>
    </row>
    <row r="148" spans="1:9">
      <c r="A148" s="412"/>
      <c r="B148" s="413"/>
      <c r="C148" s="412"/>
      <c r="D148" s="412"/>
      <c r="E148" s="412"/>
      <c r="F148" s="412"/>
      <c r="G148" s="412"/>
      <c r="H148" s="412"/>
      <c r="I148" s="414"/>
    </row>
    <row r="149" spans="1:9">
      <c r="A149" s="412"/>
      <c r="B149" s="413"/>
      <c r="C149" s="412"/>
      <c r="D149" s="412"/>
      <c r="E149" s="412"/>
      <c r="F149" s="412"/>
      <c r="G149" s="412"/>
      <c r="H149" s="412"/>
      <c r="I149" s="414"/>
    </row>
    <row r="150" spans="1:9">
      <c r="A150" s="412"/>
      <c r="B150" s="413"/>
      <c r="C150" s="412"/>
      <c r="D150" s="412"/>
      <c r="E150" s="412"/>
      <c r="F150" s="412"/>
      <c r="G150" s="412"/>
      <c r="H150" s="412"/>
      <c r="I150" s="414"/>
    </row>
    <row r="151" spans="1:9">
      <c r="A151" s="412"/>
      <c r="B151" s="413"/>
      <c r="C151" s="412"/>
      <c r="D151" s="412"/>
      <c r="E151" s="412"/>
      <c r="F151" s="412"/>
      <c r="G151" s="412"/>
      <c r="H151" s="412"/>
      <c r="I151" s="414"/>
    </row>
    <row r="152" spans="1:9">
      <c r="A152" s="412"/>
      <c r="B152" s="413"/>
      <c r="C152" s="412"/>
      <c r="D152" s="412"/>
      <c r="E152" s="412"/>
      <c r="F152" s="412"/>
      <c r="G152" s="412"/>
      <c r="H152" s="412"/>
      <c r="I152" s="414"/>
    </row>
    <row r="153" spans="1:9">
      <c r="A153" s="412"/>
      <c r="B153" s="413"/>
      <c r="C153" s="412"/>
      <c r="D153" s="412"/>
      <c r="E153" s="412"/>
      <c r="F153" s="412"/>
      <c r="G153" s="412"/>
      <c r="H153" s="412"/>
      <c r="I153" s="414"/>
    </row>
    <row r="154" spans="1:9">
      <c r="A154" s="412"/>
      <c r="B154" s="413"/>
      <c r="C154" s="412"/>
      <c r="D154" s="412"/>
      <c r="E154" s="412"/>
      <c r="F154" s="412"/>
      <c r="G154" s="412"/>
      <c r="H154" s="412"/>
      <c r="I154" s="414"/>
    </row>
    <row r="155" spans="1:9">
      <c r="A155" s="412"/>
      <c r="B155" s="413"/>
      <c r="C155" s="412"/>
      <c r="D155" s="412"/>
      <c r="E155" s="412"/>
      <c r="F155" s="412"/>
      <c r="G155" s="412"/>
      <c r="H155" s="412"/>
      <c r="I155" s="414"/>
    </row>
    <row r="156" spans="1:9">
      <c r="A156" s="412"/>
      <c r="B156" s="413"/>
      <c r="C156" s="412"/>
      <c r="D156" s="412"/>
      <c r="E156" s="412"/>
      <c r="F156" s="412"/>
      <c r="G156" s="412"/>
      <c r="H156" s="412"/>
      <c r="I156" s="414"/>
    </row>
    <row r="157" spans="1:9">
      <c r="A157" s="412"/>
      <c r="B157" s="413"/>
      <c r="C157" s="412"/>
      <c r="D157" s="412"/>
      <c r="E157" s="412"/>
      <c r="F157" s="412"/>
      <c r="G157" s="412"/>
      <c r="H157" s="412"/>
      <c r="I157" s="414"/>
    </row>
    <row r="158" spans="1:9">
      <c r="A158" s="412"/>
      <c r="B158" s="413"/>
      <c r="C158" s="412"/>
      <c r="D158" s="412"/>
      <c r="E158" s="412"/>
      <c r="F158" s="412"/>
      <c r="G158" s="412"/>
      <c r="H158" s="412"/>
      <c r="I158" s="414"/>
    </row>
    <row r="159" spans="1:9">
      <c r="A159" s="412"/>
      <c r="B159" s="413"/>
      <c r="C159" s="412"/>
      <c r="D159" s="412"/>
      <c r="E159" s="412"/>
      <c r="F159" s="412"/>
      <c r="G159" s="412"/>
      <c r="H159" s="412"/>
      <c r="I159" s="414"/>
    </row>
    <row r="160" spans="1:9">
      <c r="A160" s="412"/>
      <c r="B160" s="413"/>
      <c r="C160" s="412"/>
      <c r="D160" s="412"/>
      <c r="E160" s="412"/>
      <c r="F160" s="412"/>
      <c r="G160" s="412"/>
      <c r="H160" s="412"/>
      <c r="I160" s="414"/>
    </row>
    <row r="161" spans="1:9">
      <c r="A161" s="412"/>
      <c r="B161" s="413"/>
      <c r="C161" s="412"/>
      <c r="D161" s="412"/>
      <c r="E161" s="412"/>
      <c r="F161" s="412"/>
      <c r="G161" s="412"/>
      <c r="H161" s="412"/>
      <c r="I161" s="414"/>
    </row>
    <row r="162" spans="1:9">
      <c r="A162" s="412"/>
      <c r="B162" s="413"/>
      <c r="C162" s="412"/>
      <c r="D162" s="412"/>
      <c r="E162" s="412"/>
      <c r="F162" s="412"/>
      <c r="G162" s="412"/>
      <c r="H162" s="412"/>
      <c r="I162" s="414"/>
    </row>
    <row r="163" spans="1:9">
      <c r="A163" s="412"/>
      <c r="B163" s="413"/>
      <c r="C163" s="412"/>
      <c r="D163" s="412"/>
      <c r="E163" s="412"/>
      <c r="F163" s="412"/>
      <c r="G163" s="412"/>
      <c r="H163" s="412"/>
      <c r="I163" s="414"/>
    </row>
    <row r="164" spans="1:9">
      <c r="A164" s="412"/>
      <c r="B164" s="413"/>
      <c r="C164" s="412"/>
      <c r="D164" s="412"/>
      <c r="E164" s="412"/>
      <c r="F164" s="412"/>
      <c r="G164" s="412"/>
      <c r="H164" s="412"/>
      <c r="I164" s="414"/>
    </row>
    <row r="165" spans="1:9">
      <c r="A165" s="412"/>
      <c r="B165" s="413"/>
      <c r="C165" s="412"/>
      <c r="D165" s="412"/>
      <c r="E165" s="412"/>
      <c r="F165" s="412"/>
      <c r="G165" s="412"/>
      <c r="H165" s="412"/>
      <c r="I165" s="414"/>
    </row>
    <row r="166" spans="1:9">
      <c r="A166" s="412"/>
      <c r="B166" s="413"/>
      <c r="C166" s="412"/>
      <c r="D166" s="412"/>
      <c r="E166" s="412"/>
      <c r="F166" s="412"/>
      <c r="G166" s="412"/>
      <c r="H166" s="412"/>
      <c r="I166" s="414"/>
    </row>
    <row r="167" spans="1:9">
      <c r="A167" s="412"/>
      <c r="B167" s="413"/>
      <c r="C167" s="412"/>
      <c r="D167" s="412"/>
      <c r="E167" s="412"/>
      <c r="F167" s="412"/>
      <c r="G167" s="412"/>
      <c r="H167" s="412"/>
      <c r="I167" s="414"/>
    </row>
    <row r="168" spans="1:9">
      <c r="A168" s="412"/>
      <c r="B168" s="413"/>
      <c r="C168" s="412"/>
      <c r="D168" s="412"/>
      <c r="E168" s="412"/>
      <c r="F168" s="412"/>
      <c r="G168" s="412"/>
      <c r="H168" s="412"/>
      <c r="I168" s="414"/>
    </row>
    <row r="169" spans="1:9">
      <c r="A169" s="412"/>
      <c r="B169" s="413"/>
      <c r="C169" s="412"/>
      <c r="D169" s="412"/>
      <c r="E169" s="412"/>
      <c r="F169" s="412"/>
      <c r="G169" s="412"/>
      <c r="H169" s="412"/>
      <c r="I169" s="414"/>
    </row>
    <row r="170" spans="1:9">
      <c r="A170" s="412"/>
      <c r="B170" s="413"/>
      <c r="C170" s="412"/>
      <c r="D170" s="412"/>
      <c r="E170" s="412"/>
      <c r="F170" s="412"/>
      <c r="G170" s="412"/>
      <c r="H170" s="412"/>
      <c r="I170" s="414"/>
    </row>
    <row r="171" spans="1:9">
      <c r="A171" s="412"/>
      <c r="B171" s="413"/>
      <c r="C171" s="412"/>
      <c r="D171" s="412"/>
      <c r="E171" s="412"/>
      <c r="F171" s="412"/>
      <c r="G171" s="412"/>
      <c r="H171" s="412"/>
      <c r="I171" s="414"/>
    </row>
    <row r="172" spans="1:9">
      <c r="A172" s="412"/>
      <c r="B172" s="413"/>
      <c r="C172" s="412"/>
      <c r="D172" s="412"/>
      <c r="E172" s="412"/>
      <c r="F172" s="412"/>
      <c r="G172" s="412"/>
      <c r="H172" s="412"/>
      <c r="I172" s="414"/>
    </row>
    <row r="173" spans="1:9">
      <c r="A173" s="412"/>
      <c r="B173" s="413"/>
      <c r="C173" s="412"/>
      <c r="D173" s="412"/>
      <c r="E173" s="412"/>
      <c r="F173" s="412"/>
      <c r="G173" s="412"/>
      <c r="H173" s="412"/>
      <c r="I173" s="414"/>
    </row>
    <row r="174" spans="1:9">
      <c r="A174" s="412"/>
      <c r="B174" s="413"/>
      <c r="C174" s="412"/>
      <c r="D174" s="412"/>
      <c r="E174" s="412"/>
      <c r="F174" s="412"/>
      <c r="G174" s="412"/>
      <c r="H174" s="412"/>
      <c r="I174" s="414"/>
    </row>
    <row r="175" spans="1:9">
      <c r="A175" s="412"/>
      <c r="B175" s="413"/>
      <c r="C175" s="412"/>
      <c r="D175" s="412"/>
      <c r="E175" s="412"/>
      <c r="F175" s="412"/>
      <c r="G175" s="412"/>
      <c r="H175" s="412"/>
      <c r="I175" s="414"/>
    </row>
    <row r="176" spans="1:9">
      <c r="A176" s="412"/>
      <c r="B176" s="413"/>
      <c r="C176" s="412"/>
      <c r="D176" s="412"/>
      <c r="E176" s="412"/>
      <c r="F176" s="412"/>
      <c r="G176" s="412"/>
      <c r="H176" s="412"/>
      <c r="I176" s="414"/>
    </row>
    <row r="177" spans="1:9">
      <c r="A177" s="412"/>
      <c r="B177" s="413"/>
      <c r="C177" s="412"/>
      <c r="D177" s="412"/>
      <c r="E177" s="412"/>
      <c r="F177" s="412"/>
      <c r="G177" s="412"/>
      <c r="H177" s="412"/>
      <c r="I177" s="414"/>
    </row>
    <row r="178" spans="1:9">
      <c r="A178" s="412"/>
      <c r="B178" s="413"/>
      <c r="C178" s="412"/>
      <c r="D178" s="412"/>
      <c r="E178" s="412"/>
      <c r="F178" s="412"/>
      <c r="G178" s="412"/>
      <c r="H178" s="412"/>
      <c r="I178" s="414"/>
    </row>
    <row r="179" spans="1:9">
      <c r="A179" s="412"/>
      <c r="B179" s="413"/>
      <c r="C179" s="412"/>
      <c r="D179" s="412"/>
      <c r="E179" s="412"/>
      <c r="F179" s="412"/>
      <c r="G179" s="412"/>
      <c r="H179" s="412"/>
      <c r="I179" s="414"/>
    </row>
    <row r="180" spans="1:9">
      <c r="A180" s="412"/>
      <c r="B180" s="413"/>
      <c r="C180" s="412"/>
      <c r="D180" s="412"/>
      <c r="E180" s="412"/>
      <c r="F180" s="412"/>
      <c r="G180" s="412"/>
      <c r="H180" s="412"/>
      <c r="I180" s="414"/>
    </row>
    <row r="181" spans="1:9">
      <c r="A181" s="412"/>
      <c r="B181" s="413"/>
      <c r="C181" s="412"/>
      <c r="D181" s="412"/>
      <c r="E181" s="412"/>
      <c r="F181" s="412"/>
      <c r="G181" s="412"/>
      <c r="H181" s="412"/>
      <c r="I181" s="414"/>
    </row>
    <row r="182" spans="1:9">
      <c r="A182" s="412"/>
      <c r="B182" s="413"/>
      <c r="C182" s="412"/>
      <c r="D182" s="412"/>
      <c r="E182" s="412"/>
      <c r="F182" s="412"/>
      <c r="G182" s="412"/>
      <c r="H182" s="412"/>
      <c r="I182" s="414"/>
    </row>
    <row r="183" spans="1:9">
      <c r="A183" s="412"/>
      <c r="B183" s="413"/>
      <c r="C183" s="412"/>
      <c r="D183" s="412"/>
      <c r="E183" s="412"/>
      <c r="F183" s="412"/>
      <c r="G183" s="412"/>
      <c r="H183" s="412"/>
      <c r="I183" s="414"/>
    </row>
    <row r="184" spans="1:9">
      <c r="A184" s="412"/>
      <c r="B184" s="413"/>
      <c r="C184" s="412"/>
      <c r="D184" s="412"/>
      <c r="E184" s="412"/>
      <c r="F184" s="412"/>
      <c r="G184" s="412"/>
      <c r="H184" s="412"/>
      <c r="I184" s="414"/>
    </row>
    <row r="185" spans="1:9">
      <c r="A185" s="412"/>
      <c r="B185" s="413"/>
      <c r="C185" s="412"/>
      <c r="D185" s="412"/>
      <c r="E185" s="412"/>
      <c r="F185" s="412"/>
      <c r="G185" s="412"/>
      <c r="H185" s="412"/>
      <c r="I185" s="414"/>
    </row>
    <row r="186" spans="1:9">
      <c r="A186" s="412"/>
      <c r="B186" s="413"/>
      <c r="C186" s="412"/>
      <c r="D186" s="412"/>
      <c r="E186" s="412"/>
      <c r="F186" s="412"/>
      <c r="G186" s="412"/>
      <c r="H186" s="412"/>
      <c r="I186" s="414"/>
    </row>
    <row r="187" spans="1:9">
      <c r="A187" s="412"/>
      <c r="B187" s="413"/>
      <c r="C187" s="412"/>
      <c r="D187" s="412"/>
      <c r="E187" s="412"/>
      <c r="F187" s="412"/>
      <c r="G187" s="412"/>
      <c r="H187" s="412"/>
      <c r="I187" s="414"/>
    </row>
    <row r="188" spans="1:9">
      <c r="A188" s="412"/>
      <c r="B188" s="413"/>
      <c r="C188" s="412"/>
      <c r="D188" s="412"/>
      <c r="E188" s="412"/>
      <c r="F188" s="412"/>
      <c r="G188" s="412"/>
      <c r="H188" s="412"/>
      <c r="I188" s="414"/>
    </row>
    <row r="189" spans="1:9">
      <c r="A189" s="412"/>
      <c r="B189" s="413"/>
      <c r="C189" s="412"/>
      <c r="D189" s="412"/>
      <c r="E189" s="412"/>
      <c r="F189" s="412"/>
      <c r="G189" s="412"/>
      <c r="H189" s="412"/>
      <c r="I189" s="414"/>
    </row>
    <row r="190" spans="1:9">
      <c r="A190" s="412"/>
      <c r="B190" s="413"/>
      <c r="C190" s="412"/>
      <c r="D190" s="412"/>
      <c r="E190" s="412"/>
      <c r="F190" s="412"/>
      <c r="G190" s="412"/>
      <c r="H190" s="412"/>
      <c r="I190" s="414"/>
    </row>
    <row r="191" spans="1:9">
      <c r="A191" s="412"/>
      <c r="B191" s="413"/>
      <c r="C191" s="412"/>
      <c r="D191" s="412"/>
      <c r="E191" s="412"/>
      <c r="F191" s="412"/>
      <c r="G191" s="412"/>
      <c r="H191" s="412"/>
      <c r="I191" s="414"/>
    </row>
    <row r="192" spans="1:9">
      <c r="A192" s="412"/>
      <c r="B192" s="413"/>
      <c r="C192" s="412"/>
      <c r="D192" s="412"/>
      <c r="E192" s="412"/>
      <c r="F192" s="412"/>
      <c r="G192" s="412"/>
      <c r="H192" s="412"/>
      <c r="I192" s="414"/>
    </row>
    <row r="193" spans="1:9">
      <c r="A193" s="412"/>
      <c r="B193" s="413"/>
      <c r="C193" s="412"/>
      <c r="D193" s="412"/>
      <c r="E193" s="412"/>
      <c r="F193" s="412"/>
      <c r="G193" s="412"/>
      <c r="H193" s="412"/>
      <c r="I193" s="414"/>
    </row>
    <row r="194" spans="1:9">
      <c r="A194" s="412"/>
      <c r="B194" s="413"/>
      <c r="C194" s="412"/>
      <c r="D194" s="412"/>
      <c r="E194" s="412"/>
      <c r="F194" s="412"/>
      <c r="G194" s="412"/>
      <c r="H194" s="412"/>
      <c r="I194" s="414"/>
    </row>
    <row r="195" spans="1:9">
      <c r="A195" s="412"/>
      <c r="B195" s="413"/>
      <c r="C195" s="412"/>
      <c r="D195" s="412"/>
      <c r="E195" s="412"/>
      <c r="F195" s="412"/>
      <c r="G195" s="412"/>
      <c r="H195" s="412"/>
      <c r="I195" s="414"/>
    </row>
    <row r="196" spans="1:9">
      <c r="A196" s="412"/>
      <c r="B196" s="413"/>
      <c r="C196" s="412"/>
      <c r="D196" s="412"/>
      <c r="E196" s="412"/>
      <c r="F196" s="412"/>
      <c r="G196" s="412"/>
      <c r="H196" s="412"/>
      <c r="I196" s="414"/>
    </row>
    <row r="197" spans="1:9">
      <c r="A197" s="412"/>
      <c r="B197" s="413"/>
      <c r="C197" s="412"/>
      <c r="D197" s="412"/>
      <c r="E197" s="412"/>
      <c r="F197" s="412"/>
      <c r="G197" s="412"/>
      <c r="H197" s="412"/>
      <c r="I197" s="414"/>
    </row>
    <row r="198" spans="1:9">
      <c r="A198" s="412"/>
      <c r="B198" s="413"/>
      <c r="C198" s="412"/>
      <c r="D198" s="412"/>
      <c r="E198" s="412"/>
      <c r="F198" s="412"/>
      <c r="G198" s="412"/>
      <c r="H198" s="412"/>
      <c r="I198" s="414"/>
    </row>
    <row r="199" spans="1:9">
      <c r="A199" s="412"/>
      <c r="B199" s="413"/>
      <c r="C199" s="412"/>
      <c r="D199" s="412"/>
      <c r="E199" s="412"/>
      <c r="F199" s="412"/>
      <c r="G199" s="412"/>
      <c r="H199" s="412"/>
      <c r="I199" s="414"/>
    </row>
    <row r="200" spans="1:9">
      <c r="A200" s="412"/>
      <c r="B200" s="413"/>
      <c r="C200" s="412"/>
      <c r="D200" s="412"/>
      <c r="E200" s="412"/>
      <c r="F200" s="412"/>
      <c r="G200" s="412"/>
      <c r="H200" s="412"/>
      <c r="I200" s="414"/>
    </row>
    <row r="201" spans="1:9">
      <c r="A201" s="412"/>
      <c r="B201" s="413"/>
      <c r="C201" s="412"/>
      <c r="D201" s="412"/>
      <c r="E201" s="412"/>
      <c r="F201" s="412"/>
      <c r="G201" s="412"/>
      <c r="H201" s="412"/>
      <c r="I201" s="414"/>
    </row>
    <row r="202" spans="1:9">
      <c r="A202" s="412"/>
      <c r="B202" s="413"/>
      <c r="C202" s="412"/>
      <c r="D202" s="412"/>
      <c r="E202" s="412"/>
      <c r="F202" s="412"/>
      <c r="G202" s="412"/>
      <c r="H202" s="412"/>
      <c r="I202" s="414"/>
    </row>
    <row r="203" spans="1:9">
      <c r="A203" s="412"/>
      <c r="B203" s="413"/>
      <c r="C203" s="412"/>
      <c r="D203" s="412"/>
      <c r="E203" s="412"/>
      <c r="F203" s="412"/>
      <c r="G203" s="412"/>
      <c r="H203" s="412"/>
      <c r="I203" s="414"/>
    </row>
    <row r="204" spans="1:9">
      <c r="A204" s="412"/>
      <c r="B204" s="413"/>
      <c r="C204" s="412"/>
      <c r="D204" s="412"/>
      <c r="E204" s="412"/>
      <c r="F204" s="412"/>
      <c r="G204" s="412"/>
      <c r="H204" s="412"/>
      <c r="I204" s="414"/>
    </row>
    <row r="205" spans="1:9">
      <c r="A205" s="412"/>
      <c r="B205" s="413"/>
      <c r="C205" s="412"/>
      <c r="D205" s="412"/>
      <c r="E205" s="412"/>
      <c r="F205" s="412"/>
      <c r="G205" s="412"/>
      <c r="H205" s="412"/>
      <c r="I205" s="414"/>
    </row>
    <row r="206" spans="1:9">
      <c r="A206" s="412"/>
      <c r="B206" s="413"/>
      <c r="C206" s="412"/>
      <c r="D206" s="412"/>
      <c r="E206" s="412"/>
      <c r="F206" s="412"/>
      <c r="G206" s="412"/>
      <c r="H206" s="412"/>
      <c r="I206" s="414"/>
    </row>
    <row r="207" spans="1:9">
      <c r="A207" s="412"/>
      <c r="B207" s="413"/>
      <c r="C207" s="412"/>
      <c r="D207" s="412"/>
      <c r="E207" s="412"/>
      <c r="F207" s="412"/>
      <c r="G207" s="412"/>
      <c r="H207" s="412"/>
      <c r="I207" s="414"/>
    </row>
    <row r="208" spans="1:9">
      <c r="A208" s="412"/>
      <c r="B208" s="413"/>
      <c r="C208" s="412"/>
      <c r="D208" s="412"/>
      <c r="E208" s="412"/>
      <c r="F208" s="412"/>
      <c r="G208" s="412"/>
      <c r="H208" s="412"/>
      <c r="I208" s="414"/>
    </row>
    <row r="209" spans="1:9">
      <c r="A209" s="412"/>
      <c r="B209" s="413"/>
      <c r="C209" s="412"/>
      <c r="D209" s="412"/>
      <c r="E209" s="412"/>
      <c r="F209" s="412"/>
      <c r="G209" s="412"/>
      <c r="H209" s="412"/>
      <c r="I209" s="414"/>
    </row>
    <row r="210" spans="1:9">
      <c r="A210" s="412"/>
      <c r="B210" s="413"/>
      <c r="C210" s="412"/>
      <c r="D210" s="412"/>
      <c r="E210" s="412"/>
      <c r="F210" s="412"/>
      <c r="G210" s="412"/>
      <c r="H210" s="412"/>
      <c r="I210" s="414"/>
    </row>
    <row r="211" spans="1:9">
      <c r="A211" s="412"/>
      <c r="B211" s="413"/>
      <c r="C211" s="412"/>
      <c r="D211" s="412"/>
      <c r="E211" s="412"/>
      <c r="F211" s="412"/>
      <c r="G211" s="412"/>
      <c r="H211" s="412"/>
      <c r="I211" s="414"/>
    </row>
    <row r="212" spans="1:9">
      <c r="A212" s="412"/>
      <c r="B212" s="413"/>
      <c r="C212" s="412"/>
      <c r="D212" s="412"/>
      <c r="E212" s="412"/>
      <c r="F212" s="412"/>
      <c r="G212" s="412"/>
      <c r="H212" s="412"/>
      <c r="I212" s="414"/>
    </row>
    <row r="213" spans="1:9">
      <c r="A213" s="412"/>
      <c r="B213" s="413"/>
      <c r="C213" s="412"/>
      <c r="D213" s="412"/>
      <c r="E213" s="412"/>
      <c r="F213" s="412"/>
      <c r="G213" s="412"/>
      <c r="H213" s="412"/>
      <c r="I213" s="414"/>
    </row>
    <row r="214" spans="1:9">
      <c r="A214" s="412"/>
      <c r="B214" s="413"/>
      <c r="C214" s="412"/>
      <c r="D214" s="412"/>
      <c r="E214" s="412"/>
      <c r="F214" s="412"/>
      <c r="G214" s="412"/>
      <c r="H214" s="412"/>
      <c r="I214" s="414"/>
    </row>
    <row r="215" spans="1:9">
      <c r="A215" s="412"/>
      <c r="B215" s="413"/>
      <c r="C215" s="412"/>
      <c r="D215" s="412"/>
      <c r="E215" s="412"/>
      <c r="F215" s="412"/>
      <c r="G215" s="412"/>
      <c r="H215" s="412"/>
      <c r="I215" s="414"/>
    </row>
    <row r="216" spans="1:9">
      <c r="A216" s="412"/>
      <c r="B216" s="413"/>
      <c r="C216" s="412"/>
      <c r="D216" s="412"/>
      <c r="E216" s="412"/>
      <c r="F216" s="412"/>
      <c r="G216" s="412"/>
      <c r="H216" s="412"/>
      <c r="I216" s="414"/>
    </row>
    <row r="217" spans="1:9">
      <c r="A217" s="412"/>
      <c r="B217" s="413"/>
      <c r="C217" s="412"/>
      <c r="D217" s="412"/>
      <c r="E217" s="412"/>
      <c r="F217" s="412"/>
      <c r="G217" s="412"/>
      <c r="H217" s="412"/>
      <c r="I217" s="414"/>
    </row>
    <row r="218" spans="1:9">
      <c r="A218" s="412"/>
      <c r="B218" s="413"/>
      <c r="C218" s="412"/>
      <c r="D218" s="412"/>
      <c r="E218" s="412"/>
      <c r="F218" s="412"/>
      <c r="G218" s="412"/>
      <c r="H218" s="412"/>
      <c r="I218" s="414"/>
    </row>
    <row r="219" spans="1:9">
      <c r="A219" s="412"/>
      <c r="B219" s="413"/>
      <c r="C219" s="412"/>
      <c r="D219" s="412"/>
      <c r="E219" s="412"/>
      <c r="F219" s="412"/>
      <c r="G219" s="412"/>
      <c r="H219" s="412"/>
      <c r="I219" s="414"/>
    </row>
    <row r="220" spans="1:9">
      <c r="A220" s="412"/>
      <c r="B220" s="413"/>
      <c r="C220" s="412"/>
      <c r="D220" s="412"/>
      <c r="E220" s="412"/>
      <c r="F220" s="412"/>
      <c r="G220" s="412"/>
      <c r="H220" s="412"/>
      <c r="I220" s="414"/>
    </row>
    <row r="221" spans="1:9">
      <c r="A221" s="412"/>
      <c r="B221" s="413"/>
      <c r="C221" s="412"/>
      <c r="D221" s="412"/>
      <c r="E221" s="412"/>
      <c r="F221" s="412"/>
      <c r="G221" s="412"/>
      <c r="H221" s="412"/>
      <c r="I221" s="414"/>
    </row>
    <row r="222" spans="1:9">
      <c r="A222" s="412"/>
      <c r="B222" s="413"/>
      <c r="C222" s="412"/>
      <c r="D222" s="412"/>
      <c r="E222" s="412"/>
      <c r="F222" s="412"/>
      <c r="G222" s="412"/>
      <c r="H222" s="412"/>
      <c r="I222" s="414"/>
    </row>
    <row r="223" spans="1:9">
      <c r="A223" s="412"/>
      <c r="B223" s="413"/>
      <c r="C223" s="412"/>
      <c r="D223" s="412"/>
      <c r="E223" s="412"/>
      <c r="F223" s="412"/>
      <c r="G223" s="412"/>
      <c r="H223" s="412"/>
      <c r="I223" s="414"/>
    </row>
    <row r="224" spans="1:9">
      <c r="A224" s="412"/>
      <c r="B224" s="413"/>
      <c r="C224" s="412"/>
      <c r="D224" s="412"/>
      <c r="E224" s="412"/>
      <c r="F224" s="412"/>
      <c r="G224" s="412"/>
      <c r="H224" s="412"/>
      <c r="I224" s="414"/>
    </row>
    <row r="225" spans="1:9">
      <c r="A225" s="412"/>
      <c r="B225" s="413"/>
      <c r="C225" s="412"/>
      <c r="D225" s="412"/>
      <c r="E225" s="412"/>
      <c r="F225" s="412"/>
      <c r="G225" s="412"/>
      <c r="H225" s="412"/>
      <c r="I225" s="414"/>
    </row>
    <row r="226" spans="1:9">
      <c r="A226" s="412"/>
      <c r="B226" s="413"/>
      <c r="C226" s="412"/>
      <c r="D226" s="412"/>
      <c r="E226" s="412"/>
      <c r="F226" s="412"/>
      <c r="G226" s="412"/>
      <c r="H226" s="412"/>
      <c r="I226" s="414"/>
    </row>
    <row r="227" spans="1:9">
      <c r="A227" s="412"/>
      <c r="B227" s="413"/>
      <c r="C227" s="412"/>
      <c r="D227" s="412"/>
      <c r="E227" s="412"/>
      <c r="F227" s="412"/>
      <c r="G227" s="412"/>
      <c r="H227" s="412"/>
      <c r="I227" s="414"/>
    </row>
    <row r="228" spans="1:9">
      <c r="A228" s="412"/>
      <c r="B228" s="413"/>
      <c r="C228" s="412"/>
      <c r="D228" s="412"/>
      <c r="E228" s="412"/>
      <c r="F228" s="412"/>
      <c r="G228" s="412"/>
      <c r="H228" s="412"/>
      <c r="I228" s="414"/>
    </row>
    <row r="229" spans="1:9">
      <c r="A229" s="412"/>
      <c r="B229" s="413"/>
      <c r="C229" s="412"/>
      <c r="D229" s="412"/>
      <c r="E229" s="412"/>
      <c r="F229" s="412"/>
      <c r="G229" s="412"/>
      <c r="H229" s="412"/>
      <c r="I229" s="414"/>
    </row>
    <row r="230" spans="1:9">
      <c r="A230" s="412"/>
      <c r="B230" s="413"/>
      <c r="C230" s="412"/>
      <c r="D230" s="412"/>
      <c r="E230" s="412"/>
      <c r="F230" s="412"/>
      <c r="G230" s="412"/>
      <c r="H230" s="412"/>
      <c r="I230" s="414"/>
    </row>
    <row r="231" spans="1:9">
      <c r="A231" s="412"/>
      <c r="B231" s="413"/>
      <c r="C231" s="412"/>
      <c r="D231" s="412"/>
      <c r="E231" s="412"/>
      <c r="F231" s="412"/>
      <c r="G231" s="412"/>
      <c r="H231" s="412"/>
      <c r="I231" s="414"/>
    </row>
    <row r="232" spans="1:9">
      <c r="A232" s="412"/>
      <c r="B232" s="413"/>
      <c r="C232" s="412"/>
      <c r="D232" s="412"/>
      <c r="E232" s="412"/>
      <c r="F232" s="412"/>
      <c r="G232" s="412"/>
      <c r="H232" s="412"/>
      <c r="I232" s="414"/>
    </row>
    <row r="233" spans="1:9">
      <c r="A233" s="412"/>
      <c r="B233" s="413"/>
      <c r="C233" s="412"/>
      <c r="D233" s="412"/>
      <c r="E233" s="412"/>
      <c r="F233" s="412"/>
      <c r="G233" s="412"/>
      <c r="H233" s="412"/>
      <c r="I233" s="414"/>
    </row>
    <row r="234" spans="1:9">
      <c r="A234" s="412"/>
      <c r="B234" s="413"/>
      <c r="C234" s="412"/>
      <c r="D234" s="412"/>
      <c r="E234" s="412"/>
      <c r="F234" s="412"/>
      <c r="G234" s="412"/>
      <c r="H234" s="412"/>
      <c r="I234" s="414"/>
    </row>
    <row r="235" spans="1:9">
      <c r="A235" s="412"/>
      <c r="B235" s="413"/>
      <c r="C235" s="412"/>
      <c r="D235" s="412"/>
      <c r="E235" s="412"/>
      <c r="F235" s="412"/>
      <c r="G235" s="412"/>
      <c r="H235" s="412"/>
      <c r="I235" s="414"/>
    </row>
    <row r="236" spans="1:9">
      <c r="A236" s="412"/>
      <c r="B236" s="413"/>
      <c r="C236" s="412"/>
      <c r="D236" s="412"/>
      <c r="E236" s="412"/>
      <c r="F236" s="412"/>
      <c r="G236" s="412"/>
      <c r="H236" s="412"/>
      <c r="I236" s="414"/>
    </row>
    <row r="237" spans="1:9">
      <c r="A237" s="412"/>
      <c r="B237" s="413"/>
      <c r="C237" s="412"/>
      <c r="D237" s="412"/>
      <c r="E237" s="412"/>
      <c r="F237" s="412"/>
      <c r="G237" s="412"/>
      <c r="H237" s="412"/>
      <c r="I237" s="414"/>
    </row>
    <row r="238" spans="1:9">
      <c r="A238" s="412"/>
      <c r="B238" s="413"/>
      <c r="C238" s="412"/>
      <c r="D238" s="412"/>
      <c r="E238" s="412"/>
      <c r="F238" s="412"/>
      <c r="G238" s="412"/>
      <c r="H238" s="412"/>
      <c r="I238" s="414"/>
    </row>
    <row r="239" spans="1:9">
      <c r="A239" s="412"/>
      <c r="B239" s="413"/>
      <c r="C239" s="412"/>
      <c r="D239" s="412"/>
      <c r="E239" s="412"/>
      <c r="F239" s="412"/>
      <c r="G239" s="412"/>
      <c r="H239" s="412"/>
      <c r="I239" s="414"/>
    </row>
    <row r="240" spans="1:9">
      <c r="A240" s="412"/>
      <c r="B240" s="413"/>
      <c r="C240" s="412"/>
      <c r="D240" s="412"/>
      <c r="E240" s="412"/>
      <c r="F240" s="412"/>
      <c r="G240" s="412"/>
      <c r="H240" s="412"/>
      <c r="I240" s="414"/>
    </row>
    <row r="241" spans="1:9">
      <c r="A241" s="412"/>
      <c r="B241" s="413"/>
      <c r="C241" s="412"/>
      <c r="D241" s="412"/>
      <c r="E241" s="412"/>
      <c r="F241" s="412"/>
      <c r="G241" s="412"/>
      <c r="H241" s="412"/>
      <c r="I241" s="414"/>
    </row>
    <row r="242" spans="1:9">
      <c r="A242" s="412"/>
      <c r="B242" s="413"/>
      <c r="C242" s="412"/>
      <c r="D242" s="412"/>
      <c r="E242" s="412"/>
      <c r="F242" s="412"/>
      <c r="G242" s="412"/>
      <c r="H242" s="412"/>
      <c r="I242" s="414"/>
    </row>
    <row r="243" spans="1:9">
      <c r="A243" s="412"/>
      <c r="B243" s="413"/>
      <c r="C243" s="412"/>
      <c r="D243" s="412"/>
      <c r="E243" s="412"/>
      <c r="F243" s="412"/>
      <c r="G243" s="412"/>
      <c r="H243" s="412"/>
      <c r="I243" s="414"/>
    </row>
    <row r="244" spans="1:9">
      <c r="A244" s="412"/>
      <c r="B244" s="413"/>
      <c r="C244" s="412"/>
      <c r="D244" s="412"/>
      <c r="E244" s="412"/>
      <c r="F244" s="412"/>
      <c r="G244" s="412"/>
      <c r="H244" s="412"/>
      <c r="I244" s="414"/>
    </row>
    <row r="245" spans="1:9">
      <c r="A245" s="412"/>
      <c r="B245" s="413"/>
      <c r="C245" s="412"/>
      <c r="D245" s="412"/>
      <c r="E245" s="412"/>
      <c r="F245" s="412"/>
      <c r="G245" s="412"/>
      <c r="H245" s="412"/>
      <c r="I245" s="414"/>
    </row>
    <row r="246" spans="1:9">
      <c r="A246" s="412"/>
      <c r="B246" s="413"/>
      <c r="C246" s="412"/>
      <c r="D246" s="412"/>
      <c r="E246" s="412"/>
      <c r="F246" s="412"/>
      <c r="G246" s="412"/>
      <c r="H246" s="412"/>
      <c r="I246" s="414"/>
    </row>
    <row r="247" spans="1:9">
      <c r="A247" s="412"/>
      <c r="B247" s="413"/>
      <c r="C247" s="412"/>
      <c r="D247" s="412"/>
      <c r="E247" s="412"/>
      <c r="F247" s="412"/>
      <c r="G247" s="412"/>
      <c r="H247" s="412"/>
      <c r="I247" s="414"/>
    </row>
    <row r="248" spans="1:9">
      <c r="A248" s="412"/>
      <c r="B248" s="413"/>
      <c r="C248" s="412"/>
      <c r="D248" s="412"/>
      <c r="E248" s="412"/>
      <c r="F248" s="412"/>
      <c r="G248" s="412"/>
      <c r="H248" s="412"/>
      <c r="I248" s="414"/>
    </row>
    <row r="249" spans="1:9">
      <c r="A249" s="412"/>
      <c r="B249" s="413"/>
      <c r="C249" s="412"/>
      <c r="D249" s="412"/>
      <c r="E249" s="412"/>
      <c r="F249" s="412"/>
      <c r="G249" s="412"/>
      <c r="H249" s="412"/>
      <c r="I249" s="414"/>
    </row>
    <row r="250" spans="1:9">
      <c r="A250" s="412"/>
      <c r="B250" s="413"/>
      <c r="C250" s="412"/>
      <c r="D250" s="412"/>
      <c r="E250" s="412"/>
      <c r="F250" s="412"/>
      <c r="G250" s="412"/>
      <c r="H250" s="412"/>
      <c r="I250" s="414"/>
    </row>
    <row r="251" spans="1:9">
      <c r="A251" s="412"/>
      <c r="B251" s="413"/>
      <c r="C251" s="412"/>
      <c r="D251" s="412"/>
      <c r="E251" s="412"/>
      <c r="F251" s="412"/>
      <c r="G251" s="412"/>
      <c r="H251" s="412"/>
      <c r="I251" s="414"/>
    </row>
    <row r="252" spans="1:9">
      <c r="A252" s="412"/>
      <c r="B252" s="413"/>
      <c r="C252" s="412"/>
      <c r="D252" s="412"/>
      <c r="E252" s="412"/>
      <c r="F252" s="412"/>
      <c r="G252" s="412"/>
      <c r="H252" s="412"/>
      <c r="I252" s="414"/>
    </row>
    <row r="253" spans="1:9">
      <c r="A253" s="412"/>
      <c r="B253" s="413"/>
      <c r="C253" s="412"/>
      <c r="D253" s="412"/>
      <c r="E253" s="412"/>
      <c r="F253" s="412"/>
      <c r="G253" s="412"/>
      <c r="H253" s="412"/>
      <c r="I253" s="414"/>
    </row>
    <row r="254" spans="1:9">
      <c r="A254" s="412"/>
      <c r="B254" s="413"/>
      <c r="C254" s="412"/>
      <c r="D254" s="412"/>
      <c r="E254" s="412"/>
      <c r="F254" s="412"/>
      <c r="G254" s="412"/>
      <c r="H254" s="412"/>
      <c r="I254" s="414"/>
    </row>
    <row r="255" spans="1:9">
      <c r="A255" s="412"/>
      <c r="B255" s="413"/>
      <c r="C255" s="412"/>
      <c r="D255" s="412"/>
      <c r="E255" s="412"/>
      <c r="F255" s="412"/>
      <c r="G255" s="412"/>
      <c r="H255" s="412"/>
      <c r="I255" s="414"/>
    </row>
    <row r="256" spans="1:9">
      <c r="A256" s="412"/>
      <c r="B256" s="413"/>
      <c r="C256" s="412"/>
      <c r="D256" s="412"/>
      <c r="E256" s="412"/>
      <c r="F256" s="412"/>
      <c r="G256" s="412"/>
      <c r="H256" s="412"/>
      <c r="I256" s="414"/>
    </row>
    <row r="257" spans="1:9">
      <c r="A257" s="412"/>
      <c r="B257" s="413"/>
      <c r="C257" s="412"/>
      <c r="D257" s="412"/>
      <c r="E257" s="412"/>
      <c r="F257" s="412"/>
      <c r="G257" s="412"/>
      <c r="H257" s="412"/>
      <c r="I257" s="414"/>
    </row>
    <row r="258" spans="1:9">
      <c r="A258" s="412"/>
      <c r="B258" s="413"/>
      <c r="C258" s="412"/>
      <c r="D258" s="412"/>
      <c r="E258" s="412"/>
      <c r="F258" s="412"/>
      <c r="G258" s="412"/>
      <c r="H258" s="412"/>
      <c r="I258" s="414"/>
    </row>
    <row r="259" spans="1:9">
      <c r="A259" s="412"/>
      <c r="B259" s="413"/>
      <c r="C259" s="412"/>
      <c r="D259" s="412"/>
      <c r="E259" s="412"/>
      <c r="F259" s="412"/>
      <c r="G259" s="412"/>
      <c r="H259" s="412"/>
      <c r="I259" s="414"/>
    </row>
    <row r="260" spans="1:9">
      <c r="A260" s="412"/>
      <c r="B260" s="413"/>
      <c r="C260" s="412"/>
      <c r="D260" s="412"/>
      <c r="E260" s="412"/>
      <c r="F260" s="412"/>
      <c r="G260" s="412"/>
      <c r="H260" s="412"/>
      <c r="I260" s="414"/>
    </row>
    <row r="261" spans="1:9">
      <c r="A261" s="412"/>
      <c r="B261" s="413"/>
      <c r="C261" s="412"/>
      <c r="D261" s="412"/>
      <c r="E261" s="412"/>
      <c r="F261" s="412"/>
      <c r="G261" s="412"/>
      <c r="H261" s="412"/>
      <c r="I261" s="414"/>
    </row>
    <row r="262" spans="1:9">
      <c r="A262" s="412"/>
      <c r="B262" s="413"/>
      <c r="C262" s="412"/>
      <c r="D262" s="412"/>
      <c r="E262" s="412"/>
      <c r="F262" s="412"/>
      <c r="G262" s="412"/>
      <c r="H262" s="412"/>
      <c r="I262" s="414"/>
    </row>
    <row r="263" spans="1:9">
      <c r="A263" s="412"/>
      <c r="B263" s="413"/>
      <c r="C263" s="412"/>
      <c r="D263" s="412"/>
      <c r="E263" s="412"/>
      <c r="F263" s="412"/>
      <c r="G263" s="412"/>
      <c r="H263" s="412"/>
      <c r="I263" s="414"/>
    </row>
    <row r="264" spans="1:9">
      <c r="A264" s="412"/>
      <c r="B264" s="413"/>
      <c r="C264" s="412"/>
      <c r="D264" s="412"/>
      <c r="E264" s="412"/>
      <c r="F264" s="412"/>
      <c r="G264" s="412"/>
      <c r="H264" s="412"/>
      <c r="I264" s="414"/>
    </row>
    <row r="265" spans="1:9">
      <c r="A265" s="412"/>
      <c r="B265" s="413"/>
      <c r="C265" s="412"/>
      <c r="D265" s="412"/>
      <c r="E265" s="412"/>
      <c r="F265" s="412"/>
      <c r="G265" s="412"/>
      <c r="H265" s="412"/>
      <c r="I265" s="414"/>
    </row>
    <row r="266" spans="1:9">
      <c r="A266" s="412"/>
      <c r="B266" s="413"/>
      <c r="C266" s="412"/>
      <c r="D266" s="412"/>
      <c r="E266" s="412"/>
      <c r="F266" s="412"/>
      <c r="G266" s="412"/>
      <c r="H266" s="412"/>
      <c r="I266" s="414"/>
    </row>
    <row r="267" spans="1:9">
      <c r="A267" s="412"/>
      <c r="B267" s="413"/>
      <c r="C267" s="412"/>
      <c r="D267" s="412"/>
      <c r="E267" s="412"/>
      <c r="F267" s="412"/>
      <c r="G267" s="412"/>
      <c r="H267" s="412"/>
      <c r="I267" s="414"/>
    </row>
    <row r="268" spans="1:9">
      <c r="A268" s="412"/>
      <c r="B268" s="413"/>
      <c r="C268" s="412"/>
      <c r="D268" s="412"/>
      <c r="E268" s="412"/>
      <c r="F268" s="412"/>
      <c r="G268" s="412"/>
      <c r="H268" s="412"/>
      <c r="I268" s="414"/>
    </row>
    <row r="269" spans="1:9">
      <c r="A269" s="412"/>
      <c r="B269" s="413"/>
      <c r="C269" s="412"/>
      <c r="D269" s="412"/>
      <c r="E269" s="412"/>
      <c r="F269" s="412"/>
      <c r="G269" s="412"/>
      <c r="H269" s="412"/>
      <c r="I269" s="414"/>
    </row>
    <row r="270" spans="1:9">
      <c r="A270" s="412"/>
      <c r="B270" s="413"/>
      <c r="C270" s="412"/>
      <c r="D270" s="412"/>
      <c r="E270" s="412"/>
      <c r="F270" s="412"/>
      <c r="G270" s="412"/>
      <c r="H270" s="412"/>
      <c r="I270" s="414"/>
    </row>
    <row r="271" spans="1:9">
      <c r="A271" s="412"/>
      <c r="B271" s="413"/>
      <c r="C271" s="412"/>
      <c r="D271" s="412"/>
      <c r="E271" s="412"/>
      <c r="F271" s="412"/>
      <c r="G271" s="412"/>
      <c r="H271" s="412"/>
      <c r="I271" s="414"/>
    </row>
    <row r="272" spans="1:9">
      <c r="A272" s="412"/>
      <c r="B272" s="413"/>
      <c r="C272" s="412"/>
      <c r="D272" s="412"/>
      <c r="E272" s="412"/>
      <c r="F272" s="412"/>
      <c r="G272" s="412"/>
      <c r="H272" s="412"/>
      <c r="I272" s="414"/>
    </row>
    <row r="273" spans="1:9">
      <c r="A273" s="412"/>
      <c r="B273" s="413"/>
      <c r="C273" s="412"/>
      <c r="D273" s="412"/>
      <c r="E273" s="412"/>
      <c r="F273" s="412"/>
      <c r="G273" s="412"/>
      <c r="H273" s="412"/>
      <c r="I273" s="414"/>
    </row>
    <row r="274" spans="1:9">
      <c r="A274" s="412"/>
      <c r="B274" s="413"/>
      <c r="C274" s="412"/>
      <c r="D274" s="412"/>
      <c r="E274" s="412"/>
      <c r="F274" s="412"/>
      <c r="G274" s="412"/>
      <c r="H274" s="412"/>
      <c r="I274" s="414"/>
    </row>
    <row r="275" spans="1:9">
      <c r="A275" s="412"/>
      <c r="B275" s="413"/>
      <c r="C275" s="412"/>
      <c r="D275" s="412"/>
      <c r="E275" s="412"/>
      <c r="F275" s="412"/>
      <c r="G275" s="412"/>
      <c r="H275" s="412"/>
      <c r="I275" s="414"/>
    </row>
    <row r="276" spans="1:9">
      <c r="A276" s="412"/>
      <c r="B276" s="413"/>
      <c r="C276" s="412"/>
      <c r="D276" s="412"/>
      <c r="E276" s="412"/>
      <c r="F276" s="412"/>
      <c r="G276" s="412"/>
      <c r="H276" s="412"/>
      <c r="I276" s="414"/>
    </row>
    <row r="277" spans="1:9">
      <c r="A277" s="412"/>
      <c r="B277" s="413"/>
      <c r="C277" s="412"/>
      <c r="D277" s="412"/>
      <c r="E277" s="412"/>
      <c r="F277" s="412"/>
      <c r="G277" s="412"/>
      <c r="H277" s="412"/>
      <c r="I277" s="414"/>
    </row>
    <row r="278" spans="1:9">
      <c r="A278" s="412"/>
      <c r="B278" s="413"/>
      <c r="C278" s="412"/>
      <c r="D278" s="412"/>
      <c r="E278" s="412"/>
      <c r="F278" s="412"/>
      <c r="G278" s="412"/>
      <c r="H278" s="412"/>
      <c r="I278" s="414"/>
    </row>
    <row r="279" spans="1:9">
      <c r="A279" s="412"/>
      <c r="B279" s="413"/>
      <c r="C279" s="412"/>
      <c r="D279" s="412"/>
      <c r="E279" s="412"/>
      <c r="F279" s="412"/>
      <c r="G279" s="412"/>
      <c r="H279" s="412"/>
      <c r="I279" s="414"/>
    </row>
    <row r="280" spans="1:9">
      <c r="A280" s="412"/>
      <c r="B280" s="413"/>
      <c r="C280" s="412"/>
      <c r="D280" s="412"/>
      <c r="E280" s="412"/>
      <c r="F280" s="412"/>
      <c r="G280" s="412"/>
      <c r="H280" s="412"/>
      <c r="I280" s="414"/>
    </row>
    <row r="281" spans="1:9">
      <c r="A281" s="412"/>
      <c r="B281" s="413"/>
      <c r="C281" s="412"/>
      <c r="D281" s="412"/>
      <c r="E281" s="412"/>
      <c r="F281" s="412"/>
      <c r="G281" s="412"/>
      <c r="H281" s="412"/>
      <c r="I281" s="414"/>
    </row>
    <row r="282" spans="1:9">
      <c r="A282" s="412"/>
      <c r="B282" s="413"/>
      <c r="C282" s="412"/>
      <c r="D282" s="412"/>
      <c r="E282" s="412"/>
      <c r="F282" s="412"/>
      <c r="G282" s="412"/>
      <c r="H282" s="412"/>
      <c r="I282" s="414"/>
    </row>
    <row r="283" spans="1:9">
      <c r="A283" s="412"/>
      <c r="B283" s="413"/>
      <c r="C283" s="412"/>
      <c r="D283" s="412"/>
      <c r="E283" s="412"/>
      <c r="F283" s="412"/>
      <c r="G283" s="412"/>
      <c r="H283" s="412"/>
      <c r="I283" s="414"/>
    </row>
    <row r="284" spans="1:9">
      <c r="A284" s="412"/>
      <c r="B284" s="413"/>
      <c r="C284" s="412"/>
      <c r="D284" s="412"/>
      <c r="E284" s="412"/>
      <c r="F284" s="412"/>
      <c r="G284" s="412"/>
      <c r="H284" s="412"/>
      <c r="I284" s="414"/>
    </row>
    <row r="285" spans="1:9">
      <c r="A285" s="412"/>
      <c r="B285" s="413"/>
      <c r="C285" s="412"/>
      <c r="D285" s="412"/>
      <c r="E285" s="412"/>
      <c r="F285" s="412"/>
      <c r="G285" s="412"/>
      <c r="H285" s="412"/>
      <c r="I285" s="414"/>
    </row>
    <row r="286" spans="1:9">
      <c r="A286" s="412"/>
      <c r="B286" s="413"/>
      <c r="C286" s="412"/>
      <c r="D286" s="412"/>
      <c r="E286" s="412"/>
      <c r="F286" s="412"/>
      <c r="G286" s="412"/>
      <c r="H286" s="412"/>
      <c r="I286" s="414"/>
    </row>
    <row r="287" spans="1:9">
      <c r="A287" s="412"/>
      <c r="B287" s="413"/>
      <c r="C287" s="412"/>
      <c r="D287" s="412"/>
      <c r="E287" s="412"/>
      <c r="F287" s="412"/>
      <c r="G287" s="412"/>
      <c r="H287" s="412"/>
      <c r="I287" s="414"/>
    </row>
    <row r="288" spans="1:9">
      <c r="A288" s="412"/>
      <c r="B288" s="413"/>
      <c r="C288" s="412"/>
      <c r="D288" s="412"/>
      <c r="E288" s="412"/>
      <c r="F288" s="412"/>
      <c r="G288" s="412"/>
      <c r="H288" s="412"/>
      <c r="I288" s="414"/>
    </row>
    <row r="289" spans="1:9">
      <c r="A289" s="412"/>
      <c r="B289" s="413"/>
      <c r="C289" s="412"/>
      <c r="D289" s="412"/>
      <c r="E289" s="412"/>
      <c r="F289" s="412"/>
      <c r="G289" s="412"/>
      <c r="H289" s="412"/>
      <c r="I289" s="414"/>
    </row>
    <row r="290" spans="1:9">
      <c r="A290" s="412"/>
      <c r="B290" s="413"/>
      <c r="C290" s="412"/>
      <c r="D290" s="412"/>
      <c r="E290" s="412"/>
      <c r="F290" s="412"/>
      <c r="G290" s="412"/>
      <c r="H290" s="412"/>
      <c r="I290" s="414"/>
    </row>
    <row r="291" spans="1:9">
      <c r="A291" s="412"/>
      <c r="B291" s="413"/>
      <c r="C291" s="412"/>
      <c r="D291" s="412"/>
      <c r="E291" s="412"/>
      <c r="F291" s="412"/>
      <c r="G291" s="412"/>
      <c r="H291" s="412"/>
      <c r="I291" s="414"/>
    </row>
    <row r="292" spans="1:9">
      <c r="A292" s="412"/>
      <c r="B292" s="413"/>
      <c r="C292" s="412"/>
      <c r="D292" s="412"/>
      <c r="E292" s="412"/>
      <c r="F292" s="412"/>
      <c r="G292" s="412"/>
      <c r="H292" s="412"/>
      <c r="I292" s="414"/>
    </row>
    <row r="293" spans="1:9">
      <c r="A293" s="412"/>
      <c r="B293" s="413"/>
      <c r="C293" s="412"/>
      <c r="D293" s="412"/>
      <c r="E293" s="412"/>
      <c r="F293" s="412"/>
      <c r="G293" s="412"/>
      <c r="H293" s="412"/>
      <c r="I293" s="414"/>
    </row>
    <row r="294" spans="1:9">
      <c r="A294" s="412"/>
      <c r="B294" s="413"/>
      <c r="C294" s="412"/>
      <c r="D294" s="412"/>
      <c r="E294" s="412"/>
      <c r="F294" s="412"/>
      <c r="G294" s="412"/>
      <c r="H294" s="412"/>
      <c r="I294" s="414"/>
    </row>
    <row r="295" spans="1:9">
      <c r="A295" s="412"/>
      <c r="B295" s="413"/>
      <c r="C295" s="412"/>
      <c r="D295" s="412"/>
      <c r="E295" s="412"/>
      <c r="F295" s="412"/>
      <c r="G295" s="412"/>
      <c r="H295" s="412"/>
      <c r="I295" s="414"/>
    </row>
    <row r="296" spans="1:9">
      <c r="A296" s="412"/>
      <c r="B296" s="413"/>
      <c r="C296" s="412"/>
      <c r="D296" s="412"/>
      <c r="E296" s="412"/>
      <c r="F296" s="412"/>
      <c r="G296" s="412"/>
      <c r="H296" s="412"/>
      <c r="I296" s="414"/>
    </row>
    <row r="297" spans="1:9">
      <c r="A297" s="412"/>
      <c r="B297" s="413"/>
      <c r="C297" s="412"/>
      <c r="D297" s="412"/>
      <c r="E297" s="412"/>
      <c r="F297" s="412"/>
      <c r="G297" s="412"/>
      <c r="H297" s="412"/>
      <c r="I297" s="414"/>
    </row>
    <row r="298" spans="1:9">
      <c r="A298" s="412"/>
      <c r="B298" s="413"/>
      <c r="C298" s="412"/>
      <c r="D298" s="412"/>
      <c r="E298" s="412"/>
      <c r="F298" s="412"/>
      <c r="G298" s="412"/>
      <c r="H298" s="412"/>
      <c r="I298" s="414"/>
    </row>
    <row r="299" spans="1:9">
      <c r="A299" s="412"/>
      <c r="B299" s="413"/>
      <c r="C299" s="412"/>
      <c r="D299" s="412"/>
      <c r="E299" s="412"/>
      <c r="F299" s="412"/>
      <c r="G299" s="412"/>
      <c r="H299" s="412"/>
      <c r="I299" s="414"/>
    </row>
    <row r="300" spans="1:9">
      <c r="A300" s="412"/>
      <c r="B300" s="413"/>
      <c r="C300" s="412"/>
      <c r="D300" s="412"/>
      <c r="E300" s="412"/>
      <c r="F300" s="412"/>
      <c r="G300" s="412"/>
      <c r="H300" s="412"/>
      <c r="I300" s="414"/>
    </row>
    <row r="301" spans="1:9">
      <c r="A301" s="412"/>
      <c r="B301" s="413"/>
      <c r="C301" s="412"/>
      <c r="D301" s="412"/>
      <c r="E301" s="412"/>
      <c r="F301" s="412"/>
      <c r="G301" s="412"/>
      <c r="H301" s="412"/>
      <c r="I301" s="414"/>
    </row>
    <row r="302" spans="1:9">
      <c r="A302" s="412"/>
      <c r="B302" s="413"/>
      <c r="C302" s="412"/>
      <c r="D302" s="412"/>
      <c r="E302" s="412"/>
      <c r="F302" s="412"/>
      <c r="G302" s="412"/>
      <c r="H302" s="412"/>
      <c r="I302" s="414"/>
    </row>
    <row r="303" spans="1:9">
      <c r="A303" s="412"/>
      <c r="B303" s="413"/>
      <c r="C303" s="412"/>
      <c r="D303" s="412"/>
      <c r="E303" s="412"/>
      <c r="F303" s="412"/>
      <c r="G303" s="412"/>
      <c r="H303" s="412"/>
      <c r="I303" s="414"/>
    </row>
    <row r="304" spans="1:9">
      <c r="A304" s="412"/>
      <c r="B304" s="413"/>
      <c r="C304" s="412"/>
      <c r="D304" s="412"/>
      <c r="E304" s="412"/>
      <c r="F304" s="412"/>
      <c r="G304" s="412"/>
      <c r="H304" s="412"/>
      <c r="I304" s="414"/>
    </row>
    <row r="305" spans="1:9">
      <c r="A305" s="412"/>
      <c r="B305" s="413"/>
      <c r="C305" s="412"/>
      <c r="D305" s="412"/>
      <c r="E305" s="412"/>
      <c r="F305" s="412"/>
      <c r="G305" s="412"/>
      <c r="H305" s="412"/>
      <c r="I305" s="414"/>
    </row>
    <row r="306" spans="1:9">
      <c r="A306" s="412"/>
      <c r="B306" s="413"/>
      <c r="C306" s="412"/>
      <c r="D306" s="412"/>
      <c r="E306" s="412"/>
      <c r="F306" s="412"/>
      <c r="G306" s="412"/>
      <c r="H306" s="412"/>
      <c r="I306" s="414"/>
    </row>
    <row r="307" spans="1:9">
      <c r="A307" s="412"/>
      <c r="B307" s="413"/>
      <c r="C307" s="412"/>
      <c r="D307" s="412"/>
      <c r="E307" s="412"/>
      <c r="F307" s="412"/>
      <c r="G307" s="412"/>
      <c r="H307" s="412"/>
      <c r="I307" s="414"/>
    </row>
    <row r="308" spans="1:9">
      <c r="A308" s="412"/>
      <c r="B308" s="413"/>
      <c r="C308" s="412"/>
      <c r="D308" s="412"/>
      <c r="E308" s="412"/>
      <c r="F308" s="412"/>
      <c r="G308" s="412"/>
      <c r="H308" s="412"/>
      <c r="I308" s="414"/>
    </row>
    <row r="309" spans="1:9">
      <c r="A309" s="412"/>
      <c r="B309" s="413"/>
      <c r="C309" s="412"/>
      <c r="D309" s="412"/>
      <c r="E309" s="412"/>
      <c r="F309" s="412"/>
      <c r="G309" s="412"/>
      <c r="H309" s="412"/>
      <c r="I309" s="414"/>
    </row>
    <row r="310" spans="1:9">
      <c r="A310" s="412"/>
      <c r="B310" s="413"/>
      <c r="C310" s="412"/>
      <c r="D310" s="412"/>
      <c r="E310" s="412"/>
      <c r="F310" s="412"/>
      <c r="G310" s="412"/>
      <c r="H310" s="412"/>
      <c r="I310" s="414"/>
    </row>
    <row r="311" spans="1:9">
      <c r="A311" s="412"/>
      <c r="B311" s="413"/>
      <c r="C311" s="412"/>
      <c r="D311" s="412"/>
      <c r="E311" s="412"/>
      <c r="F311" s="412"/>
      <c r="G311" s="412"/>
      <c r="H311" s="412"/>
      <c r="I311" s="414"/>
    </row>
    <row r="312" spans="1:9">
      <c r="A312" s="412"/>
      <c r="B312" s="413"/>
      <c r="C312" s="412"/>
      <c r="D312" s="412"/>
      <c r="E312" s="412"/>
      <c r="F312" s="412"/>
      <c r="G312" s="412"/>
      <c r="H312" s="412"/>
      <c r="I312" s="414"/>
    </row>
    <row r="313" spans="1:9">
      <c r="A313" s="412"/>
      <c r="B313" s="413"/>
      <c r="C313" s="412"/>
      <c r="D313" s="412"/>
      <c r="E313" s="412"/>
      <c r="F313" s="412"/>
      <c r="G313" s="412"/>
      <c r="H313" s="412"/>
      <c r="I313" s="414"/>
    </row>
    <row r="314" spans="1:9">
      <c r="A314" s="412"/>
      <c r="B314" s="413"/>
      <c r="C314" s="412"/>
      <c r="D314" s="412"/>
      <c r="E314" s="412"/>
      <c r="F314" s="412"/>
      <c r="G314" s="412"/>
      <c r="H314" s="412"/>
      <c r="I314" s="414"/>
    </row>
    <row r="315" spans="1:9">
      <c r="A315" s="412"/>
      <c r="B315" s="413"/>
      <c r="C315" s="412"/>
      <c r="D315" s="412"/>
      <c r="E315" s="412"/>
      <c r="F315" s="412"/>
      <c r="G315" s="412"/>
      <c r="H315" s="412"/>
      <c r="I315" s="414"/>
    </row>
    <row r="316" spans="1:9">
      <c r="A316" s="412"/>
      <c r="B316" s="413"/>
      <c r="C316" s="412"/>
      <c r="D316" s="412"/>
      <c r="E316" s="412"/>
      <c r="F316" s="412"/>
      <c r="G316" s="412"/>
      <c r="H316" s="412"/>
      <c r="I316" s="414"/>
    </row>
    <row r="317" spans="1:9">
      <c r="A317" s="412"/>
      <c r="B317" s="413"/>
      <c r="C317" s="412"/>
      <c r="D317" s="412"/>
      <c r="E317" s="412"/>
      <c r="F317" s="412"/>
      <c r="G317" s="412"/>
      <c r="H317" s="412"/>
      <c r="I317" s="414"/>
    </row>
    <row r="318" spans="1:9">
      <c r="A318" s="412"/>
      <c r="B318" s="413"/>
      <c r="C318" s="412"/>
      <c r="D318" s="412"/>
      <c r="E318" s="412"/>
      <c r="F318" s="412"/>
      <c r="G318" s="412"/>
      <c r="H318" s="412"/>
      <c r="I318" s="414"/>
    </row>
    <row r="319" spans="1:9">
      <c r="A319" s="412"/>
      <c r="B319" s="413"/>
      <c r="C319" s="412"/>
      <c r="D319" s="412"/>
      <c r="E319" s="412"/>
      <c r="F319" s="412"/>
      <c r="G319" s="412"/>
      <c r="H319" s="412"/>
      <c r="I319" s="414"/>
    </row>
    <row r="320" spans="1:9">
      <c r="A320" s="412"/>
      <c r="B320" s="413"/>
      <c r="C320" s="412"/>
      <c r="D320" s="412"/>
      <c r="E320" s="412"/>
      <c r="F320" s="412"/>
      <c r="G320" s="412"/>
      <c r="H320" s="412"/>
      <c r="I320" s="414"/>
    </row>
    <row r="321" spans="1:9">
      <c r="A321" s="412"/>
      <c r="B321" s="413"/>
      <c r="C321" s="412"/>
      <c r="D321" s="412"/>
      <c r="E321" s="412"/>
      <c r="F321" s="412"/>
      <c r="G321" s="412"/>
      <c r="H321" s="412"/>
      <c r="I321" s="414"/>
    </row>
    <row r="322" spans="1:9">
      <c r="A322" s="412"/>
      <c r="B322" s="413"/>
      <c r="C322" s="412"/>
      <c r="D322" s="412"/>
      <c r="E322" s="412"/>
      <c r="F322" s="412"/>
      <c r="G322" s="412"/>
      <c r="H322" s="412"/>
      <c r="I322" s="414"/>
    </row>
    <row r="323" spans="1:9">
      <c r="A323" s="412"/>
      <c r="B323" s="413"/>
      <c r="C323" s="412"/>
      <c r="D323" s="412"/>
      <c r="E323" s="412"/>
      <c r="F323" s="412"/>
      <c r="G323" s="412"/>
      <c r="H323" s="412"/>
      <c r="I323" s="414"/>
    </row>
    <row r="324" spans="1:9">
      <c r="A324" s="412"/>
      <c r="B324" s="413"/>
      <c r="C324" s="412"/>
      <c r="D324" s="412"/>
      <c r="E324" s="412"/>
      <c r="F324" s="412"/>
      <c r="G324" s="412"/>
      <c r="H324" s="412"/>
      <c r="I324" s="414"/>
    </row>
    <row r="325" spans="1:9">
      <c r="A325" s="412"/>
      <c r="B325" s="413"/>
      <c r="C325" s="412"/>
      <c r="D325" s="412"/>
      <c r="E325" s="412"/>
      <c r="F325" s="412"/>
      <c r="G325" s="412"/>
      <c r="H325" s="412"/>
      <c r="I325" s="414"/>
    </row>
    <row r="326" spans="1:9">
      <c r="A326" s="412"/>
      <c r="B326" s="413"/>
      <c r="C326" s="412"/>
      <c r="D326" s="412"/>
      <c r="E326" s="412"/>
      <c r="F326" s="412"/>
      <c r="G326" s="412"/>
      <c r="H326" s="412"/>
      <c r="I326" s="414"/>
    </row>
    <row r="327" spans="1:9">
      <c r="A327" s="412"/>
      <c r="B327" s="413"/>
      <c r="C327" s="412"/>
      <c r="D327" s="412"/>
      <c r="E327" s="412"/>
      <c r="F327" s="412"/>
      <c r="G327" s="412"/>
      <c r="H327" s="412"/>
      <c r="I327" s="414"/>
    </row>
    <row r="328" spans="1:9">
      <c r="A328" s="412"/>
      <c r="B328" s="413"/>
      <c r="C328" s="412"/>
      <c r="D328" s="412"/>
      <c r="E328" s="412"/>
      <c r="F328" s="412"/>
      <c r="G328" s="412"/>
      <c r="H328" s="412"/>
      <c r="I328" s="414"/>
    </row>
    <row r="329" spans="1:9">
      <c r="A329" s="412"/>
      <c r="B329" s="413"/>
      <c r="C329" s="412"/>
      <c r="D329" s="412"/>
      <c r="E329" s="412"/>
      <c r="F329" s="412"/>
      <c r="G329" s="412"/>
      <c r="H329" s="412"/>
      <c r="I329" s="414"/>
    </row>
    <row r="330" spans="1:9">
      <c r="A330" s="412"/>
      <c r="B330" s="413"/>
      <c r="C330" s="412"/>
      <c r="D330" s="412"/>
      <c r="E330" s="412"/>
      <c r="F330" s="412"/>
      <c r="G330" s="412"/>
      <c r="H330" s="412"/>
      <c r="I330" s="414"/>
    </row>
    <row r="331" spans="1:9">
      <c r="A331" s="412"/>
      <c r="B331" s="413"/>
      <c r="C331" s="412"/>
      <c r="D331" s="412"/>
      <c r="E331" s="412"/>
      <c r="F331" s="412"/>
      <c r="G331" s="412"/>
      <c r="H331" s="412"/>
      <c r="I331" s="414"/>
    </row>
    <row r="332" spans="1:9">
      <c r="A332" s="412"/>
      <c r="B332" s="413"/>
      <c r="C332" s="412"/>
      <c r="D332" s="412"/>
      <c r="E332" s="412"/>
      <c r="F332" s="412"/>
      <c r="G332" s="412"/>
      <c r="H332" s="412"/>
      <c r="I332" s="414"/>
    </row>
    <row r="333" spans="1:9">
      <c r="A333" s="412"/>
      <c r="B333" s="413"/>
      <c r="C333" s="412"/>
      <c r="D333" s="412"/>
      <c r="E333" s="412"/>
      <c r="F333" s="412"/>
      <c r="G333" s="412"/>
      <c r="H333" s="412"/>
      <c r="I333" s="414"/>
    </row>
    <row r="334" spans="1:9">
      <c r="A334" s="412"/>
      <c r="B334" s="413"/>
      <c r="C334" s="412"/>
      <c r="D334" s="412"/>
      <c r="E334" s="412"/>
      <c r="F334" s="412"/>
      <c r="G334" s="412"/>
      <c r="H334" s="412"/>
      <c r="I334" s="414"/>
    </row>
    <row r="335" spans="1:9">
      <c r="A335" s="412"/>
      <c r="B335" s="413"/>
      <c r="C335" s="412"/>
      <c r="D335" s="412"/>
      <c r="E335" s="412"/>
      <c r="F335" s="412"/>
      <c r="G335" s="412"/>
      <c r="H335" s="412"/>
      <c r="I335" s="414"/>
    </row>
    <row r="336" spans="1:9">
      <c r="A336" s="412"/>
      <c r="B336" s="413"/>
      <c r="C336" s="412"/>
      <c r="D336" s="412"/>
      <c r="E336" s="412"/>
      <c r="F336" s="412"/>
      <c r="G336" s="412"/>
      <c r="H336" s="412"/>
      <c r="I336" s="414"/>
    </row>
    <row r="337" spans="1:9">
      <c r="A337" s="412"/>
      <c r="B337" s="413"/>
      <c r="C337" s="412"/>
      <c r="D337" s="412"/>
      <c r="E337" s="412"/>
      <c r="F337" s="412"/>
      <c r="G337" s="412"/>
      <c r="H337" s="412"/>
      <c r="I337" s="414"/>
    </row>
    <row r="338" spans="1:9">
      <c r="A338" s="412"/>
      <c r="B338" s="413"/>
      <c r="C338" s="412"/>
      <c r="D338" s="412"/>
      <c r="E338" s="412"/>
      <c r="F338" s="412"/>
      <c r="G338" s="412"/>
      <c r="H338" s="412"/>
      <c r="I338" s="414"/>
    </row>
    <row r="339" spans="1:9">
      <c r="A339" s="412"/>
      <c r="B339" s="413"/>
      <c r="C339" s="412"/>
      <c r="D339" s="412"/>
      <c r="E339" s="412"/>
      <c r="F339" s="412"/>
      <c r="G339" s="412"/>
      <c r="H339" s="412"/>
      <c r="I339" s="414"/>
    </row>
    <row r="340" spans="1:9">
      <c r="A340" s="412"/>
      <c r="B340" s="413"/>
      <c r="C340" s="412"/>
      <c r="D340" s="412"/>
      <c r="E340" s="412"/>
      <c r="F340" s="412"/>
      <c r="G340" s="412"/>
      <c r="H340" s="412"/>
      <c r="I340" s="414"/>
    </row>
    <row r="341" spans="1:9">
      <c r="A341" s="412"/>
      <c r="B341" s="413"/>
      <c r="C341" s="412"/>
      <c r="D341" s="412"/>
      <c r="E341" s="412"/>
      <c r="F341" s="412"/>
      <c r="G341" s="412"/>
      <c r="H341" s="412"/>
      <c r="I341" s="414"/>
    </row>
    <row r="342" spans="1:9">
      <c r="A342" s="412"/>
      <c r="B342" s="413"/>
      <c r="C342" s="412"/>
      <c r="D342" s="412"/>
      <c r="E342" s="412"/>
      <c r="F342" s="412"/>
      <c r="G342" s="412"/>
      <c r="H342" s="412"/>
      <c r="I342" s="414"/>
    </row>
    <row r="343" spans="1:9">
      <c r="A343" s="412"/>
      <c r="B343" s="413"/>
      <c r="C343" s="412"/>
      <c r="D343" s="412"/>
      <c r="E343" s="412"/>
      <c r="F343" s="412"/>
      <c r="G343" s="412"/>
      <c r="H343" s="412"/>
      <c r="I343" s="414"/>
    </row>
    <row r="344" spans="1:9">
      <c r="A344" s="412"/>
      <c r="B344" s="413"/>
      <c r="C344" s="412"/>
      <c r="D344" s="412"/>
      <c r="E344" s="412"/>
      <c r="F344" s="412"/>
      <c r="G344" s="412"/>
      <c r="H344" s="412"/>
      <c r="I344" s="414"/>
    </row>
    <row r="345" spans="1:9">
      <c r="A345" s="412"/>
      <c r="B345" s="413"/>
      <c r="C345" s="412"/>
      <c r="D345" s="412"/>
      <c r="E345" s="412"/>
      <c r="F345" s="412"/>
      <c r="G345" s="412"/>
      <c r="H345" s="412"/>
      <c r="I345" s="414"/>
    </row>
    <row r="346" spans="1:9">
      <c r="A346" s="412"/>
      <c r="B346" s="413"/>
      <c r="C346" s="412"/>
      <c r="D346" s="412"/>
      <c r="E346" s="412"/>
      <c r="F346" s="412"/>
      <c r="G346" s="412"/>
      <c r="H346" s="412"/>
      <c r="I346" s="414"/>
    </row>
    <row r="347" spans="1:9">
      <c r="A347" s="412"/>
      <c r="B347" s="413"/>
      <c r="C347" s="412"/>
      <c r="D347" s="412"/>
      <c r="E347" s="412"/>
      <c r="F347" s="412"/>
      <c r="G347" s="412"/>
      <c r="H347" s="412"/>
      <c r="I347" s="414"/>
    </row>
    <row r="348" spans="1:9">
      <c r="A348" s="412"/>
      <c r="B348" s="413"/>
      <c r="C348" s="412"/>
      <c r="D348" s="412"/>
      <c r="E348" s="412"/>
      <c r="F348" s="412"/>
      <c r="G348" s="412"/>
      <c r="H348" s="412"/>
      <c r="I348" s="414"/>
    </row>
    <row r="349" spans="1:9">
      <c r="A349" s="412"/>
      <c r="B349" s="413"/>
      <c r="C349" s="412"/>
      <c r="D349" s="412"/>
      <c r="E349" s="412"/>
      <c r="F349" s="412"/>
      <c r="G349" s="412"/>
      <c r="H349" s="412"/>
      <c r="I349" s="414"/>
    </row>
    <row r="350" spans="1:9">
      <c r="A350" s="412"/>
      <c r="B350" s="413"/>
      <c r="C350" s="412"/>
      <c r="D350" s="412"/>
      <c r="E350" s="412"/>
      <c r="F350" s="412"/>
      <c r="G350" s="412"/>
      <c r="H350" s="412"/>
      <c r="I350" s="414"/>
    </row>
    <row r="351" spans="1:9">
      <c r="A351" s="412"/>
      <c r="B351" s="413"/>
      <c r="C351" s="412"/>
      <c r="D351" s="412"/>
      <c r="E351" s="412"/>
      <c r="F351" s="412"/>
      <c r="G351" s="412"/>
      <c r="H351" s="412"/>
      <c r="I351" s="414"/>
    </row>
    <row r="352" spans="1:9">
      <c r="A352" s="412"/>
      <c r="B352" s="413"/>
      <c r="C352" s="412"/>
      <c r="D352" s="412"/>
      <c r="E352" s="412"/>
      <c r="F352" s="412"/>
      <c r="G352" s="412"/>
      <c r="H352" s="412"/>
      <c r="I352" s="414"/>
    </row>
    <row r="353" spans="1:9">
      <c r="A353" s="412"/>
      <c r="B353" s="413"/>
      <c r="C353" s="412"/>
      <c r="D353" s="412"/>
      <c r="E353" s="412"/>
      <c r="F353" s="412"/>
      <c r="G353" s="412"/>
      <c r="H353" s="412"/>
      <c r="I353" s="414"/>
    </row>
    <row r="354" spans="1:9">
      <c r="A354" s="412"/>
      <c r="B354" s="413"/>
      <c r="C354" s="412"/>
      <c r="D354" s="412"/>
      <c r="E354" s="412"/>
      <c r="F354" s="412"/>
      <c r="G354" s="412"/>
      <c r="H354" s="412"/>
      <c r="I354" s="414"/>
    </row>
    <row r="355" spans="1:9">
      <c r="A355" s="412"/>
      <c r="B355" s="413"/>
      <c r="C355" s="412"/>
      <c r="D355" s="412"/>
      <c r="E355" s="412"/>
      <c r="F355" s="412"/>
      <c r="G355" s="412"/>
      <c r="H355" s="412"/>
      <c r="I355" s="414"/>
    </row>
    <row r="356" spans="1:9">
      <c r="A356" s="412"/>
      <c r="B356" s="413"/>
      <c r="C356" s="412"/>
      <c r="D356" s="412"/>
      <c r="E356" s="412"/>
      <c r="F356" s="412"/>
      <c r="G356" s="412"/>
      <c r="H356" s="412"/>
      <c r="I356" s="414"/>
    </row>
    <row r="357" spans="1:9">
      <c r="A357" s="412"/>
      <c r="B357" s="413"/>
      <c r="C357" s="412"/>
      <c r="D357" s="412"/>
      <c r="E357" s="412"/>
      <c r="F357" s="412"/>
      <c r="G357" s="412"/>
      <c r="H357" s="412"/>
      <c r="I357" s="414"/>
    </row>
    <row r="358" spans="1:9">
      <c r="A358" s="412"/>
      <c r="B358" s="413"/>
      <c r="C358" s="412"/>
      <c r="D358" s="412"/>
      <c r="E358" s="412"/>
      <c r="F358" s="412"/>
      <c r="G358" s="412"/>
      <c r="H358" s="412"/>
      <c r="I358" s="414"/>
    </row>
    <row r="359" spans="1:9">
      <c r="A359" s="412"/>
      <c r="B359" s="413"/>
      <c r="C359" s="412"/>
      <c r="D359" s="412"/>
      <c r="E359" s="412"/>
      <c r="F359" s="412"/>
      <c r="G359" s="412"/>
      <c r="H359" s="412"/>
      <c r="I359" s="414"/>
    </row>
    <row r="360" spans="1:9">
      <c r="A360" s="412"/>
      <c r="B360" s="413"/>
      <c r="C360" s="412"/>
      <c r="D360" s="412"/>
      <c r="E360" s="412"/>
      <c r="F360" s="412"/>
      <c r="G360" s="412"/>
      <c r="H360" s="412"/>
      <c r="I360" s="414"/>
    </row>
    <row r="361" spans="1:9">
      <c r="A361" s="412"/>
      <c r="B361" s="413"/>
      <c r="C361" s="412"/>
      <c r="D361" s="412"/>
      <c r="E361" s="412"/>
      <c r="F361" s="412"/>
      <c r="G361" s="412"/>
      <c r="H361" s="412"/>
      <c r="I361" s="414"/>
    </row>
    <row r="362" spans="1:9">
      <c r="A362" s="412"/>
      <c r="B362" s="413"/>
      <c r="C362" s="412"/>
      <c r="D362" s="412"/>
      <c r="E362" s="412"/>
      <c r="F362" s="412"/>
      <c r="G362" s="412"/>
      <c r="H362" s="412"/>
      <c r="I362" s="414"/>
    </row>
    <row r="363" spans="1:9">
      <c r="A363" s="412"/>
      <c r="B363" s="413"/>
      <c r="C363" s="412"/>
      <c r="D363" s="412"/>
      <c r="E363" s="412"/>
      <c r="F363" s="412"/>
      <c r="G363" s="412"/>
      <c r="H363" s="412"/>
      <c r="I363" s="414"/>
    </row>
    <row r="364" spans="1:9">
      <c r="A364" s="412"/>
      <c r="B364" s="413"/>
      <c r="C364" s="412"/>
      <c r="D364" s="412"/>
      <c r="E364" s="412"/>
      <c r="F364" s="412"/>
      <c r="G364" s="412"/>
      <c r="H364" s="412"/>
      <c r="I364" s="414"/>
    </row>
    <row r="365" spans="1:9">
      <c r="A365" s="412"/>
      <c r="B365" s="413"/>
      <c r="C365" s="412"/>
      <c r="D365" s="412"/>
      <c r="E365" s="412"/>
      <c r="F365" s="412"/>
      <c r="G365" s="412"/>
      <c r="H365" s="412"/>
      <c r="I365" s="414"/>
    </row>
    <row r="366" spans="1:9">
      <c r="A366" s="412"/>
      <c r="B366" s="413"/>
      <c r="C366" s="412"/>
      <c r="D366" s="412"/>
      <c r="E366" s="412"/>
      <c r="F366" s="412"/>
      <c r="G366" s="412"/>
      <c r="H366" s="412"/>
      <c r="I366" s="414"/>
    </row>
    <row r="367" spans="1:9">
      <c r="A367" s="412"/>
      <c r="B367" s="413"/>
      <c r="C367" s="412"/>
      <c r="D367" s="412"/>
      <c r="E367" s="412"/>
      <c r="F367" s="412"/>
      <c r="G367" s="412"/>
      <c r="H367" s="412"/>
      <c r="I367" s="414"/>
    </row>
    <row r="368" spans="1:9">
      <c r="A368" s="412"/>
      <c r="B368" s="413"/>
      <c r="C368" s="412"/>
      <c r="D368" s="412"/>
      <c r="E368" s="412"/>
      <c r="F368" s="412"/>
      <c r="G368" s="412"/>
      <c r="H368" s="412"/>
      <c r="I368" s="414"/>
    </row>
    <row r="369" spans="1:9">
      <c r="A369" s="412"/>
      <c r="B369" s="413"/>
      <c r="C369" s="412"/>
      <c r="D369" s="412"/>
      <c r="E369" s="412"/>
      <c r="F369" s="412"/>
      <c r="G369" s="412"/>
      <c r="H369" s="412"/>
      <c r="I369" s="414"/>
    </row>
    <row r="370" spans="1:9">
      <c r="A370" s="412"/>
      <c r="B370" s="413"/>
      <c r="C370" s="412"/>
      <c r="D370" s="412"/>
      <c r="E370" s="412"/>
      <c r="F370" s="412"/>
      <c r="G370" s="412"/>
      <c r="H370" s="412"/>
      <c r="I370" s="414"/>
    </row>
    <row r="371" spans="1:9">
      <c r="A371" s="412"/>
      <c r="B371" s="413"/>
      <c r="C371" s="412"/>
      <c r="D371" s="412"/>
      <c r="E371" s="412"/>
      <c r="F371" s="412"/>
      <c r="G371" s="412"/>
      <c r="H371" s="412"/>
      <c r="I371" s="414"/>
    </row>
    <row r="372" spans="1:9">
      <c r="A372" s="412"/>
      <c r="B372" s="413"/>
      <c r="C372" s="412"/>
      <c r="D372" s="412"/>
      <c r="E372" s="412"/>
      <c r="F372" s="412"/>
      <c r="G372" s="412"/>
      <c r="H372" s="412"/>
      <c r="I372" s="414"/>
    </row>
    <row r="373" spans="1:9">
      <c r="A373" s="412"/>
      <c r="B373" s="413"/>
      <c r="C373" s="412"/>
      <c r="D373" s="412"/>
      <c r="E373" s="412"/>
      <c r="F373" s="412"/>
      <c r="G373" s="412"/>
      <c r="H373" s="412"/>
      <c r="I373" s="414"/>
    </row>
    <row r="374" spans="1:9">
      <c r="A374" s="412"/>
      <c r="B374" s="413"/>
      <c r="C374" s="412"/>
      <c r="D374" s="412"/>
      <c r="E374" s="412"/>
      <c r="F374" s="412"/>
      <c r="G374" s="412"/>
      <c r="H374" s="412"/>
      <c r="I374" s="414"/>
    </row>
    <row r="375" spans="1:9">
      <c r="A375" s="412"/>
      <c r="B375" s="413"/>
      <c r="C375" s="412"/>
      <c r="D375" s="412"/>
      <c r="E375" s="412"/>
      <c r="F375" s="412"/>
      <c r="G375" s="412"/>
      <c r="H375" s="412"/>
      <c r="I375" s="414"/>
    </row>
    <row r="376" spans="1:9">
      <c r="A376" s="412"/>
      <c r="B376" s="413"/>
      <c r="C376" s="412"/>
      <c r="D376" s="412"/>
      <c r="E376" s="412"/>
      <c r="F376" s="412"/>
      <c r="G376" s="412"/>
      <c r="H376" s="412"/>
      <c r="I376" s="414"/>
    </row>
    <row r="377" spans="1:9">
      <c r="A377" s="412"/>
      <c r="B377" s="413"/>
      <c r="C377" s="412"/>
      <c r="D377" s="412"/>
      <c r="E377" s="412"/>
      <c r="F377" s="412"/>
      <c r="G377" s="412"/>
      <c r="H377" s="412"/>
      <c r="I377" s="414"/>
    </row>
    <row r="378" spans="1:9">
      <c r="A378" s="412"/>
      <c r="B378" s="413"/>
      <c r="C378" s="412"/>
      <c r="D378" s="412"/>
      <c r="E378" s="412"/>
      <c r="F378" s="412"/>
      <c r="G378" s="412"/>
      <c r="H378" s="412"/>
      <c r="I378" s="414"/>
    </row>
    <row r="379" spans="1:9">
      <c r="A379" s="412"/>
      <c r="B379" s="413"/>
      <c r="C379" s="412"/>
      <c r="D379" s="412"/>
      <c r="E379" s="412"/>
      <c r="F379" s="412"/>
      <c r="G379" s="412"/>
      <c r="H379" s="412"/>
      <c r="I379" s="414"/>
    </row>
    <row r="380" spans="1:9">
      <c r="A380" s="412"/>
      <c r="B380" s="413"/>
      <c r="C380" s="412"/>
      <c r="D380" s="412"/>
      <c r="E380" s="412"/>
      <c r="F380" s="412"/>
      <c r="G380" s="412"/>
      <c r="H380" s="412"/>
      <c r="I380" s="414"/>
    </row>
    <row r="381" spans="1:9">
      <c r="A381" s="412"/>
      <c r="B381" s="413"/>
      <c r="C381" s="412"/>
      <c r="D381" s="412"/>
      <c r="E381" s="412"/>
      <c r="F381" s="412"/>
      <c r="G381" s="412"/>
      <c r="H381" s="412"/>
      <c r="I381" s="414"/>
    </row>
    <row r="382" spans="1:9">
      <c r="A382" s="412"/>
      <c r="B382" s="413"/>
      <c r="C382" s="412"/>
      <c r="D382" s="412"/>
      <c r="E382" s="412"/>
      <c r="F382" s="412"/>
      <c r="G382" s="412"/>
      <c r="H382" s="412"/>
      <c r="I382" s="414"/>
    </row>
    <row r="383" spans="1:9">
      <c r="A383" s="412"/>
      <c r="B383" s="413"/>
      <c r="C383" s="412"/>
      <c r="D383" s="412"/>
      <c r="E383" s="412"/>
      <c r="F383" s="412"/>
      <c r="G383" s="412"/>
      <c r="H383" s="412"/>
      <c r="I383" s="414"/>
    </row>
    <row r="384" spans="1:9">
      <c r="A384" s="412"/>
      <c r="B384" s="413"/>
      <c r="C384" s="412"/>
      <c r="D384" s="412"/>
      <c r="E384" s="412"/>
      <c r="F384" s="412"/>
      <c r="G384" s="412"/>
      <c r="H384" s="412"/>
      <c r="I384" s="414"/>
    </row>
    <row r="385" spans="1:9">
      <c r="A385" s="412"/>
      <c r="B385" s="413"/>
      <c r="C385" s="412"/>
      <c r="D385" s="412"/>
      <c r="E385" s="412"/>
      <c r="F385" s="412"/>
      <c r="G385" s="412"/>
      <c r="H385" s="412"/>
      <c r="I385" s="414"/>
    </row>
    <row r="386" spans="1:9">
      <c r="A386" s="412"/>
      <c r="B386" s="413"/>
      <c r="C386" s="412"/>
      <c r="D386" s="412"/>
      <c r="E386" s="412"/>
      <c r="F386" s="412"/>
      <c r="G386" s="412"/>
      <c r="H386" s="412"/>
      <c r="I386" s="414"/>
    </row>
    <row r="387" spans="1:9">
      <c r="A387" s="412"/>
      <c r="B387" s="413"/>
      <c r="C387" s="412"/>
      <c r="D387" s="412"/>
      <c r="E387" s="412"/>
      <c r="F387" s="412"/>
      <c r="G387" s="412"/>
      <c r="H387" s="412"/>
      <c r="I387" s="414"/>
    </row>
    <row r="388" spans="1:9">
      <c r="A388" s="412"/>
      <c r="B388" s="413"/>
      <c r="C388" s="412"/>
      <c r="D388" s="412"/>
      <c r="E388" s="412"/>
      <c r="F388" s="412"/>
      <c r="G388" s="412"/>
      <c r="H388" s="412"/>
      <c r="I388" s="414"/>
    </row>
    <row r="389" spans="1:9">
      <c r="A389" s="412"/>
      <c r="B389" s="413"/>
      <c r="C389" s="412"/>
      <c r="D389" s="412"/>
      <c r="E389" s="412"/>
      <c r="F389" s="412"/>
      <c r="G389" s="412"/>
      <c r="H389" s="412"/>
      <c r="I389" s="414"/>
    </row>
    <row r="390" spans="1:9">
      <c r="A390" s="412"/>
      <c r="B390" s="413"/>
      <c r="C390" s="412"/>
      <c r="D390" s="412"/>
      <c r="E390" s="412"/>
      <c r="F390" s="412"/>
      <c r="G390" s="412"/>
      <c r="H390" s="412"/>
      <c r="I390" s="414"/>
    </row>
    <row r="391" spans="1:9">
      <c r="A391" s="412"/>
      <c r="B391" s="413"/>
      <c r="C391" s="412"/>
      <c r="D391" s="412"/>
      <c r="E391" s="412"/>
      <c r="F391" s="412"/>
      <c r="G391" s="412"/>
      <c r="H391" s="412"/>
      <c r="I391" s="414"/>
    </row>
    <row r="392" spans="1:9">
      <c r="A392" s="412"/>
      <c r="B392" s="413"/>
      <c r="C392" s="412"/>
      <c r="D392" s="412"/>
      <c r="E392" s="412"/>
      <c r="F392" s="412"/>
      <c r="G392" s="412"/>
      <c r="H392" s="412"/>
      <c r="I392" s="414"/>
    </row>
    <row r="393" spans="1:9">
      <c r="A393" s="412"/>
      <c r="B393" s="413"/>
      <c r="C393" s="412"/>
      <c r="D393" s="412"/>
      <c r="E393" s="412"/>
      <c r="F393" s="412"/>
      <c r="G393" s="412"/>
      <c r="H393" s="412"/>
      <c r="I393" s="414"/>
    </row>
    <row r="394" spans="1:9">
      <c r="A394" s="412"/>
      <c r="B394" s="413"/>
      <c r="C394" s="412"/>
      <c r="D394" s="412"/>
      <c r="E394" s="412"/>
      <c r="F394" s="412"/>
      <c r="G394" s="412"/>
      <c r="H394" s="412"/>
      <c r="I394" s="414"/>
    </row>
    <row r="395" spans="1:9">
      <c r="A395" s="412"/>
      <c r="B395" s="413"/>
      <c r="C395" s="412"/>
      <c r="D395" s="412"/>
      <c r="E395" s="412"/>
      <c r="F395" s="412"/>
      <c r="G395" s="412"/>
      <c r="H395" s="412"/>
      <c r="I395" s="414"/>
    </row>
    <row r="396" spans="1:9">
      <c r="A396" s="412"/>
      <c r="B396" s="413"/>
      <c r="C396" s="412"/>
      <c r="D396" s="412"/>
      <c r="E396" s="412"/>
      <c r="F396" s="412"/>
      <c r="G396" s="412"/>
      <c r="H396" s="412"/>
      <c r="I396" s="414"/>
    </row>
    <row r="397" spans="1:9">
      <c r="A397" s="412"/>
      <c r="B397" s="413"/>
      <c r="C397" s="412"/>
      <c r="D397" s="412"/>
      <c r="E397" s="412"/>
      <c r="F397" s="412"/>
      <c r="G397" s="412"/>
      <c r="H397" s="412"/>
      <c r="I397" s="414"/>
    </row>
    <row r="398" spans="1:9">
      <c r="A398" s="412"/>
      <c r="B398" s="413"/>
      <c r="C398" s="412"/>
      <c r="D398" s="412"/>
      <c r="E398" s="412"/>
      <c r="F398" s="412"/>
      <c r="G398" s="412"/>
      <c r="H398" s="412"/>
      <c r="I398" s="414"/>
    </row>
    <row r="399" spans="1:9">
      <c r="A399" s="412"/>
      <c r="B399" s="413"/>
      <c r="C399" s="412"/>
      <c r="D399" s="412"/>
      <c r="E399" s="412"/>
      <c r="F399" s="412"/>
      <c r="G399" s="412"/>
      <c r="H399" s="412"/>
      <c r="I399" s="414"/>
    </row>
    <row r="400" spans="1:9">
      <c r="A400" s="412"/>
      <c r="B400" s="413"/>
      <c r="C400" s="412"/>
      <c r="D400" s="412"/>
      <c r="E400" s="412"/>
      <c r="F400" s="412"/>
      <c r="G400" s="412"/>
      <c r="H400" s="412"/>
      <c r="I400" s="414"/>
    </row>
    <row r="401" spans="1:9">
      <c r="A401" s="412"/>
      <c r="B401" s="413"/>
      <c r="C401" s="412"/>
      <c r="D401" s="412"/>
      <c r="E401" s="412"/>
      <c r="F401" s="412"/>
      <c r="G401" s="412"/>
      <c r="H401" s="412"/>
      <c r="I401" s="414"/>
    </row>
    <row r="402" spans="1:9">
      <c r="A402" s="412"/>
      <c r="B402" s="413"/>
      <c r="C402" s="412"/>
      <c r="D402" s="412"/>
      <c r="E402" s="412"/>
      <c r="F402" s="412"/>
      <c r="G402" s="412"/>
      <c r="H402" s="412"/>
      <c r="I402" s="414"/>
    </row>
    <row r="403" spans="1:9">
      <c r="A403" s="412"/>
      <c r="B403" s="413"/>
      <c r="C403" s="412"/>
      <c r="D403" s="412"/>
      <c r="E403" s="412"/>
      <c r="F403" s="412"/>
      <c r="G403" s="412"/>
      <c r="H403" s="412"/>
      <c r="I403" s="414"/>
    </row>
    <row r="404" spans="1:9">
      <c r="A404" s="412"/>
      <c r="B404" s="413"/>
      <c r="C404" s="412"/>
      <c r="D404" s="412"/>
      <c r="E404" s="412"/>
      <c r="F404" s="412"/>
      <c r="G404" s="412"/>
      <c r="H404" s="412"/>
      <c r="I404" s="414"/>
    </row>
    <row r="405" spans="1:9">
      <c r="A405" s="412"/>
      <c r="B405" s="413"/>
      <c r="C405" s="412"/>
      <c r="D405" s="412"/>
      <c r="E405" s="412"/>
      <c r="F405" s="412"/>
      <c r="G405" s="412"/>
      <c r="H405" s="412"/>
      <c r="I405" s="414"/>
    </row>
    <row r="406" spans="1:9">
      <c r="A406" s="412"/>
      <c r="B406" s="413"/>
      <c r="C406" s="412"/>
      <c r="D406" s="412"/>
      <c r="E406" s="412"/>
      <c r="F406" s="412"/>
      <c r="G406" s="412"/>
      <c r="H406" s="412"/>
      <c r="I406" s="414"/>
    </row>
    <row r="407" spans="1:9">
      <c r="A407" s="412"/>
      <c r="B407" s="413"/>
      <c r="C407" s="412"/>
      <c r="D407" s="412"/>
      <c r="E407" s="412"/>
      <c r="F407" s="412"/>
      <c r="G407" s="412"/>
      <c r="H407" s="412"/>
      <c r="I407" s="414"/>
    </row>
    <row r="408" spans="1:9">
      <c r="A408" s="412"/>
      <c r="B408" s="413"/>
      <c r="C408" s="412"/>
      <c r="D408" s="412"/>
      <c r="E408" s="412"/>
      <c r="F408" s="412"/>
      <c r="G408" s="412"/>
      <c r="H408" s="412"/>
      <c r="I408" s="414"/>
    </row>
    <row r="409" spans="1:9">
      <c r="A409" s="412"/>
      <c r="B409" s="413"/>
      <c r="C409" s="412"/>
      <c r="D409" s="412"/>
      <c r="E409" s="412"/>
      <c r="F409" s="412"/>
      <c r="G409" s="412"/>
      <c r="H409" s="412"/>
      <c r="I409" s="414"/>
    </row>
    <row r="410" spans="1:9">
      <c r="A410" s="412"/>
      <c r="B410" s="413"/>
      <c r="C410" s="412"/>
      <c r="D410" s="412"/>
      <c r="E410" s="412"/>
      <c r="F410" s="412"/>
      <c r="G410" s="412"/>
      <c r="H410" s="412"/>
      <c r="I410" s="414"/>
    </row>
    <row r="411" spans="1:9">
      <c r="A411" s="412"/>
      <c r="B411" s="413"/>
      <c r="C411" s="412"/>
      <c r="D411" s="412"/>
      <c r="E411" s="412"/>
      <c r="F411" s="412"/>
      <c r="G411" s="412"/>
      <c r="H411" s="412"/>
      <c r="I411" s="414"/>
    </row>
    <row r="412" spans="1:9">
      <c r="A412" s="412"/>
      <c r="B412" s="413"/>
      <c r="C412" s="412"/>
      <c r="D412" s="412"/>
      <c r="E412" s="412"/>
      <c r="F412" s="412"/>
      <c r="G412" s="412"/>
      <c r="H412" s="412"/>
      <c r="I412" s="414"/>
    </row>
    <row r="413" spans="1:9">
      <c r="A413" s="412"/>
      <c r="B413" s="413"/>
      <c r="C413" s="412"/>
      <c r="D413" s="412"/>
      <c r="E413" s="412"/>
      <c r="F413" s="412"/>
      <c r="G413" s="412"/>
      <c r="H413" s="412"/>
      <c r="I413" s="414"/>
    </row>
    <row r="414" spans="1:9">
      <c r="A414" s="412"/>
      <c r="B414" s="413"/>
      <c r="C414" s="412"/>
      <c r="D414" s="412"/>
      <c r="E414" s="412"/>
      <c r="F414" s="412"/>
      <c r="G414" s="412"/>
      <c r="H414" s="412"/>
      <c r="I414" s="414"/>
    </row>
    <row r="415" spans="1:9">
      <c r="A415" s="412"/>
      <c r="B415" s="413"/>
      <c r="C415" s="412"/>
      <c r="D415" s="412"/>
      <c r="E415" s="412"/>
      <c r="F415" s="412"/>
      <c r="G415" s="412"/>
      <c r="H415" s="412"/>
      <c r="I415" s="414"/>
    </row>
    <row r="416" spans="1:9">
      <c r="A416" s="412"/>
      <c r="B416" s="413"/>
      <c r="C416" s="412"/>
      <c r="D416" s="412"/>
      <c r="E416" s="412"/>
      <c r="F416" s="412"/>
      <c r="G416" s="412"/>
      <c r="H416" s="412"/>
      <c r="I416" s="414"/>
    </row>
    <row r="417" spans="1:9">
      <c r="A417" s="412"/>
      <c r="B417" s="413"/>
      <c r="C417" s="412"/>
      <c r="D417" s="412"/>
      <c r="E417" s="412"/>
      <c r="F417" s="412"/>
      <c r="G417" s="412"/>
      <c r="H417" s="412"/>
      <c r="I417" s="414"/>
    </row>
    <row r="418" spans="1:9">
      <c r="A418" s="412"/>
      <c r="B418" s="413"/>
      <c r="C418" s="412"/>
      <c r="D418" s="412"/>
      <c r="E418" s="412"/>
      <c r="F418" s="412"/>
      <c r="G418" s="412"/>
      <c r="H418" s="412"/>
      <c r="I418" s="414"/>
    </row>
    <row r="419" spans="1:9">
      <c r="A419" s="412"/>
      <c r="B419" s="413"/>
      <c r="C419" s="412"/>
      <c r="D419" s="412"/>
      <c r="E419" s="412"/>
      <c r="F419" s="412"/>
      <c r="G419" s="412"/>
      <c r="H419" s="412"/>
      <c r="I419" s="414"/>
    </row>
    <row r="420" spans="1:9">
      <c r="A420" s="412"/>
      <c r="B420" s="413"/>
      <c r="C420" s="412"/>
      <c r="D420" s="412"/>
      <c r="E420" s="412"/>
      <c r="F420" s="412"/>
      <c r="G420" s="412"/>
      <c r="H420" s="412"/>
      <c r="I420" s="414"/>
    </row>
    <row r="421" spans="1:9">
      <c r="A421" s="412"/>
      <c r="B421" s="413"/>
      <c r="C421" s="412"/>
      <c r="D421" s="412"/>
      <c r="E421" s="412"/>
      <c r="F421" s="412"/>
      <c r="G421" s="412"/>
      <c r="H421" s="412"/>
      <c r="I421" s="414"/>
    </row>
    <row r="422" spans="1:9">
      <c r="A422" s="412"/>
      <c r="B422" s="413"/>
      <c r="C422" s="412"/>
      <c r="D422" s="412"/>
      <c r="E422" s="412"/>
      <c r="F422" s="412"/>
      <c r="G422" s="412"/>
      <c r="H422" s="412"/>
      <c r="I422" s="414"/>
    </row>
    <row r="423" spans="1:9">
      <c r="A423" s="412"/>
      <c r="B423" s="413"/>
      <c r="C423" s="412"/>
      <c r="D423" s="412"/>
      <c r="E423" s="412"/>
      <c r="F423" s="412"/>
      <c r="G423" s="412"/>
      <c r="H423" s="412"/>
      <c r="I423" s="414"/>
    </row>
    <row r="424" spans="1:9">
      <c r="A424" s="412"/>
      <c r="B424" s="413"/>
      <c r="C424" s="412"/>
      <c r="D424" s="412"/>
      <c r="E424" s="412"/>
      <c r="F424" s="412"/>
      <c r="G424" s="412"/>
      <c r="H424" s="412"/>
      <c r="I424" s="414"/>
    </row>
    <row r="425" spans="1:9">
      <c r="A425" s="412"/>
      <c r="B425" s="413"/>
      <c r="C425" s="412"/>
      <c r="D425" s="412"/>
      <c r="E425" s="412"/>
      <c r="F425" s="412"/>
      <c r="G425" s="412"/>
      <c r="H425" s="412"/>
      <c r="I425" s="414"/>
    </row>
    <row r="426" spans="1:9">
      <c r="A426" s="412"/>
      <c r="B426" s="413"/>
      <c r="C426" s="412"/>
      <c r="D426" s="412"/>
      <c r="E426" s="412"/>
      <c r="F426" s="412"/>
      <c r="G426" s="412"/>
      <c r="H426" s="412"/>
      <c r="I426" s="414"/>
    </row>
    <row r="427" spans="1:9">
      <c r="A427" s="412"/>
      <c r="B427" s="413"/>
      <c r="C427" s="412"/>
      <c r="D427" s="412"/>
      <c r="E427" s="412"/>
      <c r="F427" s="412"/>
      <c r="G427" s="412"/>
      <c r="H427" s="412"/>
      <c r="I427" s="414"/>
    </row>
    <row r="428" spans="1:9">
      <c r="A428" s="412"/>
      <c r="B428" s="413"/>
      <c r="C428" s="412"/>
      <c r="D428" s="412"/>
      <c r="E428" s="412"/>
      <c r="F428" s="412"/>
      <c r="G428" s="412"/>
      <c r="H428" s="412"/>
      <c r="I428" s="414"/>
    </row>
    <row r="429" spans="1:9">
      <c r="A429" s="412"/>
      <c r="B429" s="413"/>
      <c r="C429" s="412"/>
      <c r="D429" s="412"/>
      <c r="E429" s="412"/>
      <c r="F429" s="412"/>
      <c r="G429" s="412"/>
      <c r="H429" s="412"/>
      <c r="I429" s="414"/>
    </row>
    <row r="430" spans="1:9">
      <c r="A430" s="412"/>
      <c r="B430" s="413"/>
      <c r="C430" s="412"/>
      <c r="D430" s="412"/>
      <c r="E430" s="412"/>
      <c r="F430" s="412"/>
      <c r="G430" s="412"/>
      <c r="H430" s="412"/>
      <c r="I430" s="414"/>
    </row>
    <row r="431" spans="1:9">
      <c r="A431" s="412"/>
      <c r="B431" s="413"/>
      <c r="C431" s="412"/>
      <c r="D431" s="412"/>
      <c r="E431" s="412"/>
      <c r="F431" s="412"/>
      <c r="G431" s="412"/>
      <c r="H431" s="412"/>
      <c r="I431" s="414"/>
    </row>
    <row r="432" spans="1:9">
      <c r="A432" s="412"/>
      <c r="B432" s="413"/>
      <c r="C432" s="412"/>
      <c r="D432" s="412"/>
      <c r="E432" s="412"/>
      <c r="F432" s="412"/>
      <c r="G432" s="412"/>
      <c r="H432" s="412"/>
      <c r="I432" s="414"/>
    </row>
    <row r="433" spans="1:9">
      <c r="A433" s="412"/>
      <c r="B433" s="413"/>
      <c r="C433" s="412"/>
      <c r="D433" s="412"/>
      <c r="E433" s="412"/>
      <c r="F433" s="412"/>
      <c r="G433" s="412"/>
      <c r="H433" s="412"/>
      <c r="I433" s="414"/>
    </row>
    <row r="434" spans="1:9">
      <c r="A434" s="412"/>
      <c r="B434" s="413"/>
      <c r="C434" s="412"/>
      <c r="D434" s="412"/>
      <c r="E434" s="412"/>
      <c r="F434" s="412"/>
      <c r="G434" s="412"/>
      <c r="H434" s="412"/>
      <c r="I434" s="414"/>
    </row>
    <row r="435" spans="1:9">
      <c r="A435" s="412"/>
      <c r="B435" s="413"/>
      <c r="C435" s="412"/>
      <c r="D435" s="412"/>
      <c r="E435" s="412"/>
      <c r="F435" s="412"/>
      <c r="G435" s="412"/>
      <c r="H435" s="412"/>
      <c r="I435" s="414"/>
    </row>
    <row r="436" spans="1:9">
      <c r="A436" s="412"/>
      <c r="B436" s="413"/>
      <c r="C436" s="412"/>
      <c r="D436" s="412"/>
      <c r="E436" s="412"/>
      <c r="F436" s="412"/>
      <c r="G436" s="412"/>
      <c r="H436" s="412"/>
      <c r="I436" s="414"/>
    </row>
    <row r="437" spans="1:9">
      <c r="A437" s="412"/>
      <c r="B437" s="413"/>
      <c r="C437" s="412"/>
      <c r="D437" s="412"/>
      <c r="E437" s="412"/>
      <c r="F437" s="412"/>
      <c r="G437" s="412"/>
      <c r="H437" s="412"/>
      <c r="I437" s="414"/>
    </row>
    <row r="438" spans="1:9">
      <c r="A438" s="412"/>
      <c r="B438" s="413"/>
      <c r="C438" s="412"/>
      <c r="D438" s="412"/>
      <c r="E438" s="412"/>
      <c r="F438" s="412"/>
      <c r="G438" s="412"/>
      <c r="H438" s="412"/>
      <c r="I438" s="414"/>
    </row>
    <row r="439" spans="1:9">
      <c r="A439" s="412"/>
      <c r="B439" s="413"/>
      <c r="C439" s="412"/>
      <c r="D439" s="412"/>
      <c r="E439" s="412"/>
      <c r="F439" s="412"/>
      <c r="G439" s="412"/>
      <c r="H439" s="412"/>
      <c r="I439" s="414"/>
    </row>
    <row r="440" spans="1:9">
      <c r="A440" s="412"/>
      <c r="B440" s="413"/>
      <c r="C440" s="412"/>
      <c r="D440" s="412"/>
      <c r="E440" s="412"/>
      <c r="F440" s="412"/>
      <c r="G440" s="412"/>
      <c r="H440" s="412"/>
      <c r="I440" s="414"/>
    </row>
    <row r="441" spans="1:9">
      <c r="A441" s="412"/>
      <c r="B441" s="413"/>
      <c r="C441" s="412"/>
      <c r="D441" s="412"/>
      <c r="E441" s="412"/>
      <c r="F441" s="412"/>
      <c r="G441" s="412"/>
      <c r="H441" s="412"/>
      <c r="I441" s="414"/>
    </row>
    <row r="442" spans="1:9">
      <c r="A442" s="412"/>
      <c r="B442" s="413"/>
      <c r="C442" s="412"/>
      <c r="D442" s="412"/>
      <c r="E442" s="412"/>
      <c r="F442" s="412"/>
      <c r="G442" s="412"/>
      <c r="H442" s="412"/>
      <c r="I442" s="414"/>
    </row>
    <row r="443" spans="1:9">
      <c r="A443" s="412"/>
      <c r="B443" s="413"/>
      <c r="C443" s="412"/>
      <c r="D443" s="412"/>
      <c r="E443" s="412"/>
      <c r="F443" s="412"/>
      <c r="G443" s="412"/>
      <c r="H443" s="412"/>
      <c r="I443" s="414"/>
    </row>
    <row r="444" spans="1:9">
      <c r="A444" s="412"/>
      <c r="B444" s="413"/>
      <c r="C444" s="412"/>
      <c r="D444" s="412"/>
      <c r="E444" s="412"/>
      <c r="F444" s="412"/>
      <c r="G444" s="412"/>
      <c r="H444" s="412"/>
      <c r="I444" s="414"/>
    </row>
    <row r="445" spans="1:9">
      <c r="A445" s="412"/>
      <c r="B445" s="413"/>
      <c r="C445" s="412"/>
      <c r="D445" s="412"/>
      <c r="E445" s="412"/>
      <c r="F445" s="412"/>
      <c r="G445" s="412"/>
      <c r="H445" s="412"/>
      <c r="I445" s="414"/>
    </row>
    <row r="446" spans="1:9">
      <c r="A446" s="412"/>
      <c r="B446" s="413"/>
      <c r="C446" s="412"/>
      <c r="D446" s="412"/>
      <c r="E446" s="412"/>
      <c r="F446" s="412"/>
      <c r="G446" s="412"/>
      <c r="H446" s="412"/>
      <c r="I446" s="414"/>
    </row>
    <row r="447" spans="1:9">
      <c r="A447" s="412"/>
      <c r="B447" s="413"/>
      <c r="C447" s="412"/>
      <c r="D447" s="412"/>
      <c r="E447" s="412"/>
      <c r="F447" s="412"/>
      <c r="G447" s="412"/>
      <c r="H447" s="412"/>
      <c r="I447" s="414"/>
    </row>
    <row r="448" spans="1:9">
      <c r="A448" s="412"/>
      <c r="B448" s="413"/>
      <c r="C448" s="412"/>
      <c r="D448" s="412"/>
      <c r="E448" s="412"/>
      <c r="F448" s="412"/>
      <c r="G448" s="412"/>
      <c r="H448" s="412"/>
      <c r="I448" s="414"/>
    </row>
    <row r="449" spans="1:9">
      <c r="A449" s="412"/>
      <c r="B449" s="413"/>
      <c r="C449" s="412"/>
      <c r="D449" s="412"/>
      <c r="E449" s="412"/>
      <c r="F449" s="412"/>
      <c r="G449" s="412"/>
      <c r="H449" s="412"/>
      <c r="I449" s="414"/>
    </row>
    <row r="450" spans="1:9">
      <c r="A450" s="412"/>
      <c r="B450" s="413"/>
      <c r="C450" s="412"/>
      <c r="D450" s="412"/>
      <c r="E450" s="412"/>
      <c r="F450" s="412"/>
      <c r="G450" s="412"/>
      <c r="H450" s="412"/>
      <c r="I450" s="414"/>
    </row>
    <row r="451" spans="1:9">
      <c r="A451" s="412"/>
      <c r="B451" s="413"/>
      <c r="C451" s="412"/>
      <c r="D451" s="412"/>
      <c r="E451" s="412"/>
      <c r="F451" s="412"/>
      <c r="G451" s="412"/>
      <c r="H451" s="412"/>
      <c r="I451" s="414"/>
    </row>
    <row r="452" spans="1:9">
      <c r="A452" s="412"/>
      <c r="B452" s="413"/>
      <c r="C452" s="412"/>
      <c r="D452" s="412"/>
      <c r="E452" s="412"/>
      <c r="F452" s="412"/>
      <c r="G452" s="412"/>
      <c r="H452" s="412"/>
      <c r="I452" s="414"/>
    </row>
    <row r="453" spans="1:9">
      <c r="A453" s="412"/>
      <c r="B453" s="413"/>
      <c r="C453" s="412"/>
      <c r="D453" s="412"/>
      <c r="E453" s="412"/>
      <c r="F453" s="412"/>
      <c r="G453" s="412"/>
      <c r="H453" s="412"/>
      <c r="I453" s="414"/>
    </row>
    <row r="454" spans="1:9">
      <c r="A454" s="412"/>
      <c r="B454" s="413"/>
      <c r="C454" s="412"/>
      <c r="D454" s="412"/>
      <c r="E454" s="412"/>
      <c r="F454" s="412"/>
      <c r="G454" s="412"/>
      <c r="H454" s="412"/>
      <c r="I454" s="414"/>
    </row>
    <row r="455" spans="1:9">
      <c r="A455" s="412"/>
      <c r="B455" s="413"/>
      <c r="C455" s="412"/>
      <c r="D455" s="412"/>
      <c r="E455" s="412"/>
      <c r="F455" s="412"/>
      <c r="G455" s="412"/>
      <c r="H455" s="412"/>
      <c r="I455" s="414"/>
    </row>
    <row r="456" spans="1:9">
      <c r="A456" s="412"/>
      <c r="B456" s="413"/>
      <c r="C456" s="412"/>
      <c r="D456" s="412"/>
      <c r="E456" s="412"/>
      <c r="F456" s="412"/>
      <c r="G456" s="412"/>
      <c r="H456" s="412"/>
      <c r="I456" s="414"/>
    </row>
    <row r="457" spans="1:9">
      <c r="A457" s="412"/>
      <c r="B457" s="413"/>
      <c r="C457" s="412"/>
      <c r="D457" s="412"/>
      <c r="E457" s="412"/>
      <c r="F457" s="412"/>
      <c r="G457" s="412"/>
      <c r="H457" s="412"/>
      <c r="I457" s="414"/>
    </row>
    <row r="458" spans="1:9">
      <c r="A458" s="412"/>
      <c r="B458" s="413"/>
      <c r="C458" s="412"/>
      <c r="D458" s="412"/>
      <c r="E458" s="412"/>
      <c r="F458" s="412"/>
      <c r="G458" s="412"/>
      <c r="H458" s="412"/>
      <c r="I458" s="414"/>
    </row>
    <row r="459" spans="1:9">
      <c r="A459" s="412"/>
      <c r="B459" s="413"/>
      <c r="C459" s="412"/>
      <c r="D459" s="412"/>
      <c r="E459" s="412"/>
      <c r="F459" s="412"/>
      <c r="G459" s="412"/>
      <c r="H459" s="412"/>
      <c r="I459" s="414"/>
    </row>
    <row r="460" spans="1:9">
      <c r="A460" s="412"/>
      <c r="B460" s="413"/>
      <c r="C460" s="412"/>
      <c r="D460" s="412"/>
      <c r="E460" s="412"/>
      <c r="F460" s="412"/>
      <c r="G460" s="412"/>
      <c r="H460" s="412"/>
      <c r="I460" s="414"/>
    </row>
    <row r="461" spans="1:9">
      <c r="A461" s="412"/>
      <c r="B461" s="413"/>
      <c r="C461" s="412"/>
      <c r="D461" s="412"/>
      <c r="E461" s="412"/>
      <c r="F461" s="412"/>
      <c r="G461" s="412"/>
      <c r="H461" s="412"/>
      <c r="I461" s="414"/>
    </row>
    <row r="462" spans="1:9">
      <c r="A462" s="412"/>
      <c r="B462" s="413"/>
      <c r="C462" s="412"/>
      <c r="D462" s="412"/>
      <c r="E462" s="412"/>
      <c r="F462" s="412"/>
      <c r="G462" s="412"/>
      <c r="H462" s="412"/>
      <c r="I462" s="414"/>
    </row>
    <row r="463" spans="1:9">
      <c r="A463" s="412"/>
      <c r="B463" s="413"/>
      <c r="C463" s="412"/>
      <c r="D463" s="412"/>
      <c r="E463" s="412"/>
      <c r="F463" s="412"/>
      <c r="G463" s="412"/>
      <c r="H463" s="412"/>
      <c r="I463" s="414"/>
    </row>
    <row r="464" spans="1:9">
      <c r="A464" s="412"/>
      <c r="B464" s="413"/>
      <c r="C464" s="412"/>
      <c r="D464" s="412"/>
      <c r="E464" s="412"/>
      <c r="F464" s="412"/>
      <c r="G464" s="412"/>
      <c r="H464" s="412"/>
      <c r="I464" s="414"/>
    </row>
    <row r="465" spans="1:9">
      <c r="A465" s="412"/>
      <c r="B465" s="413"/>
      <c r="C465" s="412"/>
      <c r="D465" s="412"/>
      <c r="E465" s="412"/>
      <c r="F465" s="412"/>
      <c r="G465" s="412"/>
      <c r="H465" s="412"/>
      <c r="I465" s="414"/>
    </row>
    <row r="466" spans="1:9">
      <c r="A466" s="412"/>
      <c r="B466" s="413"/>
      <c r="C466" s="412"/>
      <c r="D466" s="412"/>
      <c r="E466" s="412"/>
      <c r="F466" s="412"/>
      <c r="G466" s="412"/>
      <c r="H466" s="412"/>
      <c r="I466" s="414"/>
    </row>
    <row r="467" spans="1:9">
      <c r="A467" s="412"/>
      <c r="B467" s="413"/>
      <c r="C467" s="412"/>
      <c r="D467" s="412"/>
      <c r="E467" s="412"/>
      <c r="F467" s="412"/>
      <c r="G467" s="412"/>
      <c r="H467" s="412"/>
      <c r="I467" s="414"/>
    </row>
    <row r="468" spans="1:9">
      <c r="A468" s="412"/>
      <c r="B468" s="413"/>
      <c r="C468" s="412"/>
      <c r="D468" s="412"/>
      <c r="E468" s="412"/>
      <c r="F468" s="412"/>
      <c r="G468" s="412"/>
      <c r="H468" s="412"/>
      <c r="I468" s="414"/>
    </row>
    <row r="469" spans="1:9">
      <c r="A469" s="412"/>
      <c r="B469" s="413"/>
      <c r="C469" s="412"/>
      <c r="D469" s="412"/>
      <c r="E469" s="412"/>
      <c r="F469" s="412"/>
      <c r="G469" s="412"/>
      <c r="H469" s="412"/>
      <c r="I469" s="414"/>
    </row>
    <row r="470" spans="1:9">
      <c r="A470" s="412"/>
      <c r="B470" s="413"/>
      <c r="C470" s="412"/>
      <c r="D470" s="412"/>
      <c r="E470" s="412"/>
      <c r="F470" s="412"/>
      <c r="G470" s="412"/>
      <c r="H470" s="412"/>
      <c r="I470" s="414"/>
    </row>
    <row r="471" spans="1:9">
      <c r="A471" s="412"/>
      <c r="B471" s="413"/>
      <c r="C471" s="412"/>
      <c r="D471" s="412"/>
      <c r="E471" s="412"/>
      <c r="F471" s="412"/>
      <c r="G471" s="412"/>
      <c r="H471" s="412"/>
      <c r="I471" s="414"/>
    </row>
    <row r="472" spans="1:9">
      <c r="A472" s="412"/>
      <c r="B472" s="413"/>
      <c r="C472" s="412"/>
      <c r="D472" s="412"/>
      <c r="E472" s="412"/>
      <c r="F472" s="412"/>
      <c r="G472" s="412"/>
      <c r="H472" s="412"/>
      <c r="I472" s="414"/>
    </row>
    <row r="473" spans="1:9">
      <c r="A473" s="412"/>
      <c r="B473" s="413"/>
      <c r="C473" s="412"/>
      <c r="D473" s="412"/>
      <c r="E473" s="412"/>
      <c r="F473" s="412"/>
      <c r="G473" s="412"/>
      <c r="H473" s="412"/>
      <c r="I473" s="414"/>
    </row>
    <row r="474" spans="1:9">
      <c r="A474" s="412"/>
      <c r="B474" s="413"/>
      <c r="C474" s="412"/>
      <c r="D474" s="412"/>
      <c r="E474" s="412"/>
      <c r="F474" s="412"/>
      <c r="G474" s="412"/>
      <c r="H474" s="412"/>
      <c r="I474" s="414"/>
    </row>
    <row r="475" spans="1:9">
      <c r="A475" s="412"/>
      <c r="B475" s="413"/>
      <c r="C475" s="412"/>
      <c r="D475" s="412"/>
      <c r="E475" s="412"/>
      <c r="F475" s="412"/>
      <c r="G475" s="412"/>
      <c r="H475" s="412"/>
      <c r="I475" s="414"/>
    </row>
    <row r="476" spans="1:9">
      <c r="A476" s="412"/>
      <c r="B476" s="413"/>
      <c r="C476" s="412"/>
      <c r="D476" s="412"/>
      <c r="E476" s="412"/>
      <c r="F476" s="412"/>
      <c r="G476" s="412"/>
      <c r="H476" s="412"/>
      <c r="I476" s="414"/>
    </row>
    <row r="477" spans="1:9">
      <c r="A477" s="412"/>
      <c r="B477" s="413"/>
      <c r="C477" s="412"/>
      <c r="D477" s="412"/>
      <c r="E477" s="412"/>
      <c r="F477" s="412"/>
      <c r="G477" s="412"/>
      <c r="H477" s="412"/>
      <c r="I477" s="414"/>
    </row>
    <row r="478" spans="1:9">
      <c r="A478" s="412"/>
      <c r="B478" s="413"/>
      <c r="C478" s="412"/>
      <c r="D478" s="412"/>
      <c r="E478" s="412"/>
      <c r="F478" s="412"/>
      <c r="G478" s="412"/>
      <c r="H478" s="412"/>
      <c r="I478" s="414"/>
    </row>
    <row r="479" spans="1:9">
      <c r="A479" s="412"/>
      <c r="B479" s="413"/>
      <c r="C479" s="412"/>
      <c r="D479" s="412"/>
      <c r="E479" s="412"/>
      <c r="F479" s="412"/>
      <c r="G479" s="412"/>
      <c r="H479" s="412"/>
      <c r="I479" s="414"/>
    </row>
    <row r="480" spans="1:9">
      <c r="A480" s="412"/>
      <c r="B480" s="413"/>
      <c r="C480" s="412"/>
      <c r="D480" s="412"/>
      <c r="E480" s="412"/>
      <c r="F480" s="412"/>
      <c r="G480" s="412"/>
      <c r="H480" s="412"/>
      <c r="I480" s="414"/>
    </row>
    <row r="481" spans="1:9">
      <c r="A481" s="412"/>
      <c r="B481" s="413"/>
      <c r="C481" s="412"/>
      <c r="D481" s="412"/>
      <c r="E481" s="412"/>
      <c r="F481" s="412"/>
      <c r="G481" s="412"/>
      <c r="H481" s="412"/>
      <c r="I481" s="414"/>
    </row>
    <row r="482" spans="1:9">
      <c r="A482" s="412"/>
      <c r="B482" s="413"/>
      <c r="C482" s="412"/>
      <c r="D482" s="412"/>
      <c r="E482" s="412"/>
      <c r="F482" s="412"/>
      <c r="G482" s="412"/>
      <c r="H482" s="412"/>
      <c r="I482" s="414"/>
    </row>
    <row r="483" spans="1:9">
      <c r="A483" s="412"/>
      <c r="B483" s="413"/>
      <c r="C483" s="412"/>
      <c r="D483" s="412"/>
      <c r="E483" s="412"/>
      <c r="F483" s="412"/>
      <c r="G483" s="412"/>
      <c r="H483" s="412"/>
      <c r="I483" s="414"/>
    </row>
    <row r="484" spans="1:9">
      <c r="A484" s="412"/>
      <c r="B484" s="413"/>
      <c r="C484" s="412"/>
      <c r="D484" s="412"/>
      <c r="E484" s="412"/>
      <c r="F484" s="412"/>
      <c r="G484" s="412"/>
      <c r="H484" s="412"/>
      <c r="I484" s="414"/>
    </row>
    <row r="485" spans="1:9">
      <c r="A485" s="412"/>
      <c r="B485" s="413"/>
      <c r="C485" s="412"/>
      <c r="D485" s="412"/>
      <c r="E485" s="412"/>
      <c r="F485" s="412"/>
      <c r="G485" s="412"/>
      <c r="H485" s="412"/>
      <c r="I485" s="414"/>
    </row>
    <row r="486" spans="1:9">
      <c r="A486" s="412"/>
      <c r="B486" s="413"/>
      <c r="C486" s="412"/>
      <c r="D486" s="412"/>
      <c r="E486" s="412"/>
      <c r="F486" s="412"/>
      <c r="G486" s="412"/>
      <c r="H486" s="412"/>
      <c r="I486" s="414"/>
    </row>
    <row r="487" spans="1:9">
      <c r="A487" s="412"/>
      <c r="B487" s="413"/>
      <c r="C487" s="412"/>
      <c r="D487" s="412"/>
      <c r="E487" s="412"/>
      <c r="F487" s="412"/>
      <c r="G487" s="412"/>
      <c r="H487" s="412"/>
      <c r="I487" s="414"/>
    </row>
    <row r="488" spans="1:9">
      <c r="A488" s="412"/>
      <c r="B488" s="413"/>
      <c r="C488" s="412"/>
      <c r="D488" s="412"/>
      <c r="E488" s="412"/>
      <c r="F488" s="412"/>
      <c r="G488" s="412"/>
      <c r="H488" s="412"/>
      <c r="I488" s="414"/>
    </row>
    <row r="489" spans="1:9">
      <c r="A489" s="412"/>
      <c r="B489" s="413"/>
      <c r="C489" s="412"/>
      <c r="D489" s="412"/>
      <c r="E489" s="412"/>
      <c r="F489" s="412"/>
      <c r="G489" s="412"/>
      <c r="H489" s="412"/>
      <c r="I489" s="414"/>
    </row>
    <row r="490" spans="1:9">
      <c r="A490" s="412"/>
      <c r="B490" s="413"/>
      <c r="C490" s="412"/>
      <c r="D490" s="412"/>
      <c r="E490" s="412"/>
      <c r="F490" s="412"/>
      <c r="G490" s="412"/>
      <c r="H490" s="412"/>
      <c r="I490" s="414"/>
    </row>
    <row r="491" spans="1:9">
      <c r="A491" s="412"/>
      <c r="B491" s="413"/>
      <c r="C491" s="412"/>
      <c r="D491" s="412"/>
      <c r="E491" s="412"/>
      <c r="F491" s="412"/>
      <c r="G491" s="412"/>
      <c r="H491" s="412"/>
      <c r="I491" s="414"/>
    </row>
    <row r="492" spans="1:9">
      <c r="A492" s="412"/>
      <c r="B492" s="413"/>
      <c r="C492" s="412"/>
      <c r="D492" s="412"/>
      <c r="E492" s="412"/>
      <c r="F492" s="412"/>
      <c r="G492" s="412"/>
      <c r="H492" s="412"/>
      <c r="I492" s="414"/>
    </row>
    <row r="493" spans="1:9">
      <c r="A493" s="412"/>
      <c r="B493" s="413"/>
      <c r="C493" s="412"/>
      <c r="D493" s="412"/>
      <c r="E493" s="412"/>
      <c r="F493" s="412"/>
      <c r="G493" s="412"/>
      <c r="H493" s="412"/>
      <c r="I493" s="414"/>
    </row>
    <row r="494" spans="1:9">
      <c r="A494" s="412"/>
      <c r="B494" s="413"/>
      <c r="C494" s="412"/>
      <c r="D494" s="412"/>
      <c r="E494" s="412"/>
      <c r="F494" s="412"/>
      <c r="G494" s="412"/>
      <c r="H494" s="412"/>
      <c r="I494" s="414"/>
    </row>
    <row r="495" spans="1:9">
      <c r="A495" s="412"/>
      <c r="B495" s="413"/>
      <c r="C495" s="412"/>
      <c r="D495" s="412"/>
      <c r="E495" s="412"/>
      <c r="F495" s="412"/>
      <c r="G495" s="412"/>
      <c r="H495" s="412"/>
      <c r="I495" s="414"/>
    </row>
    <row r="496" spans="1:9">
      <c r="A496" s="412"/>
      <c r="B496" s="413"/>
      <c r="C496" s="412"/>
      <c r="D496" s="412"/>
      <c r="E496" s="412"/>
      <c r="F496" s="412"/>
      <c r="G496" s="412"/>
      <c r="H496" s="412"/>
      <c r="I496" s="414"/>
    </row>
    <row r="497" spans="1:9">
      <c r="A497" s="412"/>
      <c r="B497" s="413"/>
      <c r="C497" s="412"/>
      <c r="D497" s="412"/>
      <c r="E497" s="412"/>
      <c r="F497" s="412"/>
      <c r="G497" s="412"/>
      <c r="H497" s="412"/>
      <c r="I497" s="414"/>
    </row>
    <row r="498" spans="1:9">
      <c r="A498" s="412"/>
      <c r="B498" s="413"/>
      <c r="C498" s="412"/>
      <c r="D498" s="412"/>
      <c r="E498" s="412"/>
      <c r="F498" s="412"/>
      <c r="G498" s="412"/>
      <c r="H498" s="412"/>
      <c r="I498" s="414"/>
    </row>
    <row r="499" spans="1:9">
      <c r="A499" s="412"/>
      <c r="B499" s="413"/>
      <c r="C499" s="412"/>
      <c r="D499" s="412"/>
      <c r="E499" s="412"/>
      <c r="F499" s="412"/>
      <c r="G499" s="412"/>
      <c r="H499" s="412"/>
      <c r="I499" s="414"/>
    </row>
    <row r="500" spans="1:9">
      <c r="A500" s="412"/>
      <c r="B500" s="413"/>
      <c r="C500" s="412"/>
      <c r="D500" s="412"/>
      <c r="E500" s="412"/>
      <c r="F500" s="412"/>
      <c r="G500" s="412"/>
      <c r="H500" s="412"/>
      <c r="I500" s="414"/>
    </row>
    <row r="501" spans="1:9">
      <c r="A501" s="412"/>
      <c r="B501" s="413"/>
      <c r="C501" s="412"/>
      <c r="D501" s="412"/>
      <c r="E501" s="412"/>
      <c r="F501" s="412"/>
      <c r="G501" s="412"/>
      <c r="H501" s="412"/>
      <c r="I501" s="414"/>
    </row>
    <row r="502" spans="1:9">
      <c r="A502" s="412"/>
      <c r="B502" s="413"/>
      <c r="C502" s="412"/>
      <c r="D502" s="412"/>
      <c r="E502" s="412"/>
      <c r="F502" s="412"/>
      <c r="G502" s="412"/>
      <c r="H502" s="412"/>
      <c r="I502" s="414"/>
    </row>
    <row r="503" spans="1:9">
      <c r="A503" s="412"/>
      <c r="B503" s="413"/>
      <c r="C503" s="412"/>
      <c r="D503" s="412"/>
      <c r="E503" s="412"/>
      <c r="F503" s="412"/>
      <c r="G503" s="412"/>
      <c r="H503" s="412"/>
      <c r="I503" s="414"/>
    </row>
    <row r="504" spans="1:9">
      <c r="A504" s="412"/>
      <c r="B504" s="413"/>
      <c r="C504" s="412"/>
      <c r="D504" s="412"/>
      <c r="E504" s="412"/>
      <c r="F504" s="412"/>
      <c r="G504" s="412"/>
      <c r="H504" s="412"/>
      <c r="I504" s="414"/>
    </row>
    <row r="505" spans="1:9">
      <c r="A505" s="412"/>
      <c r="B505" s="413"/>
      <c r="C505" s="412"/>
      <c r="D505" s="412"/>
      <c r="E505" s="412"/>
      <c r="F505" s="412"/>
      <c r="G505" s="412"/>
      <c r="H505" s="412"/>
      <c r="I505" s="414"/>
    </row>
    <row r="506" spans="1:9">
      <c r="A506" s="412"/>
      <c r="B506" s="413"/>
      <c r="C506" s="412"/>
      <c r="D506" s="412"/>
      <c r="E506" s="412"/>
      <c r="F506" s="412"/>
      <c r="G506" s="412"/>
      <c r="H506" s="412"/>
      <c r="I506" s="414"/>
    </row>
    <row r="507" spans="1:9">
      <c r="A507" s="412"/>
      <c r="B507" s="413"/>
      <c r="C507" s="412"/>
      <c r="D507" s="412"/>
      <c r="E507" s="412"/>
      <c r="F507" s="412"/>
      <c r="G507" s="412"/>
      <c r="H507" s="412"/>
      <c r="I507" s="414"/>
    </row>
    <row r="508" spans="1:9">
      <c r="A508" s="412"/>
      <c r="B508" s="413"/>
      <c r="C508" s="412"/>
      <c r="D508" s="412"/>
      <c r="E508" s="412"/>
      <c r="F508" s="412"/>
      <c r="G508" s="412"/>
      <c r="H508" s="412"/>
      <c r="I508" s="414"/>
    </row>
    <row r="509" spans="1:9">
      <c r="A509" s="412"/>
      <c r="B509" s="413"/>
      <c r="C509" s="412"/>
      <c r="D509" s="412"/>
      <c r="E509" s="412"/>
      <c r="F509" s="412"/>
      <c r="G509" s="412"/>
      <c r="H509" s="412"/>
      <c r="I509" s="414"/>
    </row>
    <row r="510" spans="1:9">
      <c r="A510" s="412"/>
      <c r="B510" s="413"/>
      <c r="C510" s="412"/>
      <c r="D510" s="412"/>
      <c r="E510" s="412"/>
      <c r="F510" s="412"/>
      <c r="G510" s="412"/>
      <c r="H510" s="412"/>
      <c r="I510" s="414"/>
    </row>
    <row r="511" spans="1:9">
      <c r="A511" s="412"/>
      <c r="B511" s="413"/>
      <c r="C511" s="412"/>
      <c r="D511" s="412"/>
      <c r="E511" s="412"/>
      <c r="F511" s="412"/>
      <c r="G511" s="412"/>
      <c r="H511" s="412"/>
      <c r="I511" s="414"/>
    </row>
    <row r="512" spans="1:9">
      <c r="A512" s="412"/>
      <c r="B512" s="413"/>
      <c r="C512" s="412"/>
      <c r="D512" s="412"/>
      <c r="E512" s="412"/>
      <c r="F512" s="412"/>
      <c r="G512" s="412"/>
      <c r="H512" s="412"/>
      <c r="I512" s="414"/>
    </row>
    <row r="513" spans="1:9">
      <c r="A513" s="412"/>
      <c r="B513" s="413"/>
      <c r="C513" s="412"/>
      <c r="D513" s="412"/>
      <c r="E513" s="412"/>
      <c r="F513" s="412"/>
      <c r="G513" s="412"/>
      <c r="H513" s="412"/>
      <c r="I513" s="414"/>
    </row>
    <row r="514" spans="1:9">
      <c r="A514" s="412"/>
      <c r="B514" s="413"/>
      <c r="C514" s="412"/>
      <c r="D514" s="412"/>
      <c r="E514" s="412"/>
      <c r="F514" s="412"/>
      <c r="G514" s="412"/>
      <c r="H514" s="412"/>
      <c r="I514" s="414"/>
    </row>
    <row r="515" spans="1:9">
      <c r="A515" s="412"/>
      <c r="B515" s="413"/>
      <c r="C515" s="412"/>
      <c r="D515" s="412"/>
      <c r="E515" s="412"/>
      <c r="F515" s="412"/>
      <c r="G515" s="412"/>
      <c r="H515" s="412"/>
      <c r="I515" s="414"/>
    </row>
    <row r="516" spans="1:9">
      <c r="A516" s="412"/>
      <c r="B516" s="413"/>
      <c r="C516" s="412"/>
      <c r="D516" s="412"/>
      <c r="E516" s="412"/>
      <c r="F516" s="412"/>
      <c r="G516" s="412"/>
      <c r="H516" s="412"/>
      <c r="I516" s="414"/>
    </row>
    <row r="517" spans="1:9">
      <c r="A517" s="412"/>
      <c r="B517" s="413"/>
      <c r="C517" s="412"/>
      <c r="D517" s="412"/>
      <c r="E517" s="412"/>
      <c r="F517" s="412"/>
      <c r="G517" s="412"/>
      <c r="H517" s="412"/>
      <c r="I517" s="414"/>
    </row>
    <row r="518" spans="1:9">
      <c r="A518" s="412"/>
      <c r="B518" s="413"/>
      <c r="C518" s="412"/>
      <c r="D518" s="412"/>
      <c r="E518" s="412"/>
      <c r="F518" s="412"/>
      <c r="G518" s="412"/>
      <c r="H518" s="412"/>
      <c r="I518" s="414"/>
    </row>
    <row r="519" spans="1:9">
      <c r="A519" s="412"/>
      <c r="B519" s="413"/>
      <c r="C519" s="412"/>
      <c r="D519" s="412"/>
      <c r="E519" s="412"/>
      <c r="F519" s="412"/>
      <c r="G519" s="412"/>
      <c r="H519" s="412"/>
      <c r="I519" s="414"/>
    </row>
    <row r="520" spans="1:9">
      <c r="A520" s="412"/>
      <c r="B520" s="413"/>
      <c r="C520" s="412"/>
      <c r="D520" s="412"/>
      <c r="E520" s="412"/>
      <c r="F520" s="412"/>
      <c r="G520" s="412"/>
      <c r="H520" s="412"/>
      <c r="I520" s="414"/>
    </row>
    <row r="521" spans="1:9">
      <c r="A521" s="412"/>
      <c r="B521" s="413"/>
      <c r="C521" s="412"/>
      <c r="D521" s="412"/>
      <c r="E521" s="412"/>
      <c r="F521" s="412"/>
      <c r="G521" s="412"/>
      <c r="H521" s="412"/>
      <c r="I521" s="414"/>
    </row>
    <row r="522" spans="1:9">
      <c r="A522" s="412"/>
      <c r="B522" s="413"/>
      <c r="C522" s="412"/>
      <c r="D522" s="412"/>
      <c r="E522" s="412"/>
      <c r="F522" s="412"/>
      <c r="G522" s="412"/>
      <c r="H522" s="412"/>
      <c r="I522" s="414"/>
    </row>
    <row r="523" spans="1:9">
      <c r="A523" s="412"/>
      <c r="B523" s="413"/>
      <c r="C523" s="412"/>
      <c r="D523" s="412"/>
      <c r="E523" s="412"/>
      <c r="F523" s="412"/>
      <c r="G523" s="412"/>
      <c r="H523" s="412"/>
      <c r="I523" s="414"/>
    </row>
    <row r="524" spans="1:9">
      <c r="A524" s="412"/>
      <c r="B524" s="413"/>
      <c r="C524" s="412"/>
      <c r="D524" s="412"/>
      <c r="E524" s="412"/>
      <c r="F524" s="412"/>
      <c r="G524" s="412"/>
      <c r="H524" s="412"/>
      <c r="I524" s="414"/>
    </row>
    <row r="525" spans="1:9">
      <c r="A525" s="412"/>
      <c r="B525" s="413"/>
      <c r="C525" s="412"/>
      <c r="D525" s="412"/>
      <c r="E525" s="412"/>
      <c r="F525" s="412"/>
      <c r="G525" s="412"/>
      <c r="H525" s="412"/>
      <c r="I525" s="414"/>
    </row>
    <row r="526" spans="1:9">
      <c r="A526" s="412"/>
      <c r="B526" s="413"/>
      <c r="C526" s="412"/>
      <c r="D526" s="412"/>
      <c r="E526" s="412"/>
      <c r="F526" s="412"/>
      <c r="G526" s="412"/>
      <c r="H526" s="412"/>
      <c r="I526" s="414"/>
    </row>
    <row r="527" spans="1:9">
      <c r="A527" s="412"/>
      <c r="B527" s="413"/>
      <c r="C527" s="412"/>
      <c r="D527" s="412"/>
      <c r="E527" s="412"/>
      <c r="F527" s="412"/>
      <c r="G527" s="412"/>
      <c r="H527" s="412"/>
      <c r="I527" s="414"/>
    </row>
    <row r="528" spans="1:9">
      <c r="A528" s="412"/>
      <c r="B528" s="413"/>
      <c r="C528" s="412"/>
      <c r="D528" s="412"/>
      <c r="E528" s="412"/>
      <c r="F528" s="412"/>
      <c r="G528" s="412"/>
      <c r="H528" s="412"/>
      <c r="I528" s="414"/>
    </row>
    <row r="529" spans="1:9">
      <c r="A529" s="412"/>
      <c r="B529" s="413"/>
      <c r="C529" s="412"/>
      <c r="D529" s="412"/>
      <c r="E529" s="412"/>
      <c r="F529" s="412"/>
      <c r="G529" s="412"/>
      <c r="H529" s="412"/>
      <c r="I529" s="414"/>
    </row>
    <row r="530" spans="1:9">
      <c r="A530" s="412"/>
      <c r="B530" s="413"/>
      <c r="C530" s="412"/>
      <c r="D530" s="412"/>
      <c r="E530" s="412"/>
      <c r="F530" s="412"/>
      <c r="G530" s="412"/>
      <c r="H530" s="412"/>
      <c r="I530" s="414"/>
    </row>
    <row r="531" spans="1:9">
      <c r="A531" s="412"/>
      <c r="B531" s="413"/>
      <c r="C531" s="412"/>
      <c r="D531" s="412"/>
      <c r="E531" s="412"/>
      <c r="F531" s="412"/>
      <c r="G531" s="412"/>
      <c r="H531" s="412"/>
      <c r="I531" s="414"/>
    </row>
    <row r="532" spans="1:9">
      <c r="A532" s="412"/>
      <c r="B532" s="413"/>
      <c r="C532" s="412"/>
      <c r="D532" s="412"/>
      <c r="E532" s="412"/>
      <c r="F532" s="412"/>
      <c r="G532" s="412"/>
      <c r="H532" s="412"/>
      <c r="I532" s="414"/>
    </row>
    <row r="533" spans="1:9">
      <c r="A533" s="412"/>
      <c r="B533" s="413"/>
      <c r="C533" s="412"/>
      <c r="D533" s="412"/>
      <c r="E533" s="412"/>
      <c r="F533" s="412"/>
      <c r="G533" s="412"/>
      <c r="H533" s="412"/>
      <c r="I533" s="414"/>
    </row>
    <row r="534" spans="1:9">
      <c r="A534" s="412"/>
      <c r="B534" s="413"/>
      <c r="C534" s="412"/>
      <c r="D534" s="412"/>
      <c r="E534" s="412"/>
      <c r="F534" s="412"/>
      <c r="G534" s="412"/>
      <c r="H534" s="412"/>
      <c r="I534" s="414"/>
    </row>
    <row r="535" spans="1:9">
      <c r="A535" s="412"/>
      <c r="B535" s="413"/>
      <c r="C535" s="412"/>
      <c r="D535" s="412"/>
      <c r="E535" s="412"/>
      <c r="F535" s="412"/>
      <c r="G535" s="412"/>
      <c r="H535" s="412"/>
      <c r="I535" s="414"/>
    </row>
    <row r="536" spans="1:9">
      <c r="A536" s="412"/>
      <c r="B536" s="413"/>
      <c r="C536" s="412"/>
      <c r="D536" s="412"/>
      <c r="E536" s="412"/>
      <c r="F536" s="412"/>
      <c r="G536" s="412"/>
      <c r="H536" s="412"/>
      <c r="I536" s="414"/>
    </row>
    <row r="537" spans="1:9">
      <c r="A537" s="412"/>
      <c r="B537" s="413"/>
      <c r="C537" s="412"/>
      <c r="D537" s="412"/>
      <c r="E537" s="412"/>
      <c r="F537" s="412"/>
      <c r="G537" s="412"/>
      <c r="H537" s="412"/>
      <c r="I537" s="414"/>
    </row>
    <row r="538" spans="1:9">
      <c r="A538" s="412"/>
      <c r="B538" s="413"/>
      <c r="C538" s="412"/>
      <c r="D538" s="412"/>
      <c r="E538" s="412"/>
      <c r="F538" s="412"/>
      <c r="G538" s="412"/>
      <c r="H538" s="412"/>
      <c r="I538" s="414"/>
    </row>
    <row r="539" spans="1:9">
      <c r="A539" s="412"/>
      <c r="B539" s="413"/>
      <c r="C539" s="412"/>
      <c r="D539" s="412"/>
      <c r="E539" s="412"/>
      <c r="F539" s="412"/>
      <c r="G539" s="412"/>
      <c r="H539" s="412"/>
      <c r="I539" s="414"/>
    </row>
    <row r="540" spans="1:9">
      <c r="A540" s="412"/>
      <c r="B540" s="413"/>
      <c r="C540" s="412"/>
      <c r="D540" s="412"/>
      <c r="E540" s="412"/>
      <c r="F540" s="412"/>
      <c r="G540" s="412"/>
      <c r="H540" s="412"/>
      <c r="I540" s="414"/>
    </row>
    <row r="541" spans="1:9">
      <c r="A541" s="412"/>
      <c r="B541" s="413"/>
      <c r="C541" s="412"/>
      <c r="D541" s="412"/>
      <c r="E541" s="412"/>
      <c r="F541" s="412"/>
      <c r="G541" s="412"/>
      <c r="H541" s="412"/>
      <c r="I541" s="414"/>
    </row>
    <row r="542" spans="1:9">
      <c r="A542" s="412"/>
      <c r="B542" s="413"/>
      <c r="C542" s="412"/>
      <c r="D542" s="412"/>
      <c r="E542" s="412"/>
      <c r="F542" s="412"/>
      <c r="G542" s="412"/>
      <c r="H542" s="412"/>
      <c r="I542" s="414"/>
    </row>
    <row r="543" spans="1:9">
      <c r="A543" s="412"/>
      <c r="B543" s="413"/>
      <c r="C543" s="412"/>
      <c r="D543" s="412"/>
      <c r="E543" s="412"/>
      <c r="F543" s="412"/>
      <c r="G543" s="412"/>
      <c r="H543" s="412"/>
      <c r="I543" s="414"/>
    </row>
    <row r="544" spans="1:9">
      <c r="A544" s="412"/>
      <c r="B544" s="413"/>
      <c r="C544" s="412"/>
      <c r="D544" s="412"/>
      <c r="E544" s="412"/>
      <c r="F544" s="412"/>
      <c r="G544" s="412"/>
      <c r="H544" s="412"/>
      <c r="I544" s="414"/>
    </row>
    <row r="545" spans="1:9">
      <c r="A545" s="412"/>
      <c r="B545" s="413"/>
      <c r="C545" s="412"/>
      <c r="D545" s="412"/>
      <c r="E545" s="412"/>
      <c r="F545" s="412"/>
      <c r="G545" s="412"/>
      <c r="H545" s="412"/>
      <c r="I545" s="414"/>
    </row>
    <row r="546" spans="1:9">
      <c r="A546" s="412"/>
      <c r="B546" s="413"/>
      <c r="C546" s="412"/>
      <c r="D546" s="412"/>
      <c r="E546" s="412"/>
      <c r="F546" s="412"/>
      <c r="G546" s="412"/>
      <c r="H546" s="412"/>
      <c r="I546" s="414"/>
    </row>
    <row r="547" spans="1:9">
      <c r="A547" s="412"/>
      <c r="B547" s="413"/>
      <c r="C547" s="412"/>
      <c r="D547" s="412"/>
      <c r="E547" s="412"/>
      <c r="F547" s="412"/>
      <c r="G547" s="412"/>
      <c r="H547" s="412"/>
      <c r="I547" s="414"/>
    </row>
    <row r="548" spans="1:9">
      <c r="A548" s="412"/>
      <c r="B548" s="413"/>
      <c r="C548" s="412"/>
      <c r="D548" s="412"/>
      <c r="E548" s="412"/>
      <c r="F548" s="412"/>
      <c r="G548" s="412"/>
      <c r="H548" s="412"/>
      <c r="I548" s="414"/>
    </row>
    <row r="549" spans="1:9">
      <c r="A549" s="412"/>
      <c r="B549" s="413"/>
      <c r="C549" s="412"/>
      <c r="D549" s="412"/>
      <c r="E549" s="412"/>
      <c r="F549" s="412"/>
      <c r="G549" s="412"/>
      <c r="H549" s="412"/>
      <c r="I549" s="414"/>
    </row>
    <row r="550" spans="1:9">
      <c r="A550" s="412"/>
      <c r="B550" s="413"/>
      <c r="C550" s="412"/>
      <c r="D550" s="412"/>
      <c r="E550" s="412"/>
      <c r="F550" s="412"/>
      <c r="G550" s="412"/>
      <c r="H550" s="412"/>
      <c r="I550" s="414"/>
    </row>
    <row r="551" spans="1:9">
      <c r="A551" s="412"/>
      <c r="B551" s="413"/>
      <c r="C551" s="412"/>
      <c r="D551" s="412"/>
      <c r="E551" s="412"/>
      <c r="F551" s="412"/>
      <c r="G551" s="412"/>
      <c r="H551" s="412"/>
      <c r="I551" s="414"/>
    </row>
    <row r="552" spans="1:9">
      <c r="A552" s="412"/>
      <c r="B552" s="413"/>
      <c r="C552" s="412"/>
      <c r="D552" s="412"/>
      <c r="E552" s="412"/>
      <c r="F552" s="412"/>
      <c r="G552" s="412"/>
      <c r="H552" s="412"/>
      <c r="I552" s="414"/>
    </row>
    <row r="553" spans="1:9">
      <c r="A553" s="412"/>
      <c r="B553" s="413"/>
      <c r="C553" s="412"/>
      <c r="D553" s="412"/>
      <c r="E553" s="412"/>
      <c r="F553" s="412"/>
      <c r="G553" s="412"/>
      <c r="H553" s="412"/>
      <c r="I553" s="414"/>
    </row>
    <row r="554" spans="1:9">
      <c r="A554" s="412"/>
      <c r="B554" s="413"/>
      <c r="C554" s="412"/>
      <c r="D554" s="412"/>
      <c r="E554" s="412"/>
      <c r="F554" s="412"/>
      <c r="G554" s="412"/>
      <c r="H554" s="412"/>
      <c r="I554" s="414"/>
    </row>
    <row r="555" spans="1:9">
      <c r="A555" s="412"/>
      <c r="B555" s="413"/>
      <c r="C555" s="412"/>
      <c r="D555" s="412"/>
      <c r="E555" s="412"/>
      <c r="F555" s="412"/>
      <c r="G555" s="412"/>
      <c r="H555" s="412"/>
      <c r="I555" s="414"/>
    </row>
    <row r="556" spans="1:9">
      <c r="A556" s="412"/>
      <c r="B556" s="413"/>
      <c r="C556" s="412"/>
      <c r="D556" s="412"/>
      <c r="E556" s="412"/>
      <c r="F556" s="412"/>
      <c r="G556" s="412"/>
      <c r="H556" s="412"/>
      <c r="I556" s="414"/>
    </row>
    <row r="557" spans="1:9">
      <c r="A557" s="412"/>
      <c r="B557" s="413"/>
      <c r="C557" s="412"/>
      <c r="D557" s="412"/>
      <c r="E557" s="412"/>
      <c r="F557" s="412"/>
      <c r="G557" s="412"/>
      <c r="H557" s="412"/>
      <c r="I557" s="414"/>
    </row>
    <row r="558" spans="1:9">
      <c r="A558" s="412"/>
      <c r="B558" s="413"/>
      <c r="C558" s="412"/>
      <c r="D558" s="412"/>
      <c r="E558" s="412"/>
      <c r="F558" s="412"/>
      <c r="G558" s="412"/>
      <c r="H558" s="412"/>
      <c r="I558" s="414"/>
    </row>
    <row r="559" spans="1:9">
      <c r="A559" s="412"/>
      <c r="B559" s="413"/>
      <c r="C559" s="412"/>
      <c r="D559" s="412"/>
      <c r="E559" s="412"/>
      <c r="F559" s="412"/>
      <c r="G559" s="412"/>
      <c r="H559" s="412"/>
      <c r="I559" s="414"/>
    </row>
    <row r="560" spans="1:9">
      <c r="A560" s="412"/>
      <c r="B560" s="413"/>
      <c r="C560" s="412"/>
      <c r="D560" s="412"/>
      <c r="E560" s="412"/>
      <c r="F560" s="412"/>
      <c r="G560" s="412"/>
      <c r="H560" s="412"/>
      <c r="I560" s="414"/>
    </row>
    <row r="561" spans="1:9">
      <c r="A561" s="412"/>
      <c r="B561" s="413"/>
      <c r="C561" s="412"/>
      <c r="D561" s="412"/>
      <c r="E561" s="412"/>
      <c r="F561" s="412"/>
      <c r="G561" s="412"/>
      <c r="H561" s="412"/>
      <c r="I561" s="414"/>
    </row>
    <row r="562" spans="1:9">
      <c r="A562" s="412"/>
      <c r="B562" s="413"/>
      <c r="C562" s="412"/>
      <c r="D562" s="412"/>
      <c r="E562" s="412"/>
      <c r="F562" s="412"/>
      <c r="G562" s="412"/>
      <c r="H562" s="412"/>
      <c r="I562" s="414"/>
    </row>
    <row r="563" spans="1:9">
      <c r="A563" s="412"/>
      <c r="B563" s="413"/>
      <c r="C563" s="412"/>
      <c r="D563" s="412"/>
      <c r="E563" s="412"/>
      <c r="F563" s="412"/>
      <c r="G563" s="412"/>
      <c r="H563" s="412"/>
      <c r="I563" s="414"/>
    </row>
    <row r="564" spans="1:9">
      <c r="A564" s="412"/>
      <c r="B564" s="413"/>
      <c r="C564" s="412"/>
      <c r="D564" s="412"/>
      <c r="E564" s="412"/>
      <c r="F564" s="412"/>
      <c r="G564" s="412"/>
      <c r="H564" s="412"/>
      <c r="I564" s="414"/>
    </row>
    <row r="565" spans="1:9">
      <c r="A565" s="412"/>
      <c r="B565" s="413"/>
      <c r="C565" s="412"/>
      <c r="D565" s="412"/>
      <c r="E565" s="412"/>
      <c r="F565" s="412"/>
      <c r="G565" s="412"/>
      <c r="H565" s="412"/>
      <c r="I565" s="414"/>
    </row>
    <row r="566" spans="1:9">
      <c r="A566" s="412"/>
      <c r="B566" s="413"/>
      <c r="C566" s="412"/>
      <c r="D566" s="412"/>
      <c r="E566" s="412"/>
      <c r="F566" s="412"/>
      <c r="G566" s="412"/>
      <c r="H566" s="412"/>
      <c r="I566" s="414"/>
    </row>
    <row r="567" spans="1:9">
      <c r="A567" s="412"/>
      <c r="B567" s="413"/>
      <c r="C567" s="412"/>
      <c r="D567" s="412"/>
      <c r="E567" s="412"/>
      <c r="F567" s="412"/>
      <c r="G567" s="412"/>
      <c r="H567" s="412"/>
      <c r="I567" s="414"/>
    </row>
    <row r="568" spans="1:9">
      <c r="A568" s="412"/>
      <c r="B568" s="413"/>
      <c r="C568" s="412"/>
      <c r="D568" s="412"/>
      <c r="E568" s="412"/>
      <c r="F568" s="412"/>
      <c r="G568" s="412"/>
      <c r="H568" s="412"/>
      <c r="I568" s="414"/>
    </row>
    <row r="569" spans="1:9">
      <c r="A569" s="412"/>
      <c r="B569" s="413"/>
      <c r="C569" s="412"/>
      <c r="D569" s="412"/>
      <c r="E569" s="412"/>
      <c r="F569" s="412"/>
      <c r="G569" s="412"/>
      <c r="H569" s="412"/>
      <c r="I569" s="414"/>
    </row>
    <row r="570" spans="1:9">
      <c r="A570" s="412"/>
      <c r="B570" s="413"/>
      <c r="C570" s="412"/>
      <c r="D570" s="412"/>
      <c r="E570" s="412"/>
      <c r="F570" s="412"/>
      <c r="G570" s="412"/>
      <c r="H570" s="412"/>
      <c r="I570" s="414"/>
    </row>
    <row r="571" spans="1:9">
      <c r="A571" s="412"/>
      <c r="B571" s="413"/>
      <c r="C571" s="412"/>
      <c r="D571" s="412"/>
      <c r="E571" s="412"/>
      <c r="F571" s="412"/>
      <c r="G571" s="412"/>
      <c r="H571" s="412"/>
      <c r="I571" s="414"/>
    </row>
    <row r="572" spans="1:9">
      <c r="A572" s="412"/>
      <c r="B572" s="413"/>
      <c r="C572" s="412"/>
      <c r="D572" s="412"/>
      <c r="E572" s="412"/>
      <c r="F572" s="412"/>
      <c r="G572" s="412"/>
      <c r="H572" s="412"/>
      <c r="I572" s="414"/>
    </row>
    <row r="573" spans="1:9">
      <c r="A573" s="412"/>
      <c r="B573" s="413"/>
      <c r="C573" s="412"/>
      <c r="D573" s="412"/>
      <c r="E573" s="412"/>
      <c r="F573" s="412"/>
      <c r="G573" s="412"/>
      <c r="H573" s="412"/>
      <c r="I573" s="414"/>
    </row>
    <row r="574" spans="1:9">
      <c r="A574" s="412"/>
      <c r="B574" s="413"/>
      <c r="C574" s="412"/>
      <c r="D574" s="412"/>
      <c r="E574" s="412"/>
      <c r="F574" s="412"/>
      <c r="G574" s="412"/>
      <c r="H574" s="412"/>
      <c r="I574" s="414"/>
    </row>
    <row r="575" spans="1:9">
      <c r="A575" s="412"/>
      <c r="B575" s="413"/>
      <c r="C575" s="412"/>
      <c r="D575" s="412"/>
      <c r="E575" s="412"/>
      <c r="F575" s="412"/>
      <c r="G575" s="412"/>
      <c r="H575" s="412"/>
      <c r="I575" s="414"/>
    </row>
    <row r="576" spans="1:9">
      <c r="A576" s="412"/>
      <c r="B576" s="413"/>
      <c r="C576" s="412"/>
      <c r="D576" s="412"/>
      <c r="E576" s="412"/>
      <c r="F576" s="412"/>
      <c r="G576" s="412"/>
      <c r="H576" s="412"/>
      <c r="I576" s="414"/>
    </row>
    <row r="577" spans="1:9">
      <c r="A577" s="412"/>
      <c r="B577" s="413"/>
      <c r="C577" s="412"/>
      <c r="D577" s="412"/>
      <c r="E577" s="412"/>
      <c r="F577" s="412"/>
      <c r="G577" s="412"/>
      <c r="H577" s="412"/>
      <c r="I577" s="414"/>
    </row>
    <row r="578" spans="1:9">
      <c r="A578" s="412"/>
      <c r="B578" s="413"/>
      <c r="C578" s="412"/>
      <c r="D578" s="412"/>
      <c r="E578" s="412"/>
      <c r="F578" s="412"/>
      <c r="G578" s="412"/>
      <c r="H578" s="412"/>
      <c r="I578" s="414"/>
    </row>
    <row r="579" spans="1:9">
      <c r="A579" s="412"/>
      <c r="B579" s="413"/>
      <c r="C579" s="412"/>
      <c r="D579" s="412"/>
      <c r="E579" s="412"/>
      <c r="F579" s="412"/>
      <c r="G579" s="412"/>
      <c r="H579" s="412"/>
      <c r="I579" s="414"/>
    </row>
    <row r="580" spans="1:9">
      <c r="A580" s="412"/>
      <c r="B580" s="413"/>
      <c r="C580" s="412"/>
      <c r="D580" s="412"/>
      <c r="E580" s="412"/>
      <c r="F580" s="412"/>
      <c r="G580" s="412"/>
      <c r="H580" s="412"/>
      <c r="I580" s="414"/>
    </row>
    <row r="581" spans="1:9">
      <c r="A581" s="412"/>
      <c r="B581" s="413"/>
      <c r="C581" s="412"/>
      <c r="D581" s="412"/>
      <c r="E581" s="412"/>
      <c r="F581" s="412"/>
      <c r="G581" s="412"/>
      <c r="H581" s="412"/>
      <c r="I581" s="414"/>
    </row>
    <row r="582" spans="1:9">
      <c r="A582" s="412"/>
      <c r="B582" s="413"/>
      <c r="C582" s="412"/>
      <c r="D582" s="412"/>
      <c r="E582" s="412"/>
      <c r="F582" s="412"/>
      <c r="G582" s="412"/>
      <c r="H582" s="412"/>
      <c r="I582" s="414"/>
    </row>
    <row r="583" spans="1:9">
      <c r="A583" s="412"/>
      <c r="B583" s="413"/>
      <c r="C583" s="412"/>
      <c r="D583" s="412"/>
      <c r="E583" s="412"/>
      <c r="F583" s="412"/>
      <c r="G583" s="412"/>
      <c r="H583" s="412"/>
      <c r="I583" s="414"/>
    </row>
    <row r="584" spans="1:9">
      <c r="A584" s="412"/>
      <c r="B584" s="413"/>
      <c r="C584" s="412"/>
      <c r="D584" s="412"/>
      <c r="E584" s="412"/>
      <c r="F584" s="412"/>
      <c r="G584" s="412"/>
      <c r="H584" s="412"/>
      <c r="I584" s="414"/>
    </row>
    <row r="585" spans="1:9">
      <c r="A585" s="412"/>
      <c r="B585" s="413"/>
      <c r="C585" s="412"/>
      <c r="D585" s="412"/>
      <c r="E585" s="412"/>
      <c r="F585" s="412"/>
      <c r="G585" s="412"/>
      <c r="H585" s="412"/>
      <c r="I585" s="414"/>
    </row>
    <row r="586" spans="1:9">
      <c r="A586" s="412"/>
      <c r="B586" s="413"/>
      <c r="C586" s="412"/>
      <c r="D586" s="412"/>
      <c r="E586" s="412"/>
      <c r="F586" s="412"/>
      <c r="G586" s="412"/>
      <c r="H586" s="412"/>
      <c r="I586" s="414"/>
    </row>
    <row r="587" spans="1:9">
      <c r="A587" s="412"/>
      <c r="B587" s="413"/>
      <c r="C587" s="412"/>
      <c r="D587" s="412"/>
      <c r="E587" s="412"/>
      <c r="F587" s="412"/>
      <c r="G587" s="412"/>
      <c r="H587" s="412"/>
      <c r="I587" s="414"/>
    </row>
    <row r="588" spans="1:9">
      <c r="A588" s="412"/>
      <c r="B588" s="413"/>
      <c r="C588" s="412"/>
      <c r="D588" s="412"/>
      <c r="E588" s="412"/>
      <c r="F588" s="412"/>
      <c r="G588" s="412"/>
      <c r="H588" s="412"/>
      <c r="I588" s="414"/>
    </row>
    <row r="589" spans="1:9">
      <c r="A589" s="412"/>
      <c r="B589" s="413"/>
      <c r="C589" s="412"/>
      <c r="D589" s="412"/>
      <c r="E589" s="412"/>
      <c r="F589" s="412"/>
      <c r="G589" s="412"/>
      <c r="H589" s="412"/>
      <c r="I589" s="414"/>
    </row>
    <row r="590" spans="1:9">
      <c r="A590" s="412"/>
      <c r="B590" s="413"/>
      <c r="C590" s="412"/>
      <c r="D590" s="412"/>
      <c r="E590" s="412"/>
      <c r="F590" s="412"/>
      <c r="G590" s="412"/>
      <c r="H590" s="412"/>
      <c r="I590" s="414"/>
    </row>
    <row r="591" spans="1:9">
      <c r="A591" s="412"/>
      <c r="B591" s="413"/>
      <c r="C591" s="412"/>
      <c r="D591" s="412"/>
      <c r="E591" s="412"/>
      <c r="F591" s="412"/>
      <c r="G591" s="412"/>
      <c r="H591" s="412"/>
      <c r="I591" s="414"/>
    </row>
    <row r="592" spans="1:9">
      <c r="A592" s="412"/>
      <c r="B592" s="413"/>
      <c r="C592" s="412"/>
      <c r="D592" s="412"/>
      <c r="E592" s="412"/>
      <c r="F592" s="412"/>
      <c r="G592" s="412"/>
      <c r="H592" s="412"/>
      <c r="I592" s="414"/>
    </row>
    <row r="593" spans="1:9">
      <c r="A593" s="412"/>
      <c r="B593" s="413"/>
      <c r="C593" s="412"/>
      <c r="D593" s="412"/>
      <c r="E593" s="412"/>
      <c r="F593" s="412"/>
      <c r="G593" s="412"/>
      <c r="H593" s="412"/>
      <c r="I593" s="414"/>
    </row>
    <row r="594" spans="1:9">
      <c r="A594" s="412"/>
      <c r="B594" s="413"/>
      <c r="C594" s="412"/>
      <c r="D594" s="412"/>
      <c r="E594" s="412"/>
      <c r="F594" s="412"/>
      <c r="G594" s="412"/>
      <c r="H594" s="412"/>
      <c r="I594" s="414"/>
    </row>
    <row r="595" spans="1:9">
      <c r="A595" s="412"/>
      <c r="B595" s="413"/>
      <c r="C595" s="412"/>
      <c r="D595" s="412"/>
      <c r="E595" s="412"/>
      <c r="F595" s="412"/>
      <c r="G595" s="412"/>
      <c r="H595" s="412"/>
      <c r="I595" s="414"/>
    </row>
    <row r="596" spans="1:9">
      <c r="A596" s="412"/>
      <c r="B596" s="413"/>
      <c r="C596" s="412"/>
      <c r="D596" s="412"/>
      <c r="E596" s="412"/>
      <c r="F596" s="412"/>
      <c r="G596" s="412"/>
      <c r="H596" s="412"/>
      <c r="I596" s="414"/>
    </row>
    <row r="597" spans="1:9">
      <c r="A597" s="412"/>
      <c r="B597" s="413"/>
      <c r="C597" s="412"/>
      <c r="D597" s="412"/>
      <c r="E597" s="412"/>
      <c r="F597" s="412"/>
      <c r="G597" s="412"/>
      <c r="H597" s="412"/>
      <c r="I597" s="414"/>
    </row>
    <row r="598" spans="1:9">
      <c r="A598" s="412"/>
      <c r="B598" s="413"/>
      <c r="C598" s="412"/>
      <c r="D598" s="412"/>
      <c r="E598" s="412"/>
      <c r="F598" s="412"/>
      <c r="G598" s="412"/>
      <c r="H598" s="412"/>
      <c r="I598" s="414"/>
    </row>
    <row r="599" spans="1:9">
      <c r="A599" s="412"/>
      <c r="B599" s="413"/>
      <c r="C599" s="412"/>
      <c r="D599" s="412"/>
      <c r="E599" s="412"/>
      <c r="F599" s="412"/>
      <c r="G599" s="412"/>
      <c r="H599" s="412"/>
      <c r="I599" s="414"/>
    </row>
    <row r="600" spans="1:9">
      <c r="A600" s="412"/>
      <c r="B600" s="413"/>
      <c r="C600" s="412"/>
      <c r="D600" s="412"/>
      <c r="E600" s="412"/>
      <c r="F600" s="412"/>
      <c r="G600" s="412"/>
      <c r="H600" s="412"/>
      <c r="I600" s="414"/>
    </row>
    <row r="601" spans="1:9">
      <c r="A601" s="412"/>
      <c r="B601" s="413"/>
      <c r="C601" s="412"/>
      <c r="D601" s="412"/>
      <c r="E601" s="412"/>
      <c r="F601" s="412"/>
      <c r="G601" s="412"/>
      <c r="H601" s="412"/>
      <c r="I601" s="414"/>
    </row>
    <row r="602" spans="1:9">
      <c r="A602" s="412"/>
      <c r="B602" s="413"/>
      <c r="C602" s="412"/>
      <c r="D602" s="412"/>
      <c r="E602" s="412"/>
      <c r="F602" s="412"/>
      <c r="G602" s="412"/>
      <c r="H602" s="412"/>
      <c r="I602" s="414"/>
    </row>
    <row r="603" spans="1:9">
      <c r="A603" s="412"/>
      <c r="B603" s="413"/>
      <c r="C603" s="412"/>
      <c r="D603" s="412"/>
      <c r="E603" s="412"/>
      <c r="F603" s="412"/>
      <c r="G603" s="412"/>
      <c r="H603" s="412"/>
      <c r="I603" s="414"/>
    </row>
    <row r="604" spans="1:9">
      <c r="A604" s="412"/>
      <c r="B604" s="413"/>
      <c r="C604" s="412"/>
      <c r="D604" s="412"/>
      <c r="E604" s="412"/>
      <c r="F604" s="412"/>
      <c r="G604" s="412"/>
      <c r="H604" s="412"/>
      <c r="I604" s="414"/>
    </row>
    <row r="605" spans="1:9">
      <c r="A605" s="412"/>
      <c r="B605" s="413"/>
      <c r="C605" s="412"/>
      <c r="D605" s="412"/>
      <c r="E605" s="412"/>
      <c r="F605" s="412"/>
      <c r="G605" s="412"/>
      <c r="H605" s="412"/>
      <c r="I605" s="414"/>
    </row>
    <row r="606" spans="1:9">
      <c r="A606" s="412"/>
      <c r="B606" s="413"/>
      <c r="C606" s="412"/>
      <c r="D606" s="412"/>
      <c r="E606" s="412"/>
      <c r="F606" s="412"/>
      <c r="G606" s="412"/>
      <c r="H606" s="412"/>
      <c r="I606" s="414"/>
    </row>
    <row r="607" spans="1:9">
      <c r="A607" s="412"/>
      <c r="B607" s="413"/>
      <c r="C607" s="412"/>
      <c r="D607" s="412"/>
      <c r="E607" s="412"/>
      <c r="F607" s="412"/>
      <c r="G607" s="412"/>
      <c r="H607" s="412"/>
      <c r="I607" s="414"/>
    </row>
    <row r="608" spans="1:9">
      <c r="A608" s="412"/>
      <c r="B608" s="413"/>
      <c r="C608" s="412"/>
      <c r="D608" s="412"/>
      <c r="E608" s="412"/>
      <c r="F608" s="412"/>
      <c r="G608" s="412"/>
      <c r="H608" s="412"/>
      <c r="I608" s="414"/>
    </row>
    <row r="609" spans="1:9">
      <c r="A609" s="412"/>
      <c r="B609" s="413"/>
      <c r="C609" s="412"/>
      <c r="D609" s="412"/>
      <c r="E609" s="412"/>
      <c r="F609" s="412"/>
      <c r="G609" s="412"/>
      <c r="H609" s="412"/>
      <c r="I609" s="414"/>
    </row>
    <row r="610" spans="1:9">
      <c r="A610" s="412"/>
      <c r="B610" s="413"/>
      <c r="C610" s="412"/>
      <c r="D610" s="412"/>
      <c r="E610" s="412"/>
      <c r="F610" s="412"/>
      <c r="G610" s="412"/>
      <c r="H610" s="412"/>
      <c r="I610" s="414"/>
    </row>
    <row r="611" spans="1:9">
      <c r="A611" s="412"/>
      <c r="B611" s="413"/>
      <c r="C611" s="412"/>
      <c r="D611" s="412"/>
      <c r="E611" s="412"/>
      <c r="F611" s="412"/>
      <c r="G611" s="412"/>
      <c r="H611" s="412"/>
      <c r="I611" s="414"/>
    </row>
    <row r="612" spans="1:9">
      <c r="A612" s="412"/>
      <c r="B612" s="413"/>
      <c r="C612" s="412"/>
      <c r="D612" s="412"/>
      <c r="E612" s="412"/>
      <c r="F612" s="412"/>
      <c r="G612" s="412"/>
      <c r="H612" s="412"/>
      <c r="I612" s="414"/>
    </row>
    <row r="613" spans="1:9">
      <c r="A613" s="412"/>
      <c r="B613" s="413"/>
      <c r="C613" s="412"/>
      <c r="D613" s="412"/>
      <c r="E613" s="412"/>
      <c r="F613" s="412"/>
      <c r="G613" s="412"/>
      <c r="H613" s="412"/>
      <c r="I613" s="414"/>
    </row>
    <row r="614" spans="1:9">
      <c r="A614" s="412"/>
      <c r="B614" s="413"/>
      <c r="C614" s="412"/>
      <c r="D614" s="412"/>
      <c r="E614" s="412"/>
      <c r="F614" s="412"/>
      <c r="G614" s="412"/>
      <c r="H614" s="412"/>
      <c r="I614" s="414"/>
    </row>
    <row r="615" spans="1:9">
      <c r="A615" s="412"/>
      <c r="B615" s="413"/>
      <c r="C615" s="412"/>
      <c r="D615" s="412"/>
      <c r="E615" s="412"/>
      <c r="F615" s="412"/>
      <c r="G615" s="412"/>
      <c r="H615" s="412"/>
      <c r="I615" s="414"/>
    </row>
    <row r="616" spans="1:9">
      <c r="A616" s="412"/>
      <c r="B616" s="413"/>
      <c r="C616" s="412"/>
      <c r="D616" s="412"/>
      <c r="E616" s="412"/>
      <c r="F616" s="412"/>
      <c r="G616" s="412"/>
      <c r="H616" s="412"/>
      <c r="I616" s="414"/>
    </row>
    <row r="617" spans="1:9">
      <c r="A617" s="412"/>
      <c r="B617" s="413"/>
      <c r="C617" s="412"/>
      <c r="D617" s="412"/>
      <c r="E617" s="412"/>
      <c r="F617" s="412"/>
      <c r="G617" s="412"/>
      <c r="H617" s="412"/>
      <c r="I617" s="414"/>
    </row>
    <row r="618" spans="1:9">
      <c r="A618" s="412"/>
      <c r="B618" s="413"/>
      <c r="C618" s="412"/>
      <c r="D618" s="412"/>
      <c r="E618" s="412"/>
      <c r="F618" s="412"/>
      <c r="G618" s="412"/>
      <c r="H618" s="412"/>
      <c r="I618" s="414"/>
    </row>
    <row r="619" spans="1:9">
      <c r="A619" s="412"/>
      <c r="B619" s="413"/>
      <c r="C619" s="412"/>
      <c r="D619" s="412"/>
      <c r="E619" s="412"/>
      <c r="F619" s="412"/>
      <c r="G619" s="412"/>
      <c r="H619" s="412"/>
      <c r="I619" s="414"/>
    </row>
    <row r="620" spans="1:9">
      <c r="A620" s="412"/>
      <c r="B620" s="413"/>
      <c r="C620" s="412"/>
      <c r="D620" s="412"/>
      <c r="E620" s="412"/>
      <c r="F620" s="412"/>
      <c r="G620" s="412"/>
      <c r="H620" s="412"/>
      <c r="I620" s="414"/>
    </row>
    <row r="621" spans="1:9">
      <c r="A621" s="412"/>
      <c r="B621" s="413"/>
      <c r="C621" s="412"/>
      <c r="D621" s="412"/>
      <c r="E621" s="412"/>
      <c r="F621" s="412"/>
      <c r="G621" s="412"/>
      <c r="H621" s="412"/>
      <c r="I621" s="414"/>
    </row>
    <row r="622" spans="1:9">
      <c r="A622" s="412"/>
      <c r="B622" s="413"/>
      <c r="C622" s="412"/>
      <c r="D622" s="412"/>
      <c r="E622" s="412"/>
      <c r="F622" s="412"/>
      <c r="G622" s="412"/>
      <c r="H622" s="412"/>
      <c r="I622" s="414"/>
    </row>
    <row r="623" spans="1:9">
      <c r="A623" s="412"/>
      <c r="B623" s="413"/>
      <c r="C623" s="412"/>
      <c r="D623" s="412"/>
      <c r="E623" s="412"/>
      <c r="F623" s="412"/>
      <c r="G623" s="412"/>
      <c r="H623" s="412"/>
      <c r="I623" s="414"/>
    </row>
    <row r="624" spans="1:9">
      <c r="A624" s="412"/>
      <c r="B624" s="413"/>
      <c r="C624" s="412"/>
      <c r="D624" s="412"/>
      <c r="E624" s="412"/>
      <c r="F624" s="412"/>
      <c r="G624" s="412"/>
      <c r="H624" s="412"/>
      <c r="I624" s="414"/>
    </row>
    <row r="625" spans="1:9">
      <c r="A625" s="412"/>
      <c r="B625" s="413"/>
      <c r="C625" s="412"/>
      <c r="D625" s="412"/>
      <c r="E625" s="412"/>
      <c r="F625" s="412"/>
      <c r="G625" s="412"/>
      <c r="H625" s="412"/>
      <c r="I625" s="414"/>
    </row>
    <row r="626" spans="1:9">
      <c r="A626" s="412"/>
      <c r="B626" s="413"/>
      <c r="C626" s="412"/>
      <c r="D626" s="412"/>
      <c r="E626" s="412"/>
      <c r="F626" s="412"/>
      <c r="G626" s="412"/>
      <c r="H626" s="412"/>
      <c r="I626" s="414"/>
    </row>
    <row r="627" spans="1:9">
      <c r="A627" s="412"/>
      <c r="B627" s="413"/>
      <c r="C627" s="412"/>
      <c r="D627" s="412"/>
      <c r="E627" s="412"/>
      <c r="F627" s="412"/>
      <c r="G627" s="412"/>
      <c r="H627" s="412"/>
      <c r="I627" s="414"/>
    </row>
    <row r="628" spans="1:9">
      <c r="A628" s="412"/>
      <c r="B628" s="413"/>
      <c r="C628" s="412"/>
      <c r="D628" s="412"/>
      <c r="E628" s="412"/>
      <c r="F628" s="412"/>
      <c r="G628" s="412"/>
      <c r="H628" s="412"/>
      <c r="I628" s="414"/>
    </row>
    <row r="629" spans="1:9">
      <c r="A629" s="412"/>
      <c r="B629" s="413"/>
      <c r="C629" s="412"/>
      <c r="D629" s="412"/>
      <c r="E629" s="412"/>
      <c r="F629" s="412"/>
      <c r="G629" s="412"/>
      <c r="H629" s="412"/>
      <c r="I629" s="414"/>
    </row>
    <row r="630" spans="1:9">
      <c r="A630" s="412"/>
      <c r="B630" s="413"/>
      <c r="C630" s="412"/>
      <c r="D630" s="412"/>
      <c r="E630" s="412"/>
      <c r="F630" s="412"/>
      <c r="G630" s="412"/>
      <c r="H630" s="412"/>
      <c r="I630" s="414"/>
    </row>
    <row r="631" spans="1:9">
      <c r="A631" s="412"/>
      <c r="B631" s="413"/>
      <c r="C631" s="412"/>
      <c r="D631" s="412"/>
      <c r="E631" s="412"/>
      <c r="F631" s="412"/>
      <c r="G631" s="412"/>
      <c r="H631" s="412"/>
      <c r="I631" s="414"/>
    </row>
    <row r="632" spans="1:9">
      <c r="A632" s="412"/>
      <c r="B632" s="413"/>
      <c r="C632" s="412"/>
      <c r="D632" s="412"/>
      <c r="E632" s="412"/>
      <c r="F632" s="412"/>
      <c r="G632" s="412"/>
      <c r="H632" s="412"/>
      <c r="I632" s="414"/>
    </row>
    <row r="633" spans="1:9">
      <c r="A633" s="412"/>
      <c r="B633" s="413"/>
      <c r="C633" s="412"/>
      <c r="D633" s="412"/>
      <c r="E633" s="412"/>
      <c r="F633" s="412"/>
      <c r="G633" s="412"/>
      <c r="H633" s="412"/>
      <c r="I633" s="414"/>
    </row>
    <row r="634" spans="1:9">
      <c r="A634" s="412"/>
      <c r="B634" s="413"/>
      <c r="C634" s="412"/>
      <c r="D634" s="412"/>
      <c r="E634" s="412"/>
      <c r="F634" s="412"/>
      <c r="G634" s="412"/>
      <c r="H634" s="412"/>
      <c r="I634" s="414"/>
    </row>
    <row r="635" spans="1:9">
      <c r="A635" s="412"/>
      <c r="B635" s="413"/>
      <c r="C635" s="412"/>
      <c r="D635" s="412"/>
      <c r="E635" s="412"/>
      <c r="F635" s="412"/>
      <c r="G635" s="412"/>
      <c r="H635" s="412"/>
      <c r="I635" s="414"/>
    </row>
    <row r="636" spans="1:9">
      <c r="A636" s="412"/>
      <c r="B636" s="413"/>
      <c r="C636" s="412"/>
      <c r="D636" s="412"/>
      <c r="E636" s="412"/>
      <c r="F636" s="412"/>
      <c r="G636" s="412"/>
      <c r="H636" s="412"/>
      <c r="I636" s="414"/>
    </row>
    <row r="637" spans="1:9">
      <c r="A637" s="412"/>
      <c r="B637" s="413"/>
      <c r="C637" s="412"/>
      <c r="D637" s="412"/>
      <c r="E637" s="412"/>
      <c r="F637" s="412"/>
      <c r="G637" s="412"/>
      <c r="H637" s="412"/>
      <c r="I637" s="414"/>
    </row>
    <row r="638" spans="1:9">
      <c r="A638" s="412"/>
      <c r="B638" s="413"/>
      <c r="C638" s="412"/>
      <c r="D638" s="412"/>
      <c r="E638" s="412"/>
      <c r="F638" s="412"/>
      <c r="G638" s="412"/>
      <c r="H638" s="412"/>
      <c r="I638" s="414"/>
    </row>
    <row r="639" spans="1:9">
      <c r="A639" s="412"/>
      <c r="B639" s="413"/>
      <c r="C639" s="412"/>
      <c r="D639" s="412"/>
      <c r="E639" s="412"/>
      <c r="F639" s="412"/>
      <c r="G639" s="412"/>
      <c r="H639" s="412"/>
      <c r="I639" s="414"/>
    </row>
    <row r="640" spans="1:9">
      <c r="A640" s="412"/>
      <c r="B640" s="413"/>
      <c r="C640" s="412"/>
      <c r="D640" s="412"/>
      <c r="E640" s="412"/>
      <c r="F640" s="412"/>
      <c r="G640" s="412"/>
      <c r="H640" s="412"/>
      <c r="I640" s="414"/>
    </row>
    <row r="641" spans="1:9">
      <c r="A641" s="412"/>
      <c r="B641" s="413"/>
      <c r="C641" s="412"/>
      <c r="D641" s="412"/>
      <c r="E641" s="412"/>
      <c r="F641" s="412"/>
      <c r="G641" s="412"/>
      <c r="H641" s="412"/>
      <c r="I641" s="414"/>
    </row>
    <row r="642" spans="1:9">
      <c r="A642" s="412"/>
      <c r="B642" s="413"/>
      <c r="C642" s="412"/>
      <c r="D642" s="412"/>
      <c r="E642" s="412"/>
      <c r="F642" s="412"/>
      <c r="G642" s="412"/>
      <c r="H642" s="412"/>
      <c r="I642" s="414"/>
    </row>
    <row r="643" spans="1:9">
      <c r="A643" s="412"/>
      <c r="B643" s="413"/>
      <c r="C643" s="412"/>
      <c r="D643" s="412"/>
      <c r="E643" s="412"/>
      <c r="F643" s="412"/>
      <c r="G643" s="412"/>
      <c r="H643" s="412"/>
      <c r="I643" s="414"/>
    </row>
    <row r="644" spans="1:9">
      <c r="A644" s="412"/>
      <c r="B644" s="413"/>
      <c r="C644" s="412"/>
      <c r="D644" s="412"/>
      <c r="E644" s="412"/>
      <c r="F644" s="412"/>
      <c r="G644" s="412"/>
      <c r="H644" s="412"/>
      <c r="I644" s="414"/>
    </row>
    <row r="645" spans="1:9">
      <c r="A645" s="412"/>
      <c r="B645" s="413"/>
      <c r="C645" s="412"/>
      <c r="D645" s="412"/>
      <c r="E645" s="412"/>
      <c r="F645" s="412"/>
      <c r="G645" s="412"/>
      <c r="H645" s="412"/>
      <c r="I645" s="414"/>
    </row>
    <row r="646" spans="1:9">
      <c r="A646" s="412"/>
      <c r="B646" s="413"/>
      <c r="C646" s="412"/>
      <c r="D646" s="412"/>
      <c r="E646" s="412"/>
      <c r="F646" s="412"/>
      <c r="G646" s="412"/>
      <c r="H646" s="412"/>
      <c r="I646" s="414"/>
    </row>
    <row r="647" spans="1:9">
      <c r="A647" s="412"/>
      <c r="B647" s="413"/>
      <c r="C647" s="412"/>
      <c r="D647" s="412"/>
      <c r="E647" s="412"/>
      <c r="F647" s="412"/>
      <c r="G647" s="412"/>
      <c r="H647" s="412"/>
      <c r="I647" s="414"/>
    </row>
    <row r="648" spans="1:9">
      <c r="A648" s="412"/>
      <c r="B648" s="413"/>
      <c r="C648" s="412"/>
      <c r="D648" s="412"/>
      <c r="E648" s="412"/>
      <c r="F648" s="412"/>
      <c r="G648" s="412"/>
      <c r="H648" s="412"/>
      <c r="I648" s="414"/>
    </row>
    <row r="649" spans="1:9">
      <c r="A649" s="412"/>
      <c r="B649" s="413"/>
      <c r="C649" s="412"/>
      <c r="D649" s="412"/>
      <c r="E649" s="412"/>
      <c r="F649" s="412"/>
      <c r="G649" s="412"/>
      <c r="H649" s="412"/>
      <c r="I649" s="414"/>
    </row>
    <row r="650" spans="1:9">
      <c r="A650" s="412"/>
      <c r="B650" s="413"/>
      <c r="C650" s="412"/>
      <c r="D650" s="412"/>
      <c r="E650" s="412"/>
      <c r="F650" s="412"/>
      <c r="G650" s="412"/>
      <c r="H650" s="412"/>
      <c r="I650" s="414"/>
    </row>
    <row r="651" spans="1:9">
      <c r="A651" s="412"/>
      <c r="B651" s="413"/>
      <c r="C651" s="412"/>
      <c r="D651" s="412"/>
      <c r="E651" s="412"/>
      <c r="F651" s="412"/>
      <c r="G651" s="412"/>
      <c r="H651" s="412"/>
      <c r="I651" s="414"/>
    </row>
    <row r="652" spans="1:9">
      <c r="A652" s="412"/>
      <c r="B652" s="413"/>
      <c r="C652" s="412"/>
      <c r="D652" s="412"/>
      <c r="E652" s="412"/>
      <c r="F652" s="412"/>
      <c r="G652" s="412"/>
      <c r="H652" s="412"/>
      <c r="I652" s="414"/>
    </row>
    <row r="653" spans="1:9">
      <c r="A653" s="412"/>
      <c r="B653" s="413"/>
      <c r="C653" s="412"/>
      <c r="D653" s="412"/>
      <c r="E653" s="412"/>
      <c r="F653" s="412"/>
      <c r="G653" s="412"/>
      <c r="H653" s="412"/>
      <c r="I653" s="414"/>
    </row>
    <row r="654" spans="1:9">
      <c r="A654" s="412"/>
      <c r="B654" s="413"/>
      <c r="C654" s="412"/>
      <c r="D654" s="412"/>
      <c r="E654" s="412"/>
      <c r="F654" s="412"/>
      <c r="G654" s="412"/>
      <c r="H654" s="412"/>
      <c r="I654" s="414"/>
    </row>
    <row r="655" spans="1:9">
      <c r="A655" s="412"/>
      <c r="B655" s="413"/>
      <c r="C655" s="412"/>
      <c r="D655" s="412"/>
      <c r="E655" s="412"/>
      <c r="F655" s="412"/>
      <c r="G655" s="412"/>
      <c r="H655" s="412"/>
      <c r="I655" s="414"/>
    </row>
    <row r="656" spans="1:9">
      <c r="A656" s="412"/>
      <c r="B656" s="413"/>
      <c r="C656" s="412"/>
      <c r="D656" s="412"/>
      <c r="E656" s="412"/>
      <c r="F656" s="412"/>
      <c r="G656" s="412"/>
      <c r="H656" s="412"/>
      <c r="I656" s="414"/>
    </row>
    <row r="657" spans="1:9">
      <c r="A657" s="412"/>
      <c r="B657" s="413"/>
      <c r="C657" s="412"/>
      <c r="D657" s="412"/>
      <c r="E657" s="412"/>
      <c r="F657" s="412"/>
      <c r="G657" s="412"/>
      <c r="H657" s="412"/>
      <c r="I657" s="414"/>
    </row>
    <row r="658" spans="1:9">
      <c r="A658" s="412"/>
      <c r="B658" s="413"/>
      <c r="C658" s="412"/>
      <c r="D658" s="412"/>
      <c r="E658" s="412"/>
      <c r="F658" s="412"/>
      <c r="G658" s="412"/>
      <c r="H658" s="412"/>
      <c r="I658" s="414"/>
    </row>
    <row r="659" spans="1:9">
      <c r="A659" s="412"/>
      <c r="B659" s="413"/>
      <c r="C659" s="412"/>
      <c r="D659" s="412"/>
      <c r="E659" s="412"/>
      <c r="F659" s="412"/>
      <c r="G659" s="412"/>
      <c r="H659" s="412"/>
      <c r="I659" s="414"/>
    </row>
    <row r="660" spans="1:9">
      <c r="A660" s="412"/>
      <c r="B660" s="413"/>
      <c r="C660" s="412"/>
      <c r="D660" s="412"/>
      <c r="E660" s="412"/>
      <c r="F660" s="412"/>
      <c r="G660" s="412"/>
      <c r="H660" s="412"/>
      <c r="I660" s="414"/>
    </row>
    <row r="661" spans="1:9">
      <c r="A661" s="412"/>
      <c r="B661" s="413"/>
      <c r="C661" s="412"/>
      <c r="D661" s="412"/>
      <c r="E661" s="412"/>
      <c r="F661" s="412"/>
      <c r="G661" s="412"/>
      <c r="H661" s="412"/>
      <c r="I661" s="414"/>
    </row>
    <row r="662" spans="1:9">
      <c r="A662" s="412"/>
      <c r="B662" s="413"/>
      <c r="C662" s="412"/>
      <c r="D662" s="412"/>
      <c r="E662" s="412"/>
      <c r="F662" s="412"/>
      <c r="G662" s="412"/>
      <c r="H662" s="412"/>
      <c r="I662" s="414"/>
    </row>
    <row r="663" spans="1:9">
      <c r="A663" s="412"/>
      <c r="B663" s="413"/>
      <c r="C663" s="412"/>
      <c r="D663" s="412"/>
      <c r="E663" s="412"/>
      <c r="F663" s="412"/>
      <c r="G663" s="412"/>
      <c r="H663" s="412"/>
      <c r="I663" s="414"/>
    </row>
    <row r="664" spans="1:9">
      <c r="A664" s="412"/>
      <c r="B664" s="413"/>
      <c r="C664" s="412"/>
      <c r="D664" s="412"/>
      <c r="E664" s="412"/>
      <c r="F664" s="412"/>
      <c r="G664" s="412"/>
      <c r="H664" s="412"/>
      <c r="I664" s="414"/>
    </row>
    <row r="665" spans="1:9">
      <c r="A665" s="412"/>
      <c r="B665" s="413"/>
      <c r="C665" s="412"/>
      <c r="D665" s="412"/>
      <c r="E665" s="412"/>
      <c r="F665" s="412"/>
      <c r="G665" s="412"/>
      <c r="H665" s="412"/>
      <c r="I665" s="414"/>
    </row>
    <row r="666" spans="1:9">
      <c r="A666" s="412"/>
      <c r="B666" s="413"/>
      <c r="C666" s="412"/>
      <c r="D666" s="412"/>
      <c r="E666" s="412"/>
      <c r="F666" s="412"/>
      <c r="G666" s="412"/>
      <c r="H666" s="412"/>
      <c r="I666" s="414"/>
    </row>
    <row r="667" spans="1:9">
      <c r="A667" s="412"/>
      <c r="B667" s="413"/>
      <c r="C667" s="412"/>
      <c r="D667" s="412"/>
      <c r="E667" s="412"/>
      <c r="F667" s="412"/>
      <c r="G667" s="412"/>
      <c r="H667" s="412"/>
      <c r="I667" s="414"/>
    </row>
    <row r="668" spans="1:9">
      <c r="A668" s="412"/>
      <c r="B668" s="413"/>
      <c r="C668" s="412"/>
      <c r="D668" s="412"/>
      <c r="E668" s="412"/>
      <c r="F668" s="412"/>
      <c r="G668" s="412"/>
      <c r="H668" s="412"/>
      <c r="I668" s="414"/>
    </row>
    <row r="669" spans="1:9">
      <c r="A669" s="412"/>
      <c r="B669" s="413"/>
      <c r="C669" s="412"/>
      <c r="D669" s="412"/>
      <c r="E669" s="412"/>
      <c r="F669" s="412"/>
      <c r="G669" s="412"/>
      <c r="H669" s="412"/>
      <c r="I669" s="414"/>
    </row>
    <row r="670" spans="1:9">
      <c r="A670" s="412"/>
      <c r="B670" s="413"/>
      <c r="C670" s="412"/>
      <c r="D670" s="412"/>
      <c r="E670" s="412"/>
      <c r="F670" s="412"/>
      <c r="G670" s="412"/>
      <c r="H670" s="412"/>
      <c r="I670" s="414"/>
    </row>
    <row r="671" spans="1:9">
      <c r="A671" s="412"/>
      <c r="B671" s="413"/>
      <c r="C671" s="412"/>
      <c r="D671" s="412"/>
      <c r="E671" s="412"/>
      <c r="F671" s="412"/>
      <c r="G671" s="412"/>
      <c r="H671" s="412"/>
      <c r="I671" s="414"/>
    </row>
    <row r="672" spans="1:9">
      <c r="A672" s="412"/>
      <c r="B672" s="413"/>
      <c r="C672" s="412"/>
      <c r="D672" s="412"/>
      <c r="E672" s="412"/>
      <c r="F672" s="412"/>
      <c r="G672" s="412"/>
      <c r="H672" s="412"/>
      <c r="I672" s="414"/>
    </row>
    <row r="673" spans="1:9">
      <c r="A673" s="412"/>
      <c r="B673" s="413"/>
      <c r="C673" s="412"/>
      <c r="D673" s="412"/>
      <c r="E673" s="412"/>
      <c r="F673" s="412"/>
      <c r="G673" s="412"/>
      <c r="H673" s="412"/>
      <c r="I673" s="414"/>
    </row>
    <row r="674" spans="1:9">
      <c r="A674" s="412"/>
      <c r="B674" s="413"/>
      <c r="C674" s="412"/>
      <c r="D674" s="412"/>
      <c r="E674" s="412"/>
      <c r="F674" s="412"/>
      <c r="G674" s="412"/>
      <c r="H674" s="412"/>
      <c r="I674" s="414"/>
    </row>
    <row r="675" spans="1:9">
      <c r="A675" s="412"/>
      <c r="B675" s="413"/>
      <c r="C675" s="412"/>
      <c r="D675" s="412"/>
      <c r="E675" s="412"/>
      <c r="F675" s="412"/>
      <c r="G675" s="412"/>
      <c r="H675" s="412"/>
      <c r="I675" s="414"/>
    </row>
    <row r="676" spans="1:9">
      <c r="A676" s="412"/>
      <c r="B676" s="413"/>
      <c r="C676" s="412"/>
      <c r="D676" s="412"/>
      <c r="E676" s="412"/>
      <c r="F676" s="412"/>
      <c r="G676" s="412"/>
      <c r="H676" s="412"/>
      <c r="I676" s="414"/>
    </row>
    <row r="677" spans="1:9">
      <c r="A677" s="412"/>
      <c r="B677" s="413"/>
      <c r="C677" s="412"/>
      <c r="D677" s="412"/>
      <c r="E677" s="412"/>
      <c r="F677" s="412"/>
      <c r="G677" s="412"/>
      <c r="H677" s="412"/>
      <c r="I677" s="414"/>
    </row>
    <row r="678" spans="1:9">
      <c r="A678" s="412"/>
      <c r="B678" s="413"/>
      <c r="C678" s="412"/>
      <c r="D678" s="412"/>
      <c r="E678" s="412"/>
      <c r="F678" s="412"/>
      <c r="G678" s="412"/>
      <c r="H678" s="412"/>
      <c r="I678" s="414"/>
    </row>
    <row r="679" spans="1:9">
      <c r="A679" s="412"/>
      <c r="B679" s="413"/>
      <c r="C679" s="412"/>
      <c r="D679" s="412"/>
      <c r="E679" s="412"/>
      <c r="F679" s="412"/>
      <c r="G679" s="412"/>
      <c r="H679" s="412"/>
      <c r="I679" s="414"/>
    </row>
    <row r="680" spans="1:9">
      <c r="A680" s="412"/>
      <c r="B680" s="413"/>
      <c r="C680" s="412"/>
      <c r="D680" s="412"/>
      <c r="E680" s="412"/>
      <c r="F680" s="412"/>
      <c r="G680" s="412"/>
      <c r="H680" s="412"/>
      <c r="I680" s="414"/>
    </row>
    <row r="681" spans="1:9">
      <c r="A681" s="412"/>
      <c r="B681" s="413"/>
      <c r="C681" s="412"/>
      <c r="D681" s="412"/>
      <c r="E681" s="412"/>
      <c r="F681" s="412"/>
      <c r="G681" s="412"/>
      <c r="H681" s="412"/>
      <c r="I681" s="414"/>
    </row>
    <row r="682" spans="1:9">
      <c r="A682" s="412"/>
      <c r="B682" s="413"/>
      <c r="C682" s="412"/>
      <c r="D682" s="412"/>
      <c r="E682" s="412"/>
      <c r="F682" s="412"/>
      <c r="G682" s="412"/>
      <c r="H682" s="412"/>
      <c r="I682" s="414"/>
    </row>
    <row r="683" spans="1:9">
      <c r="A683" s="412"/>
      <c r="B683" s="413"/>
      <c r="C683" s="412"/>
      <c r="D683" s="412"/>
      <c r="E683" s="412"/>
      <c r="F683" s="412"/>
      <c r="G683" s="412"/>
      <c r="H683" s="412"/>
      <c r="I683" s="414"/>
    </row>
    <row r="684" spans="1:9">
      <c r="A684" s="412"/>
      <c r="B684" s="413"/>
      <c r="C684" s="412"/>
      <c r="D684" s="412"/>
      <c r="E684" s="412"/>
      <c r="F684" s="412"/>
      <c r="G684" s="412"/>
      <c r="H684" s="412"/>
      <c r="I684" s="414"/>
    </row>
    <row r="685" spans="1:9">
      <c r="A685" s="412"/>
      <c r="B685" s="413"/>
      <c r="C685" s="412"/>
      <c r="D685" s="412"/>
      <c r="E685" s="412"/>
      <c r="F685" s="412"/>
      <c r="G685" s="412"/>
      <c r="H685" s="412"/>
      <c r="I685" s="414"/>
    </row>
    <row r="686" spans="1:9">
      <c r="A686" s="412"/>
      <c r="B686" s="413"/>
      <c r="C686" s="412"/>
      <c r="D686" s="412"/>
      <c r="E686" s="412"/>
      <c r="F686" s="412"/>
      <c r="G686" s="412"/>
      <c r="H686" s="412"/>
      <c r="I686" s="414"/>
    </row>
    <row r="687" spans="1:9">
      <c r="A687" s="412"/>
      <c r="B687" s="413"/>
      <c r="C687" s="412"/>
      <c r="D687" s="412"/>
      <c r="E687" s="412"/>
      <c r="F687" s="412"/>
      <c r="G687" s="412"/>
      <c r="H687" s="412"/>
      <c r="I687" s="414"/>
    </row>
    <row r="688" spans="1:9">
      <c r="A688" s="412"/>
      <c r="B688" s="413"/>
      <c r="C688" s="412"/>
      <c r="D688" s="412"/>
      <c r="E688" s="412"/>
      <c r="F688" s="412"/>
      <c r="G688" s="412"/>
      <c r="H688" s="412"/>
      <c r="I688" s="414"/>
    </row>
    <row r="689" spans="1:9">
      <c r="A689" s="412"/>
      <c r="B689" s="413"/>
      <c r="C689" s="412"/>
      <c r="D689" s="412"/>
      <c r="E689" s="412"/>
      <c r="F689" s="412"/>
      <c r="G689" s="412"/>
      <c r="H689" s="412"/>
      <c r="I689" s="414"/>
    </row>
    <row r="690" spans="1:9">
      <c r="A690" s="412"/>
      <c r="B690" s="413"/>
      <c r="C690" s="412"/>
      <c r="D690" s="412"/>
      <c r="E690" s="412"/>
      <c r="F690" s="412"/>
      <c r="G690" s="412"/>
      <c r="H690" s="412"/>
      <c r="I690" s="414"/>
    </row>
    <row r="691" spans="1:9">
      <c r="A691" s="412"/>
      <c r="B691" s="413"/>
      <c r="C691" s="412"/>
      <c r="D691" s="412"/>
      <c r="E691" s="412"/>
      <c r="F691" s="412"/>
      <c r="G691" s="412"/>
      <c r="H691" s="412"/>
      <c r="I691" s="414"/>
    </row>
    <row r="692" spans="1:9">
      <c r="A692" s="412"/>
      <c r="B692" s="413"/>
      <c r="C692" s="412"/>
      <c r="D692" s="412"/>
      <c r="E692" s="412"/>
      <c r="F692" s="412"/>
      <c r="G692" s="412"/>
      <c r="H692" s="412"/>
      <c r="I692" s="414"/>
    </row>
    <row r="693" spans="1:9">
      <c r="A693" s="412"/>
      <c r="B693" s="413"/>
      <c r="C693" s="412"/>
      <c r="D693" s="412"/>
      <c r="E693" s="412"/>
      <c r="F693" s="412"/>
      <c r="G693" s="412"/>
      <c r="H693" s="412"/>
      <c r="I693" s="414"/>
    </row>
    <row r="694" spans="1:9">
      <c r="A694" s="412"/>
      <c r="B694" s="413"/>
      <c r="C694" s="412"/>
      <c r="D694" s="412"/>
      <c r="E694" s="412"/>
      <c r="F694" s="412"/>
      <c r="G694" s="412"/>
      <c r="H694" s="412"/>
      <c r="I694" s="414"/>
    </row>
    <row r="695" spans="1:9">
      <c r="A695" s="412"/>
      <c r="B695" s="413"/>
      <c r="C695" s="412"/>
      <c r="D695" s="412"/>
      <c r="E695" s="412"/>
      <c r="F695" s="412"/>
      <c r="G695" s="412"/>
      <c r="H695" s="412"/>
      <c r="I695" s="414"/>
    </row>
    <row r="696" spans="1:9">
      <c r="A696" s="412"/>
      <c r="B696" s="413"/>
      <c r="C696" s="412"/>
      <c r="D696" s="412"/>
      <c r="E696" s="412"/>
      <c r="F696" s="412"/>
      <c r="G696" s="412"/>
      <c r="H696" s="412"/>
      <c r="I696" s="414"/>
    </row>
    <row r="697" spans="1:9">
      <c r="A697" s="412"/>
      <c r="B697" s="413"/>
      <c r="C697" s="412"/>
      <c r="D697" s="412"/>
      <c r="E697" s="412"/>
      <c r="F697" s="412"/>
      <c r="G697" s="412"/>
      <c r="H697" s="412"/>
      <c r="I697" s="414"/>
    </row>
    <row r="698" spans="1:9">
      <c r="A698" s="412"/>
      <c r="B698" s="413"/>
      <c r="C698" s="412"/>
      <c r="D698" s="412"/>
      <c r="E698" s="412"/>
      <c r="F698" s="412"/>
      <c r="G698" s="412"/>
      <c r="H698" s="412"/>
      <c r="I698" s="414"/>
    </row>
    <row r="699" spans="1:9">
      <c r="A699" s="412"/>
      <c r="B699" s="413"/>
      <c r="C699" s="412"/>
      <c r="D699" s="412"/>
      <c r="E699" s="412"/>
      <c r="F699" s="412"/>
      <c r="G699" s="412"/>
      <c r="H699" s="412"/>
      <c r="I699" s="414"/>
    </row>
    <row r="700" spans="1:9">
      <c r="A700" s="412"/>
      <c r="B700" s="413"/>
      <c r="C700" s="412"/>
      <c r="D700" s="412"/>
      <c r="E700" s="412"/>
      <c r="F700" s="412"/>
      <c r="G700" s="412"/>
      <c r="H700" s="412"/>
      <c r="I700" s="414"/>
    </row>
    <row r="701" spans="1:9">
      <c r="A701" s="412"/>
      <c r="B701" s="413"/>
      <c r="C701" s="412"/>
      <c r="D701" s="412"/>
      <c r="E701" s="412"/>
      <c r="F701" s="412"/>
      <c r="G701" s="412"/>
      <c r="H701" s="412"/>
      <c r="I701" s="414"/>
    </row>
    <row r="702" spans="1:9">
      <c r="A702" s="412"/>
      <c r="B702" s="413"/>
      <c r="C702" s="412"/>
      <c r="D702" s="412"/>
      <c r="E702" s="412"/>
      <c r="F702" s="412"/>
      <c r="G702" s="412"/>
      <c r="H702" s="412"/>
      <c r="I702" s="414"/>
    </row>
    <row r="703" spans="1:9">
      <c r="A703" s="412"/>
      <c r="B703" s="413"/>
      <c r="C703" s="412"/>
      <c r="D703" s="412"/>
      <c r="E703" s="412"/>
      <c r="F703" s="412"/>
      <c r="G703" s="412"/>
      <c r="H703" s="412"/>
      <c r="I703" s="414"/>
    </row>
    <row r="704" spans="1:9">
      <c r="A704" s="412"/>
      <c r="B704" s="413"/>
      <c r="C704" s="412"/>
      <c r="D704" s="412"/>
      <c r="E704" s="412"/>
      <c r="F704" s="412"/>
      <c r="G704" s="412"/>
      <c r="H704" s="412"/>
      <c r="I704" s="414"/>
    </row>
    <row r="705" spans="1:9">
      <c r="A705" s="412"/>
      <c r="B705" s="413"/>
      <c r="C705" s="412"/>
      <c r="D705" s="412"/>
      <c r="E705" s="412"/>
      <c r="F705" s="412"/>
      <c r="G705" s="412"/>
      <c r="H705" s="412"/>
      <c r="I705" s="414"/>
    </row>
    <row r="706" spans="1:9">
      <c r="A706" s="412"/>
      <c r="B706" s="413"/>
      <c r="C706" s="412"/>
      <c r="D706" s="412"/>
      <c r="E706" s="412"/>
      <c r="F706" s="412"/>
      <c r="G706" s="412"/>
      <c r="H706" s="412"/>
      <c r="I706" s="414"/>
    </row>
    <row r="707" spans="1:9">
      <c r="A707" s="412"/>
      <c r="B707" s="413"/>
      <c r="C707" s="412"/>
      <c r="D707" s="412"/>
      <c r="E707" s="412"/>
      <c r="F707" s="412"/>
      <c r="G707" s="412"/>
      <c r="H707" s="412"/>
      <c r="I707" s="414"/>
    </row>
    <row r="708" spans="1:9">
      <c r="A708" s="412"/>
      <c r="B708" s="413"/>
      <c r="C708" s="412"/>
      <c r="D708" s="412"/>
      <c r="E708" s="412"/>
      <c r="F708" s="412"/>
      <c r="G708" s="412"/>
      <c r="H708" s="412"/>
      <c r="I708" s="414"/>
    </row>
    <row r="709" spans="1:9">
      <c r="A709" s="412"/>
      <c r="B709" s="413"/>
      <c r="C709" s="412"/>
      <c r="D709" s="412"/>
      <c r="E709" s="412"/>
      <c r="F709" s="412"/>
      <c r="G709" s="412"/>
      <c r="H709" s="412"/>
      <c r="I709" s="414"/>
    </row>
    <row r="710" spans="1:9">
      <c r="A710" s="412"/>
      <c r="B710" s="413"/>
      <c r="C710" s="412"/>
      <c r="D710" s="412"/>
      <c r="E710" s="412"/>
      <c r="F710" s="412"/>
      <c r="G710" s="412"/>
      <c r="H710" s="412"/>
      <c r="I710" s="414"/>
    </row>
    <row r="711" spans="1:9">
      <c r="A711" s="412"/>
      <c r="B711" s="413"/>
      <c r="C711" s="412"/>
      <c r="D711" s="412"/>
      <c r="E711" s="412"/>
      <c r="F711" s="412"/>
      <c r="G711" s="412"/>
      <c r="H711" s="412"/>
      <c r="I711" s="414"/>
    </row>
    <row r="712" spans="1:9">
      <c r="A712" s="412"/>
      <c r="B712" s="413"/>
      <c r="C712" s="412"/>
      <c r="D712" s="412"/>
      <c r="E712" s="412"/>
      <c r="F712" s="412"/>
      <c r="G712" s="412"/>
      <c r="H712" s="412"/>
      <c r="I712" s="414"/>
    </row>
    <row r="713" spans="1:9">
      <c r="A713" s="412"/>
      <c r="B713" s="413"/>
      <c r="C713" s="412"/>
      <c r="D713" s="412"/>
      <c r="E713" s="412"/>
      <c r="F713" s="412"/>
      <c r="G713" s="412"/>
      <c r="H713" s="412"/>
      <c r="I713" s="414"/>
    </row>
    <row r="714" spans="1:9">
      <c r="A714" s="412"/>
      <c r="B714" s="413"/>
      <c r="C714" s="412"/>
      <c r="D714" s="412"/>
      <c r="E714" s="412"/>
      <c r="F714" s="412"/>
      <c r="G714" s="412"/>
      <c r="H714" s="412"/>
      <c r="I714" s="414"/>
    </row>
    <row r="715" spans="1:9">
      <c r="A715" s="412"/>
      <c r="B715" s="413"/>
      <c r="C715" s="412"/>
      <c r="D715" s="412"/>
      <c r="E715" s="412"/>
      <c r="F715" s="412"/>
      <c r="G715" s="412"/>
      <c r="H715" s="412"/>
      <c r="I715" s="414"/>
    </row>
    <row r="716" spans="1:9">
      <c r="A716" s="412"/>
      <c r="B716" s="413"/>
      <c r="C716" s="412"/>
      <c r="D716" s="412"/>
      <c r="E716" s="412"/>
      <c r="F716" s="412"/>
      <c r="G716" s="412"/>
      <c r="H716" s="412"/>
      <c r="I716" s="414"/>
    </row>
    <row r="717" spans="1:9">
      <c r="A717" s="412"/>
      <c r="B717" s="413"/>
      <c r="C717" s="412"/>
      <c r="D717" s="412"/>
      <c r="E717" s="412"/>
      <c r="F717" s="412"/>
      <c r="G717" s="412"/>
      <c r="H717" s="412"/>
      <c r="I717" s="414"/>
    </row>
    <row r="718" spans="1:9">
      <c r="A718" s="412"/>
      <c r="B718" s="413"/>
      <c r="C718" s="412"/>
      <c r="D718" s="412"/>
      <c r="E718" s="412"/>
      <c r="F718" s="412"/>
      <c r="G718" s="412"/>
      <c r="H718" s="412"/>
      <c r="I718" s="414"/>
    </row>
    <row r="719" spans="1:9">
      <c r="A719" s="412"/>
      <c r="B719" s="413"/>
      <c r="C719" s="412"/>
      <c r="D719" s="412"/>
      <c r="E719" s="412"/>
      <c r="F719" s="412"/>
      <c r="G719" s="412"/>
      <c r="H719" s="412"/>
      <c r="I719" s="414"/>
    </row>
    <row r="720" spans="1:9">
      <c r="A720" s="412"/>
      <c r="B720" s="413"/>
      <c r="C720" s="412"/>
      <c r="D720" s="412"/>
      <c r="E720" s="412"/>
      <c r="F720" s="412"/>
      <c r="G720" s="412"/>
      <c r="H720" s="412"/>
      <c r="I720" s="414"/>
    </row>
    <row r="721" spans="1:9">
      <c r="A721" s="412"/>
      <c r="B721" s="413"/>
      <c r="C721" s="412"/>
      <c r="D721" s="412"/>
      <c r="E721" s="412"/>
      <c r="F721" s="412"/>
      <c r="G721" s="412"/>
      <c r="H721" s="412"/>
      <c r="I721" s="414"/>
    </row>
    <row r="722" spans="1:9">
      <c r="A722" s="412"/>
      <c r="B722" s="413"/>
      <c r="C722" s="412"/>
      <c r="D722" s="412"/>
      <c r="E722" s="412"/>
      <c r="F722" s="412"/>
      <c r="G722" s="412"/>
      <c r="H722" s="412"/>
      <c r="I722" s="414"/>
    </row>
    <row r="723" spans="1:9">
      <c r="A723" s="412"/>
      <c r="B723" s="413"/>
      <c r="C723" s="412"/>
      <c r="D723" s="412"/>
      <c r="E723" s="412"/>
      <c r="F723" s="412"/>
      <c r="G723" s="412"/>
      <c r="H723" s="412"/>
      <c r="I723" s="414"/>
    </row>
    <row r="724" spans="1:9">
      <c r="A724" s="412"/>
      <c r="B724" s="413"/>
      <c r="C724" s="412"/>
      <c r="D724" s="412"/>
      <c r="E724" s="412"/>
      <c r="F724" s="412"/>
      <c r="G724" s="412"/>
      <c r="H724" s="412"/>
      <c r="I724" s="414"/>
    </row>
    <row r="725" spans="1:9">
      <c r="A725" s="412"/>
      <c r="B725" s="413"/>
      <c r="C725" s="412"/>
      <c r="D725" s="412"/>
      <c r="E725" s="412"/>
      <c r="F725" s="412"/>
      <c r="G725" s="412"/>
      <c r="H725" s="412"/>
      <c r="I725" s="414"/>
    </row>
    <row r="726" spans="1:9">
      <c r="A726" s="412"/>
      <c r="B726" s="413"/>
      <c r="C726" s="412"/>
      <c r="D726" s="412"/>
      <c r="E726" s="412"/>
      <c r="F726" s="412"/>
      <c r="G726" s="412"/>
      <c r="H726" s="412"/>
      <c r="I726" s="414"/>
    </row>
    <row r="727" spans="1:9">
      <c r="A727" s="412"/>
      <c r="B727" s="413"/>
      <c r="C727" s="412"/>
      <c r="D727" s="412"/>
      <c r="E727" s="412"/>
      <c r="F727" s="412"/>
      <c r="G727" s="412"/>
      <c r="H727" s="412"/>
      <c r="I727" s="414"/>
    </row>
    <row r="728" spans="1:9">
      <c r="A728" s="412"/>
      <c r="B728" s="413"/>
      <c r="C728" s="412"/>
      <c r="D728" s="412"/>
      <c r="E728" s="412"/>
      <c r="F728" s="412"/>
      <c r="G728" s="412"/>
      <c r="H728" s="412"/>
      <c r="I728" s="414"/>
    </row>
    <row r="729" spans="1:9">
      <c r="A729" s="412"/>
      <c r="B729" s="413"/>
      <c r="C729" s="412"/>
      <c r="D729" s="412"/>
      <c r="E729" s="412"/>
      <c r="F729" s="412"/>
      <c r="G729" s="412"/>
      <c r="H729" s="412"/>
      <c r="I729" s="414"/>
    </row>
    <row r="730" spans="1:9">
      <c r="A730" s="412"/>
      <c r="B730" s="413"/>
      <c r="C730" s="412"/>
      <c r="D730" s="412"/>
      <c r="E730" s="412"/>
      <c r="F730" s="412"/>
      <c r="G730" s="412"/>
      <c r="H730" s="412"/>
      <c r="I730" s="414"/>
    </row>
    <row r="731" spans="1:9">
      <c r="A731" s="412"/>
      <c r="B731" s="413"/>
      <c r="C731" s="412"/>
      <c r="D731" s="412"/>
      <c r="E731" s="412"/>
      <c r="F731" s="412"/>
      <c r="G731" s="412"/>
      <c r="H731" s="412"/>
      <c r="I731" s="414"/>
    </row>
    <row r="732" spans="1:9">
      <c r="A732" s="412"/>
      <c r="B732" s="413"/>
      <c r="C732" s="412"/>
      <c r="D732" s="412"/>
      <c r="E732" s="412"/>
      <c r="F732" s="412"/>
      <c r="G732" s="412"/>
      <c r="H732" s="412"/>
      <c r="I732" s="414"/>
    </row>
    <row r="733" spans="1:9">
      <c r="A733" s="412"/>
      <c r="B733" s="413"/>
      <c r="C733" s="412"/>
      <c r="D733" s="412"/>
      <c r="E733" s="412"/>
      <c r="F733" s="412"/>
      <c r="G733" s="412"/>
      <c r="H733" s="412"/>
      <c r="I733" s="414"/>
    </row>
    <row r="734" spans="1:9">
      <c r="A734" s="412"/>
      <c r="B734" s="413"/>
      <c r="C734" s="412"/>
      <c r="D734" s="412"/>
      <c r="E734" s="412"/>
      <c r="F734" s="412"/>
      <c r="G734" s="412"/>
      <c r="H734" s="412"/>
      <c r="I734" s="414"/>
    </row>
    <row r="735" spans="1:9">
      <c r="A735" s="412"/>
      <c r="B735" s="413"/>
      <c r="C735" s="412"/>
      <c r="D735" s="412"/>
      <c r="E735" s="412"/>
      <c r="F735" s="412"/>
      <c r="G735" s="412"/>
      <c r="H735" s="412"/>
      <c r="I735" s="414"/>
    </row>
    <row r="736" spans="1:9">
      <c r="A736" s="412"/>
      <c r="B736" s="413"/>
      <c r="C736" s="412"/>
      <c r="D736" s="412"/>
      <c r="E736" s="412"/>
      <c r="F736" s="412"/>
      <c r="G736" s="412"/>
      <c r="H736" s="412"/>
      <c r="I736" s="414"/>
    </row>
    <row r="737" spans="1:9">
      <c r="A737" s="412"/>
      <c r="B737" s="413"/>
      <c r="C737" s="412"/>
      <c r="D737" s="412"/>
      <c r="E737" s="412"/>
      <c r="F737" s="412"/>
      <c r="G737" s="412"/>
      <c r="H737" s="412"/>
      <c r="I737" s="414"/>
    </row>
    <row r="738" spans="1:9">
      <c r="A738" s="412"/>
      <c r="B738" s="413"/>
      <c r="C738" s="412"/>
      <c r="D738" s="412"/>
      <c r="E738" s="412"/>
      <c r="F738" s="412"/>
      <c r="G738" s="412"/>
      <c r="H738" s="412"/>
      <c r="I738" s="414"/>
    </row>
    <row r="739" spans="1:9">
      <c r="A739" s="412"/>
      <c r="B739" s="413"/>
      <c r="C739" s="412"/>
      <c r="D739" s="412"/>
      <c r="E739" s="412"/>
      <c r="F739" s="412"/>
      <c r="G739" s="412"/>
      <c r="H739" s="412"/>
      <c r="I739" s="414"/>
    </row>
    <row r="740" spans="1:9">
      <c r="A740" s="412"/>
      <c r="B740" s="413"/>
      <c r="C740" s="412"/>
      <c r="D740" s="412"/>
      <c r="E740" s="412"/>
      <c r="F740" s="412"/>
      <c r="G740" s="412"/>
      <c r="H740" s="412"/>
      <c r="I740" s="414"/>
    </row>
    <row r="741" spans="1:9">
      <c r="A741" s="412"/>
      <c r="B741" s="413"/>
      <c r="C741" s="412"/>
      <c r="D741" s="412"/>
      <c r="E741" s="412"/>
      <c r="F741" s="412"/>
      <c r="G741" s="412"/>
      <c r="H741" s="412"/>
      <c r="I741" s="414"/>
    </row>
    <row r="742" spans="1:9">
      <c r="A742" s="412"/>
      <c r="B742" s="413"/>
      <c r="C742" s="412"/>
      <c r="D742" s="412"/>
      <c r="E742" s="412"/>
      <c r="F742" s="412"/>
      <c r="G742" s="412"/>
      <c r="H742" s="412"/>
      <c r="I742" s="414"/>
    </row>
    <row r="743" spans="1:9">
      <c r="A743" s="412"/>
      <c r="B743" s="413"/>
      <c r="C743" s="412"/>
      <c r="D743" s="412"/>
      <c r="E743" s="412"/>
      <c r="F743" s="412"/>
      <c r="G743" s="412"/>
      <c r="H743" s="412"/>
      <c r="I743" s="414"/>
    </row>
    <row r="744" spans="1:9">
      <c r="A744" s="412"/>
      <c r="B744" s="413"/>
      <c r="C744" s="412"/>
      <c r="D744" s="412"/>
      <c r="E744" s="412"/>
      <c r="F744" s="412"/>
      <c r="G744" s="412"/>
      <c r="H744" s="412"/>
      <c r="I744" s="414"/>
    </row>
    <row r="745" spans="1:9">
      <c r="A745" s="412"/>
      <c r="B745" s="413"/>
      <c r="C745" s="412"/>
      <c r="D745" s="412"/>
      <c r="E745" s="412"/>
      <c r="F745" s="412"/>
      <c r="G745" s="412"/>
      <c r="H745" s="412"/>
      <c r="I745" s="414"/>
    </row>
    <row r="746" spans="1:9">
      <c r="A746" s="412"/>
      <c r="B746" s="413"/>
      <c r="C746" s="412"/>
      <c r="D746" s="412"/>
      <c r="E746" s="412"/>
      <c r="F746" s="412"/>
      <c r="G746" s="412"/>
      <c r="H746" s="412"/>
      <c r="I746" s="414"/>
    </row>
    <row r="747" spans="1:9">
      <c r="A747" s="412"/>
      <c r="B747" s="413"/>
      <c r="C747" s="412"/>
      <c r="D747" s="412"/>
      <c r="E747" s="412"/>
      <c r="F747" s="412"/>
      <c r="G747" s="412"/>
      <c r="H747" s="412"/>
      <c r="I747" s="414"/>
    </row>
    <row r="748" spans="1:9">
      <c r="A748" s="412"/>
      <c r="B748" s="413"/>
      <c r="C748" s="412"/>
      <c r="D748" s="412"/>
      <c r="E748" s="412"/>
      <c r="F748" s="412"/>
      <c r="G748" s="412"/>
      <c r="H748" s="412"/>
      <c r="I748" s="414"/>
    </row>
    <row r="749" spans="1:9">
      <c r="A749" s="412"/>
      <c r="B749" s="413"/>
      <c r="C749" s="412"/>
      <c r="D749" s="412"/>
      <c r="E749" s="412"/>
      <c r="F749" s="412"/>
      <c r="G749" s="412"/>
      <c r="H749" s="412"/>
      <c r="I749" s="414"/>
    </row>
    <row r="750" spans="1:9">
      <c r="A750" s="412"/>
      <c r="B750" s="413"/>
      <c r="C750" s="412"/>
      <c r="D750" s="412"/>
      <c r="E750" s="412"/>
      <c r="F750" s="412"/>
      <c r="G750" s="412"/>
      <c r="H750" s="412"/>
      <c r="I750" s="414"/>
    </row>
    <row r="751" spans="1:9">
      <c r="A751" s="412"/>
      <c r="B751" s="413"/>
      <c r="C751" s="412"/>
      <c r="D751" s="412"/>
      <c r="E751" s="412"/>
      <c r="F751" s="412"/>
      <c r="G751" s="412"/>
      <c r="H751" s="412"/>
      <c r="I751" s="414"/>
    </row>
    <row r="752" spans="1:9">
      <c r="A752" s="412"/>
      <c r="B752" s="413"/>
      <c r="C752" s="412"/>
      <c r="D752" s="412"/>
      <c r="E752" s="412"/>
      <c r="F752" s="412"/>
      <c r="G752" s="412"/>
      <c r="H752" s="412"/>
      <c r="I752" s="414"/>
    </row>
    <row r="753" spans="1:9">
      <c r="A753" s="412"/>
      <c r="B753" s="413"/>
      <c r="C753" s="412"/>
      <c r="D753" s="412"/>
      <c r="E753" s="412"/>
      <c r="F753" s="412"/>
      <c r="G753" s="412"/>
      <c r="H753" s="412"/>
      <c r="I753" s="414"/>
    </row>
    <row r="754" spans="1:9">
      <c r="A754" s="412"/>
      <c r="B754" s="413"/>
      <c r="C754" s="412"/>
      <c r="D754" s="412"/>
      <c r="E754" s="412"/>
      <c r="F754" s="412"/>
      <c r="G754" s="412"/>
      <c r="H754" s="412"/>
      <c r="I754" s="414"/>
    </row>
    <row r="755" spans="1:9">
      <c r="A755" s="412"/>
      <c r="B755" s="413"/>
      <c r="C755" s="412"/>
      <c r="D755" s="412"/>
      <c r="E755" s="412"/>
      <c r="F755" s="412"/>
      <c r="G755" s="412"/>
      <c r="H755" s="412"/>
      <c r="I755" s="414"/>
    </row>
    <row r="756" spans="1:9">
      <c r="A756" s="412"/>
      <c r="B756" s="413"/>
      <c r="C756" s="412"/>
      <c r="D756" s="412"/>
      <c r="E756" s="412"/>
      <c r="F756" s="412"/>
      <c r="G756" s="412"/>
      <c r="H756" s="412"/>
      <c r="I756" s="414"/>
    </row>
    <row r="757" spans="1:9">
      <c r="A757" s="412"/>
      <c r="B757" s="413"/>
      <c r="C757" s="412"/>
      <c r="D757" s="412"/>
      <c r="E757" s="412"/>
      <c r="F757" s="412"/>
      <c r="G757" s="412"/>
      <c r="H757" s="412"/>
      <c r="I757" s="414"/>
    </row>
    <row r="758" spans="1:9">
      <c r="A758" s="412"/>
      <c r="B758" s="413"/>
      <c r="C758" s="412"/>
      <c r="D758" s="412"/>
      <c r="E758" s="412"/>
      <c r="F758" s="412"/>
      <c r="G758" s="412"/>
      <c r="H758" s="412"/>
      <c r="I758" s="414"/>
    </row>
    <row r="759" spans="1:9">
      <c r="A759" s="412"/>
      <c r="B759" s="413"/>
      <c r="C759" s="412"/>
      <c r="D759" s="412"/>
      <c r="E759" s="412"/>
      <c r="F759" s="412"/>
      <c r="G759" s="412"/>
      <c r="H759" s="412"/>
      <c r="I759" s="414"/>
    </row>
    <row r="760" spans="1:9">
      <c r="A760" s="412"/>
      <c r="B760" s="413"/>
      <c r="C760" s="412"/>
      <c r="D760" s="412"/>
      <c r="E760" s="412"/>
      <c r="F760" s="412"/>
      <c r="G760" s="412"/>
      <c r="H760" s="412"/>
      <c r="I760" s="414"/>
    </row>
    <row r="761" spans="1:9">
      <c r="A761" s="412"/>
      <c r="B761" s="413"/>
      <c r="C761" s="412"/>
      <c r="D761" s="412"/>
      <c r="E761" s="412"/>
      <c r="F761" s="412"/>
      <c r="G761" s="412"/>
      <c r="H761" s="412"/>
      <c r="I761" s="414"/>
    </row>
    <row r="762" spans="1:9">
      <c r="A762" s="412"/>
      <c r="B762" s="413"/>
      <c r="C762" s="412"/>
      <c r="D762" s="412"/>
      <c r="E762" s="412"/>
      <c r="F762" s="412"/>
      <c r="G762" s="412"/>
      <c r="H762" s="412"/>
      <c r="I762" s="414"/>
    </row>
    <row r="763" spans="1:9">
      <c r="A763" s="412"/>
      <c r="B763" s="413"/>
      <c r="C763" s="412"/>
      <c r="D763" s="412"/>
      <c r="E763" s="412"/>
      <c r="F763" s="412"/>
      <c r="G763" s="412"/>
      <c r="H763" s="412"/>
      <c r="I763" s="414"/>
    </row>
    <row r="764" spans="1:9">
      <c r="A764" s="412"/>
      <c r="B764" s="413"/>
      <c r="C764" s="412"/>
      <c r="D764" s="412"/>
      <c r="E764" s="412"/>
      <c r="F764" s="412"/>
      <c r="G764" s="412"/>
      <c r="H764" s="412"/>
      <c r="I764" s="414"/>
    </row>
    <row r="765" spans="1:9">
      <c r="A765" s="412"/>
      <c r="B765" s="413"/>
      <c r="C765" s="412"/>
      <c r="D765" s="412"/>
      <c r="E765" s="412"/>
      <c r="F765" s="412"/>
      <c r="G765" s="412"/>
      <c r="H765" s="412"/>
      <c r="I765" s="414"/>
    </row>
    <row r="766" spans="1:9">
      <c r="A766" s="412"/>
      <c r="B766" s="413"/>
      <c r="C766" s="412"/>
      <c r="D766" s="412"/>
      <c r="E766" s="412"/>
      <c r="F766" s="412"/>
      <c r="G766" s="412"/>
      <c r="H766" s="412"/>
      <c r="I766" s="414"/>
    </row>
    <row r="767" spans="1:9">
      <c r="A767" s="412"/>
      <c r="B767" s="413"/>
      <c r="C767" s="412"/>
      <c r="D767" s="412"/>
      <c r="E767" s="412"/>
      <c r="F767" s="412"/>
      <c r="G767" s="412"/>
      <c r="H767" s="412"/>
      <c r="I767" s="414"/>
    </row>
    <row r="768" spans="1:9">
      <c r="A768" s="412"/>
      <c r="B768" s="413"/>
      <c r="C768" s="412"/>
      <c r="D768" s="412"/>
      <c r="E768" s="412"/>
      <c r="F768" s="412"/>
      <c r="G768" s="412"/>
      <c r="H768" s="412"/>
      <c r="I768" s="414"/>
    </row>
    <row r="769" spans="1:9">
      <c r="A769" s="412"/>
      <c r="B769" s="413"/>
      <c r="C769" s="412"/>
      <c r="D769" s="412"/>
      <c r="E769" s="412"/>
      <c r="F769" s="412"/>
      <c r="G769" s="412"/>
      <c r="H769" s="412"/>
      <c r="I769" s="414"/>
    </row>
    <row r="770" spans="1:9">
      <c r="A770" s="412"/>
      <c r="B770" s="413"/>
      <c r="C770" s="412"/>
      <c r="D770" s="412"/>
      <c r="E770" s="412"/>
      <c r="F770" s="412"/>
      <c r="G770" s="412"/>
      <c r="H770" s="412"/>
      <c r="I770" s="414"/>
    </row>
    <row r="771" spans="1:9">
      <c r="A771" s="412"/>
      <c r="B771" s="413"/>
      <c r="C771" s="412"/>
      <c r="D771" s="412"/>
      <c r="E771" s="412"/>
      <c r="F771" s="412"/>
      <c r="G771" s="412"/>
      <c r="H771" s="412"/>
      <c r="I771" s="414"/>
    </row>
    <row r="772" spans="1:9">
      <c r="A772" s="412"/>
      <c r="B772" s="413"/>
      <c r="C772" s="412"/>
      <c r="D772" s="412"/>
      <c r="E772" s="412"/>
      <c r="F772" s="412"/>
      <c r="G772" s="412"/>
      <c r="H772" s="412"/>
      <c r="I772" s="414"/>
    </row>
    <row r="773" spans="1:9">
      <c r="A773" s="412"/>
      <c r="B773" s="413"/>
      <c r="C773" s="412"/>
      <c r="D773" s="412"/>
      <c r="E773" s="412"/>
      <c r="F773" s="412"/>
      <c r="G773" s="412"/>
      <c r="H773" s="412"/>
      <c r="I773" s="414"/>
    </row>
    <row r="774" spans="1:9">
      <c r="A774" s="412"/>
      <c r="B774" s="413"/>
      <c r="C774" s="412"/>
      <c r="D774" s="412"/>
      <c r="E774" s="412"/>
      <c r="F774" s="412"/>
      <c r="G774" s="412"/>
      <c r="H774" s="412"/>
      <c r="I774" s="414"/>
    </row>
    <row r="775" spans="1:9">
      <c r="A775" s="412"/>
      <c r="B775" s="413"/>
      <c r="C775" s="412"/>
      <c r="D775" s="412"/>
      <c r="E775" s="412"/>
      <c r="F775" s="412"/>
      <c r="G775" s="412"/>
      <c r="H775" s="412"/>
      <c r="I775" s="414"/>
    </row>
    <row r="776" spans="1:9">
      <c r="A776" s="412"/>
      <c r="B776" s="413"/>
      <c r="C776" s="412"/>
      <c r="D776" s="412"/>
      <c r="E776" s="412"/>
      <c r="F776" s="412"/>
      <c r="G776" s="412"/>
      <c r="H776" s="412"/>
      <c r="I776" s="414"/>
    </row>
    <row r="777" spans="1:9">
      <c r="A777" s="412"/>
      <c r="B777" s="413"/>
      <c r="C777" s="412"/>
      <c r="D777" s="412"/>
      <c r="E777" s="412"/>
      <c r="F777" s="412"/>
      <c r="G777" s="412"/>
      <c r="H777" s="412"/>
      <c r="I777" s="414"/>
    </row>
    <row r="778" spans="1:9">
      <c r="A778" s="412"/>
      <c r="B778" s="413"/>
      <c r="C778" s="412"/>
      <c r="D778" s="412"/>
      <c r="E778" s="412"/>
      <c r="F778" s="412"/>
      <c r="G778" s="412"/>
      <c r="H778" s="412"/>
      <c r="I778" s="414"/>
    </row>
    <row r="779" spans="1:9">
      <c r="A779" s="412"/>
      <c r="B779" s="413"/>
      <c r="C779" s="412"/>
      <c r="D779" s="412"/>
      <c r="E779" s="412"/>
      <c r="F779" s="412"/>
      <c r="G779" s="412"/>
      <c r="H779" s="412"/>
      <c r="I779" s="414"/>
    </row>
    <row r="780" spans="1:9">
      <c r="A780" s="412"/>
      <c r="B780" s="413"/>
      <c r="C780" s="412"/>
      <c r="D780" s="412"/>
      <c r="E780" s="412"/>
      <c r="F780" s="412"/>
      <c r="G780" s="412"/>
      <c r="H780" s="412"/>
      <c r="I780" s="414"/>
    </row>
    <row r="781" spans="1:9">
      <c r="A781" s="412"/>
      <c r="B781" s="413"/>
      <c r="C781" s="412"/>
      <c r="D781" s="412"/>
      <c r="E781" s="412"/>
      <c r="F781" s="412"/>
      <c r="G781" s="412"/>
      <c r="H781" s="412"/>
      <c r="I781" s="414"/>
    </row>
    <row r="782" spans="1:9">
      <c r="A782" s="412"/>
      <c r="B782" s="413"/>
      <c r="C782" s="412"/>
      <c r="D782" s="412"/>
      <c r="E782" s="412"/>
      <c r="F782" s="412"/>
      <c r="G782" s="412"/>
      <c r="H782" s="412"/>
      <c r="I782" s="414"/>
    </row>
    <row r="783" spans="1:9">
      <c r="A783" s="412"/>
      <c r="B783" s="413"/>
      <c r="C783" s="412"/>
      <c r="D783" s="412"/>
      <c r="E783" s="412"/>
      <c r="F783" s="412"/>
      <c r="G783" s="412"/>
      <c r="H783" s="412"/>
      <c r="I783" s="414"/>
    </row>
    <row r="784" spans="1:9">
      <c r="A784" s="412"/>
      <c r="B784" s="413"/>
      <c r="C784" s="412"/>
      <c r="D784" s="412"/>
      <c r="E784" s="412"/>
      <c r="F784" s="412"/>
      <c r="G784" s="412"/>
      <c r="H784" s="412"/>
      <c r="I784" s="414"/>
    </row>
    <row r="785" spans="1:9">
      <c r="A785" s="412"/>
      <c r="B785" s="413"/>
      <c r="C785" s="412"/>
      <c r="D785" s="412"/>
      <c r="E785" s="412"/>
      <c r="F785" s="412"/>
      <c r="G785" s="412"/>
      <c r="H785" s="412"/>
      <c r="I785" s="414"/>
    </row>
    <row r="786" spans="1:9">
      <c r="A786" s="412"/>
      <c r="B786" s="413"/>
      <c r="C786" s="412"/>
      <c r="D786" s="412"/>
      <c r="E786" s="412"/>
      <c r="F786" s="412"/>
      <c r="G786" s="412"/>
      <c r="H786" s="412"/>
      <c r="I786" s="414"/>
    </row>
    <row r="787" spans="1:9">
      <c r="A787" s="412"/>
      <c r="B787" s="413"/>
      <c r="C787" s="412"/>
      <c r="D787" s="412"/>
      <c r="E787" s="412"/>
      <c r="F787" s="412"/>
      <c r="G787" s="412"/>
      <c r="H787" s="412"/>
      <c r="I787" s="414"/>
    </row>
    <row r="788" spans="1:9">
      <c r="A788" s="412"/>
      <c r="B788" s="413"/>
      <c r="C788" s="412"/>
      <c r="D788" s="412"/>
      <c r="E788" s="412"/>
      <c r="F788" s="412"/>
      <c r="G788" s="412"/>
      <c r="H788" s="412"/>
      <c r="I788" s="414"/>
    </row>
    <row r="789" spans="1:9">
      <c r="A789" s="412"/>
      <c r="B789" s="413"/>
      <c r="C789" s="412"/>
      <c r="D789" s="412"/>
      <c r="E789" s="412"/>
      <c r="F789" s="412"/>
      <c r="G789" s="412"/>
      <c r="H789" s="412"/>
      <c r="I789" s="414"/>
    </row>
    <row r="790" spans="1:9">
      <c r="A790" s="412"/>
      <c r="B790" s="413"/>
      <c r="C790" s="412"/>
      <c r="D790" s="412"/>
      <c r="E790" s="412"/>
      <c r="F790" s="412"/>
      <c r="G790" s="412"/>
      <c r="H790" s="412"/>
      <c r="I790" s="414"/>
    </row>
    <row r="791" spans="1:9">
      <c r="A791" s="412"/>
      <c r="B791" s="413"/>
      <c r="C791" s="412"/>
      <c r="D791" s="412"/>
      <c r="E791" s="412"/>
      <c r="F791" s="412"/>
      <c r="G791" s="412"/>
      <c r="H791" s="412"/>
      <c r="I791" s="414"/>
    </row>
    <row r="792" spans="1:9">
      <c r="A792" s="412"/>
      <c r="B792" s="413"/>
      <c r="C792" s="412"/>
      <c r="D792" s="412"/>
      <c r="E792" s="412"/>
      <c r="F792" s="412"/>
      <c r="G792" s="412"/>
      <c r="H792" s="412"/>
      <c r="I792" s="414"/>
    </row>
    <row r="793" spans="1:9">
      <c r="A793" s="412"/>
      <c r="B793" s="413"/>
      <c r="C793" s="412"/>
      <c r="D793" s="412"/>
      <c r="E793" s="412"/>
      <c r="F793" s="412"/>
      <c r="G793" s="412"/>
      <c r="H793" s="412"/>
      <c r="I793" s="414"/>
    </row>
    <row r="794" spans="1:9">
      <c r="A794" s="412"/>
      <c r="B794" s="413"/>
      <c r="C794" s="412"/>
      <c r="D794" s="412"/>
      <c r="E794" s="412"/>
      <c r="F794" s="412"/>
      <c r="G794" s="412"/>
      <c r="H794" s="412"/>
      <c r="I794" s="414"/>
    </row>
    <row r="795" spans="1:9">
      <c r="A795" s="412"/>
      <c r="B795" s="413"/>
      <c r="C795" s="412"/>
      <c r="D795" s="412"/>
      <c r="E795" s="412"/>
      <c r="F795" s="412"/>
      <c r="G795" s="412"/>
      <c r="H795" s="412"/>
      <c r="I795" s="414"/>
    </row>
    <row r="796" spans="1:9">
      <c r="A796" s="412"/>
      <c r="B796" s="413"/>
      <c r="C796" s="412"/>
      <c r="D796" s="412"/>
      <c r="E796" s="412"/>
      <c r="F796" s="412"/>
      <c r="G796" s="412"/>
      <c r="H796" s="412"/>
      <c r="I796" s="414"/>
    </row>
    <row r="797" spans="1:9">
      <c r="A797" s="412"/>
      <c r="B797" s="413"/>
      <c r="C797" s="412"/>
      <c r="D797" s="412"/>
      <c r="E797" s="412"/>
      <c r="F797" s="412"/>
      <c r="G797" s="412"/>
      <c r="H797" s="412"/>
      <c r="I797" s="414"/>
    </row>
    <row r="798" spans="1:9">
      <c r="A798" s="412"/>
      <c r="B798" s="413"/>
      <c r="C798" s="412"/>
      <c r="D798" s="412"/>
      <c r="E798" s="412"/>
      <c r="F798" s="412"/>
      <c r="G798" s="412"/>
      <c r="H798" s="412"/>
      <c r="I798" s="414"/>
    </row>
    <row r="799" spans="1:9">
      <c r="A799" s="412"/>
      <c r="B799" s="413"/>
      <c r="C799" s="412"/>
      <c r="D799" s="412"/>
      <c r="E799" s="412"/>
      <c r="F799" s="412"/>
      <c r="G799" s="412"/>
      <c r="H799" s="412"/>
      <c r="I799" s="414"/>
    </row>
    <row r="800" spans="1:9">
      <c r="A800" s="412"/>
      <c r="B800" s="413"/>
      <c r="C800" s="412"/>
      <c r="D800" s="412"/>
      <c r="E800" s="412"/>
      <c r="F800" s="412"/>
      <c r="G800" s="412"/>
      <c r="H800" s="412"/>
      <c r="I800" s="414"/>
    </row>
    <row r="801" spans="1:9">
      <c r="A801" s="412"/>
      <c r="B801" s="413"/>
      <c r="C801" s="412"/>
      <c r="D801" s="412"/>
      <c r="E801" s="412"/>
      <c r="F801" s="412"/>
      <c r="G801" s="412"/>
      <c r="H801" s="412"/>
      <c r="I801" s="414"/>
    </row>
    <row r="802" spans="1:9">
      <c r="A802" s="412"/>
      <c r="B802" s="413"/>
      <c r="C802" s="412"/>
      <c r="D802" s="412"/>
      <c r="E802" s="412"/>
      <c r="F802" s="412"/>
      <c r="G802" s="412"/>
      <c r="H802" s="412"/>
      <c r="I802" s="414"/>
    </row>
    <row r="803" spans="1:9">
      <c r="A803" s="412"/>
      <c r="B803" s="413"/>
      <c r="C803" s="412"/>
      <c r="D803" s="412"/>
      <c r="E803" s="412"/>
      <c r="F803" s="412"/>
      <c r="G803" s="412"/>
      <c r="H803" s="412"/>
      <c r="I803" s="414"/>
    </row>
    <row r="804" spans="1:9">
      <c r="A804" s="412"/>
      <c r="B804" s="413"/>
      <c r="C804" s="412"/>
      <c r="D804" s="412"/>
      <c r="E804" s="412"/>
      <c r="F804" s="412"/>
      <c r="G804" s="412"/>
      <c r="H804" s="412"/>
      <c r="I804" s="414"/>
    </row>
    <row r="805" spans="1:9">
      <c r="A805" s="412"/>
      <c r="B805" s="413"/>
      <c r="C805" s="412"/>
      <c r="D805" s="412"/>
      <c r="E805" s="412"/>
      <c r="F805" s="412"/>
      <c r="G805" s="412"/>
      <c r="H805" s="412"/>
      <c r="I805" s="414"/>
    </row>
    <row r="806" spans="1:9">
      <c r="A806" s="412"/>
      <c r="B806" s="413"/>
      <c r="C806" s="412"/>
      <c r="D806" s="412"/>
      <c r="E806" s="412"/>
      <c r="F806" s="412"/>
      <c r="G806" s="412"/>
      <c r="H806" s="412"/>
      <c r="I806" s="414"/>
    </row>
    <row r="807" spans="1:9">
      <c r="A807" s="412"/>
      <c r="B807" s="413"/>
      <c r="C807" s="412"/>
      <c r="D807" s="412"/>
      <c r="E807" s="412"/>
      <c r="F807" s="412"/>
      <c r="G807" s="412"/>
      <c r="H807" s="412"/>
      <c r="I807" s="414"/>
    </row>
    <row r="808" spans="1:9">
      <c r="A808" s="412"/>
      <c r="B808" s="413"/>
      <c r="C808" s="412"/>
      <c r="D808" s="412"/>
      <c r="E808" s="412"/>
      <c r="F808" s="412"/>
      <c r="G808" s="412"/>
      <c r="H808" s="412"/>
      <c r="I808" s="414"/>
    </row>
    <row r="809" spans="1:9">
      <c r="A809" s="412"/>
      <c r="B809" s="413"/>
      <c r="C809" s="412"/>
      <c r="D809" s="412"/>
      <c r="E809" s="412"/>
      <c r="F809" s="412"/>
      <c r="G809" s="412"/>
      <c r="H809" s="412"/>
      <c r="I809" s="414"/>
    </row>
    <row r="810" spans="1:9">
      <c r="A810" s="412"/>
      <c r="B810" s="413"/>
      <c r="C810" s="412"/>
      <c r="D810" s="412"/>
      <c r="E810" s="412"/>
      <c r="F810" s="412"/>
      <c r="G810" s="412"/>
      <c r="H810" s="412"/>
      <c r="I810" s="414"/>
    </row>
    <row r="811" spans="1:9">
      <c r="A811" s="412"/>
      <c r="B811" s="413"/>
      <c r="C811" s="412"/>
      <c r="D811" s="412"/>
      <c r="E811" s="412"/>
      <c r="F811" s="412"/>
      <c r="G811" s="412"/>
      <c r="H811" s="412"/>
      <c r="I811" s="414"/>
    </row>
    <row r="812" spans="1:9">
      <c r="A812" s="412"/>
      <c r="B812" s="413"/>
      <c r="C812" s="412"/>
      <c r="D812" s="412"/>
      <c r="E812" s="412"/>
      <c r="F812" s="412"/>
      <c r="G812" s="412"/>
      <c r="H812" s="412"/>
      <c r="I812" s="414"/>
    </row>
    <row r="813" spans="1:9">
      <c r="A813" s="412"/>
      <c r="B813" s="413"/>
      <c r="C813" s="412"/>
      <c r="D813" s="412"/>
      <c r="E813" s="412"/>
      <c r="F813" s="412"/>
      <c r="G813" s="412"/>
      <c r="H813" s="412"/>
      <c r="I813" s="414"/>
    </row>
    <row r="814" spans="1:9">
      <c r="A814" s="412"/>
      <c r="B814" s="413"/>
      <c r="C814" s="412"/>
      <c r="D814" s="412"/>
      <c r="E814" s="412"/>
      <c r="F814" s="412"/>
      <c r="G814" s="412"/>
      <c r="H814" s="412"/>
      <c r="I814" s="414"/>
    </row>
    <row r="815" spans="1:9">
      <c r="A815" s="412"/>
      <c r="B815" s="413"/>
      <c r="C815" s="412"/>
      <c r="D815" s="412"/>
      <c r="E815" s="412"/>
      <c r="F815" s="412"/>
      <c r="G815" s="412"/>
      <c r="H815" s="412"/>
      <c r="I815" s="414"/>
    </row>
    <row r="816" spans="1:9">
      <c r="A816" s="412"/>
      <c r="B816" s="413"/>
      <c r="C816" s="412"/>
      <c r="D816" s="412"/>
      <c r="E816" s="412"/>
      <c r="F816" s="412"/>
      <c r="G816" s="412"/>
      <c r="H816" s="412"/>
      <c r="I816" s="414"/>
    </row>
    <row r="817" spans="1:9">
      <c r="A817" s="412"/>
      <c r="B817" s="413"/>
      <c r="C817" s="412"/>
      <c r="D817" s="412"/>
      <c r="E817" s="412"/>
      <c r="F817" s="412"/>
      <c r="G817" s="412"/>
      <c r="H817" s="412"/>
      <c r="I817" s="414"/>
    </row>
    <row r="818" spans="1:9">
      <c r="A818" s="412"/>
      <c r="B818" s="413"/>
      <c r="C818" s="412"/>
      <c r="D818" s="412"/>
      <c r="E818" s="412"/>
      <c r="F818" s="412"/>
      <c r="G818" s="412"/>
      <c r="H818" s="412"/>
      <c r="I818" s="414"/>
    </row>
    <row r="819" spans="1:9">
      <c r="A819" s="412"/>
      <c r="B819" s="413"/>
      <c r="C819" s="412"/>
      <c r="D819" s="412"/>
      <c r="E819" s="412"/>
      <c r="F819" s="412"/>
      <c r="G819" s="412"/>
      <c r="H819" s="412"/>
      <c r="I819" s="414"/>
    </row>
    <row r="820" spans="1:9">
      <c r="A820" s="412"/>
      <c r="B820" s="413"/>
      <c r="C820" s="412"/>
      <c r="D820" s="412"/>
      <c r="E820" s="412"/>
      <c r="F820" s="412"/>
      <c r="G820" s="412"/>
      <c r="H820" s="412"/>
      <c r="I820" s="414"/>
    </row>
    <row r="821" spans="1:9">
      <c r="A821" s="412"/>
      <c r="B821" s="413"/>
      <c r="C821" s="412"/>
      <c r="D821" s="412"/>
      <c r="E821" s="412"/>
      <c r="F821" s="412"/>
      <c r="G821" s="412"/>
      <c r="H821" s="412"/>
      <c r="I821" s="414"/>
    </row>
    <row r="822" spans="1:9">
      <c r="A822" s="412"/>
      <c r="B822" s="413"/>
      <c r="C822" s="412"/>
      <c r="D822" s="412"/>
      <c r="E822" s="412"/>
      <c r="F822" s="412"/>
      <c r="G822" s="412"/>
      <c r="H822" s="412"/>
      <c r="I822" s="414"/>
    </row>
    <row r="823" spans="1:9">
      <c r="A823" s="412"/>
      <c r="B823" s="413"/>
      <c r="C823" s="412"/>
      <c r="D823" s="412"/>
      <c r="E823" s="412"/>
      <c r="F823" s="412"/>
      <c r="G823" s="412"/>
      <c r="H823" s="412"/>
      <c r="I823" s="414"/>
    </row>
    <row r="824" spans="1:9">
      <c r="A824" s="412"/>
      <c r="B824" s="413"/>
      <c r="C824" s="412"/>
      <c r="D824" s="412"/>
      <c r="E824" s="412"/>
      <c r="F824" s="412"/>
      <c r="G824" s="412"/>
      <c r="H824" s="412"/>
      <c r="I824" s="414"/>
    </row>
    <row r="825" spans="1:9">
      <c r="A825" s="412"/>
      <c r="B825" s="413"/>
      <c r="C825" s="412"/>
      <c r="D825" s="412"/>
      <c r="E825" s="412"/>
      <c r="F825" s="412"/>
      <c r="G825" s="412"/>
      <c r="H825" s="412"/>
      <c r="I825" s="414"/>
    </row>
    <row r="826" spans="1:9">
      <c r="A826" s="412"/>
      <c r="B826" s="413"/>
      <c r="C826" s="412"/>
      <c r="D826" s="412"/>
      <c r="E826" s="412"/>
      <c r="F826" s="412"/>
      <c r="G826" s="412"/>
      <c r="H826" s="412"/>
      <c r="I826" s="414"/>
    </row>
    <row r="827" spans="1:9">
      <c r="A827" s="412"/>
      <c r="B827" s="413"/>
      <c r="C827" s="412"/>
      <c r="D827" s="412"/>
      <c r="E827" s="412"/>
      <c r="F827" s="412"/>
      <c r="G827" s="412"/>
      <c r="H827" s="412"/>
      <c r="I827" s="414"/>
    </row>
    <row r="828" spans="1:9">
      <c r="A828" s="412"/>
      <c r="B828" s="413"/>
      <c r="C828" s="412"/>
      <c r="D828" s="412"/>
      <c r="E828" s="412"/>
      <c r="F828" s="412"/>
      <c r="G828" s="412"/>
      <c r="H828" s="412"/>
      <c r="I828" s="414"/>
    </row>
    <row r="829" spans="1:9">
      <c r="A829" s="412"/>
      <c r="B829" s="413"/>
      <c r="C829" s="412"/>
      <c r="D829" s="412"/>
      <c r="E829" s="412"/>
      <c r="F829" s="412"/>
      <c r="G829" s="412"/>
      <c r="H829" s="412"/>
      <c r="I829" s="414"/>
    </row>
    <row r="830" spans="1:9">
      <c r="A830" s="412"/>
      <c r="B830" s="413"/>
      <c r="C830" s="412"/>
      <c r="D830" s="412"/>
      <c r="E830" s="412"/>
      <c r="F830" s="412"/>
      <c r="G830" s="412"/>
      <c r="H830" s="412"/>
      <c r="I830" s="414"/>
    </row>
    <row r="831" spans="1:9">
      <c r="A831" s="412"/>
      <c r="B831" s="413"/>
      <c r="C831" s="412"/>
      <c r="D831" s="412"/>
      <c r="E831" s="412"/>
      <c r="F831" s="412"/>
      <c r="G831" s="412"/>
      <c r="H831" s="412"/>
      <c r="I831" s="414"/>
    </row>
    <row r="832" spans="1:9">
      <c r="A832" s="412"/>
      <c r="B832" s="413"/>
      <c r="C832" s="412"/>
      <c r="D832" s="412"/>
      <c r="E832" s="412"/>
      <c r="F832" s="412"/>
      <c r="G832" s="412"/>
      <c r="H832" s="412"/>
      <c r="I832" s="414"/>
    </row>
    <row r="833" spans="1:9">
      <c r="A833" s="412"/>
      <c r="B833" s="413"/>
      <c r="C833" s="412"/>
      <c r="D833" s="412"/>
      <c r="E833" s="412"/>
      <c r="F833" s="412"/>
      <c r="G833" s="412"/>
      <c r="H833" s="412"/>
      <c r="I833" s="414"/>
    </row>
    <row r="834" spans="1:9">
      <c r="A834" s="412"/>
      <c r="B834" s="413"/>
      <c r="C834" s="412"/>
      <c r="D834" s="412"/>
      <c r="E834" s="412"/>
      <c r="F834" s="412"/>
      <c r="G834" s="412"/>
      <c r="H834" s="412"/>
      <c r="I834" s="414"/>
    </row>
    <row r="835" spans="1:9">
      <c r="A835" s="412"/>
      <c r="B835" s="413"/>
      <c r="C835" s="412"/>
      <c r="D835" s="412"/>
      <c r="E835" s="412"/>
      <c r="F835" s="412"/>
      <c r="G835" s="412"/>
      <c r="H835" s="412"/>
      <c r="I835" s="414"/>
    </row>
    <row r="836" spans="1:9">
      <c r="A836" s="412"/>
      <c r="B836" s="413"/>
      <c r="C836" s="412"/>
      <c r="D836" s="412"/>
      <c r="E836" s="412"/>
      <c r="F836" s="412"/>
      <c r="G836" s="412"/>
      <c r="H836" s="412"/>
      <c r="I836" s="414"/>
    </row>
    <row r="837" spans="1:9">
      <c r="A837" s="412"/>
      <c r="B837" s="413"/>
      <c r="C837" s="412"/>
      <c r="D837" s="412"/>
      <c r="E837" s="412"/>
      <c r="F837" s="412"/>
      <c r="G837" s="412"/>
      <c r="H837" s="412"/>
      <c r="I837" s="414"/>
    </row>
    <row r="838" spans="1:9">
      <c r="A838" s="412"/>
      <c r="B838" s="413"/>
      <c r="C838" s="412"/>
      <c r="D838" s="412"/>
      <c r="E838" s="412"/>
      <c r="F838" s="412"/>
      <c r="G838" s="412"/>
      <c r="H838" s="412"/>
      <c r="I838" s="414"/>
    </row>
    <row r="839" spans="1:9">
      <c r="A839" s="412"/>
      <c r="B839" s="413"/>
      <c r="C839" s="412"/>
      <c r="D839" s="412"/>
      <c r="E839" s="412"/>
      <c r="F839" s="412"/>
      <c r="G839" s="412"/>
      <c r="H839" s="412"/>
      <c r="I839" s="414"/>
    </row>
    <row r="840" spans="1:9">
      <c r="A840" s="412"/>
      <c r="B840" s="413"/>
      <c r="C840" s="412"/>
      <c r="D840" s="412"/>
      <c r="E840" s="412"/>
      <c r="F840" s="412"/>
      <c r="G840" s="412"/>
      <c r="H840" s="412"/>
      <c r="I840" s="414"/>
    </row>
    <row r="841" spans="1:9">
      <c r="A841" s="412"/>
      <c r="B841" s="413"/>
      <c r="C841" s="412"/>
      <c r="D841" s="412"/>
      <c r="E841" s="412"/>
      <c r="F841" s="412"/>
      <c r="G841" s="412"/>
      <c r="H841" s="412"/>
      <c r="I841" s="414"/>
    </row>
    <row r="842" spans="1:9">
      <c r="A842" s="412"/>
      <c r="B842" s="413"/>
      <c r="C842" s="412"/>
      <c r="D842" s="412"/>
      <c r="E842" s="412"/>
      <c r="F842" s="412"/>
      <c r="G842" s="412"/>
      <c r="H842" s="412"/>
      <c r="I842" s="414"/>
    </row>
    <row r="843" spans="1:9">
      <c r="A843" s="412"/>
      <c r="B843" s="413"/>
      <c r="C843" s="412"/>
      <c r="D843" s="412"/>
      <c r="E843" s="412"/>
      <c r="F843" s="412"/>
      <c r="G843" s="412"/>
      <c r="H843" s="412"/>
      <c r="I843" s="414"/>
    </row>
    <row r="844" spans="1:9">
      <c r="A844" s="412"/>
      <c r="B844" s="413"/>
      <c r="C844" s="412"/>
      <c r="D844" s="412"/>
      <c r="E844" s="412"/>
      <c r="F844" s="412"/>
      <c r="G844" s="412"/>
      <c r="H844" s="412"/>
      <c r="I844" s="414"/>
    </row>
    <row r="845" spans="1:9">
      <c r="A845" s="412"/>
      <c r="B845" s="413"/>
      <c r="C845" s="412"/>
      <c r="D845" s="412"/>
      <c r="E845" s="412"/>
      <c r="F845" s="412"/>
      <c r="G845" s="412"/>
      <c r="H845" s="412"/>
      <c r="I845" s="414"/>
    </row>
    <row r="846" spans="1:9">
      <c r="A846" s="412"/>
      <c r="B846" s="413"/>
      <c r="C846" s="412"/>
      <c r="D846" s="412"/>
      <c r="E846" s="412"/>
      <c r="F846" s="412"/>
      <c r="G846" s="412"/>
      <c r="H846" s="412"/>
      <c r="I846" s="414"/>
    </row>
    <row r="847" spans="1:9">
      <c r="A847" s="412"/>
      <c r="B847" s="413"/>
      <c r="C847" s="412"/>
      <c r="D847" s="412"/>
      <c r="E847" s="412"/>
      <c r="F847" s="412"/>
      <c r="G847" s="412"/>
      <c r="H847" s="412"/>
      <c r="I847" s="414"/>
    </row>
    <row r="848" spans="1:9">
      <c r="A848" s="412"/>
      <c r="B848" s="413"/>
      <c r="C848" s="412"/>
      <c r="D848" s="412"/>
      <c r="E848" s="412"/>
      <c r="F848" s="412"/>
      <c r="G848" s="412"/>
      <c r="H848" s="412"/>
      <c r="I848" s="414"/>
    </row>
    <row r="849" spans="1:9">
      <c r="A849" s="412"/>
      <c r="B849" s="413"/>
      <c r="C849" s="412"/>
      <c r="D849" s="412"/>
      <c r="E849" s="412"/>
      <c r="F849" s="412"/>
      <c r="G849" s="412"/>
      <c r="H849" s="412"/>
      <c r="I849" s="414"/>
    </row>
    <row r="850" spans="1:9">
      <c r="A850" s="412"/>
      <c r="B850" s="413"/>
      <c r="C850" s="412"/>
      <c r="D850" s="412"/>
      <c r="E850" s="412"/>
      <c r="F850" s="412"/>
      <c r="G850" s="412"/>
      <c r="H850" s="412"/>
      <c r="I850" s="414"/>
    </row>
    <row r="851" spans="1:9">
      <c r="A851" s="412"/>
      <c r="B851" s="413"/>
      <c r="C851" s="412"/>
      <c r="D851" s="412"/>
      <c r="E851" s="412"/>
      <c r="F851" s="412"/>
      <c r="G851" s="412"/>
      <c r="H851" s="412"/>
      <c r="I851" s="414"/>
    </row>
    <row r="852" spans="1:9">
      <c r="A852" s="412"/>
      <c r="B852" s="413"/>
      <c r="C852" s="412"/>
      <c r="D852" s="412"/>
      <c r="E852" s="412"/>
      <c r="F852" s="412"/>
      <c r="G852" s="412"/>
      <c r="H852" s="412"/>
      <c r="I852" s="414"/>
    </row>
    <row r="853" spans="1:9">
      <c r="A853" s="412"/>
      <c r="B853" s="413"/>
      <c r="C853" s="412"/>
      <c r="D853" s="412"/>
      <c r="E853" s="412"/>
      <c r="F853" s="412"/>
      <c r="G853" s="412"/>
      <c r="H853" s="412"/>
      <c r="I853" s="414"/>
    </row>
    <row r="854" spans="1:9">
      <c r="A854" s="412"/>
      <c r="B854" s="413"/>
      <c r="C854" s="412"/>
      <c r="D854" s="412"/>
      <c r="E854" s="412"/>
      <c r="F854" s="412"/>
      <c r="G854" s="412"/>
      <c r="H854" s="412"/>
      <c r="I854" s="414"/>
    </row>
    <row r="855" spans="1:9">
      <c r="A855" s="412"/>
      <c r="B855" s="413"/>
      <c r="C855" s="412"/>
      <c r="D855" s="412"/>
      <c r="E855" s="412"/>
      <c r="F855" s="412"/>
      <c r="G855" s="412"/>
      <c r="H855" s="412"/>
      <c r="I855" s="414"/>
    </row>
    <row r="856" spans="1:9">
      <c r="A856" s="412"/>
      <c r="B856" s="413"/>
      <c r="C856" s="412"/>
      <c r="D856" s="412"/>
      <c r="E856" s="412"/>
      <c r="F856" s="412"/>
      <c r="G856" s="412"/>
      <c r="H856" s="412"/>
      <c r="I856" s="414"/>
    </row>
    <row r="857" spans="1:9">
      <c r="A857" s="412"/>
      <c r="B857" s="413"/>
      <c r="C857" s="412"/>
      <c r="D857" s="412"/>
      <c r="E857" s="412"/>
      <c r="F857" s="412"/>
      <c r="G857" s="412"/>
      <c r="H857" s="412"/>
      <c r="I857" s="414"/>
    </row>
    <row r="858" spans="1:9">
      <c r="A858" s="412"/>
      <c r="B858" s="413"/>
      <c r="C858" s="412"/>
      <c r="D858" s="412"/>
      <c r="E858" s="412"/>
      <c r="F858" s="412"/>
      <c r="G858" s="412"/>
      <c r="H858" s="412"/>
      <c r="I858" s="414"/>
    </row>
    <row r="859" spans="1:9">
      <c r="A859" s="412"/>
      <c r="B859" s="413"/>
      <c r="C859" s="412"/>
      <c r="D859" s="412"/>
      <c r="E859" s="412"/>
      <c r="F859" s="412"/>
      <c r="G859" s="412"/>
      <c r="H859" s="412"/>
      <c r="I859" s="414"/>
    </row>
    <row r="860" spans="1:9">
      <c r="A860" s="412"/>
      <c r="B860" s="413"/>
      <c r="C860" s="412"/>
      <c r="D860" s="412"/>
      <c r="E860" s="412"/>
      <c r="F860" s="412"/>
      <c r="G860" s="412"/>
      <c r="H860" s="412"/>
      <c r="I860" s="414"/>
    </row>
    <row r="861" spans="1:9">
      <c r="A861" s="412"/>
      <c r="B861" s="413"/>
      <c r="C861" s="412"/>
      <c r="D861" s="412"/>
      <c r="E861" s="412"/>
      <c r="F861" s="412"/>
      <c r="G861" s="412"/>
      <c r="H861" s="412"/>
      <c r="I861" s="414"/>
    </row>
    <row r="862" spans="1:9">
      <c r="A862" s="412"/>
      <c r="B862" s="413"/>
      <c r="C862" s="412"/>
      <c r="D862" s="412"/>
      <c r="E862" s="412"/>
      <c r="F862" s="412"/>
      <c r="G862" s="412"/>
      <c r="H862" s="412"/>
      <c r="I862" s="414"/>
    </row>
    <row r="863" spans="1:9">
      <c r="A863" s="412"/>
      <c r="B863" s="413"/>
      <c r="C863" s="412"/>
      <c r="D863" s="412"/>
      <c r="E863" s="412"/>
      <c r="F863" s="412"/>
      <c r="G863" s="412"/>
      <c r="H863" s="412"/>
      <c r="I863" s="414"/>
    </row>
    <row r="864" spans="1:9">
      <c r="A864" s="412"/>
      <c r="B864" s="413"/>
      <c r="C864" s="412"/>
      <c r="D864" s="412"/>
      <c r="E864" s="412"/>
      <c r="F864" s="412"/>
      <c r="G864" s="412"/>
      <c r="H864" s="412"/>
      <c r="I864" s="414"/>
    </row>
    <row r="865" spans="1:9">
      <c r="A865" s="412"/>
      <c r="B865" s="413"/>
      <c r="C865" s="412"/>
      <c r="D865" s="412"/>
      <c r="E865" s="412"/>
      <c r="F865" s="412"/>
      <c r="G865" s="412"/>
      <c r="H865" s="412"/>
      <c r="I865" s="414"/>
    </row>
    <row r="866" spans="1:9">
      <c r="A866" s="412"/>
      <c r="B866" s="413"/>
      <c r="C866" s="412"/>
      <c r="D866" s="412"/>
      <c r="E866" s="412"/>
      <c r="F866" s="412"/>
      <c r="G866" s="412"/>
      <c r="H866" s="412"/>
      <c r="I866" s="414"/>
    </row>
    <row r="867" spans="1:9">
      <c r="A867" s="412"/>
      <c r="B867" s="413"/>
      <c r="C867" s="412"/>
      <c r="D867" s="412"/>
      <c r="E867" s="412"/>
      <c r="F867" s="412"/>
      <c r="G867" s="412"/>
      <c r="H867" s="412"/>
      <c r="I867" s="414"/>
    </row>
    <row r="868" spans="1:9">
      <c r="A868" s="412"/>
      <c r="B868" s="413"/>
      <c r="C868" s="412"/>
      <c r="D868" s="412"/>
      <c r="E868" s="412"/>
      <c r="F868" s="412"/>
      <c r="G868" s="412"/>
      <c r="H868" s="412"/>
      <c r="I868" s="414"/>
    </row>
    <row r="869" spans="1:9">
      <c r="A869" s="412"/>
      <c r="B869" s="413"/>
      <c r="C869" s="412"/>
      <c r="D869" s="412"/>
      <c r="E869" s="412"/>
      <c r="F869" s="412"/>
      <c r="G869" s="412"/>
      <c r="H869" s="412"/>
      <c r="I869" s="414"/>
    </row>
    <row r="870" spans="1:9">
      <c r="A870" s="412"/>
      <c r="B870" s="413"/>
      <c r="C870" s="412"/>
      <c r="D870" s="412"/>
      <c r="E870" s="412"/>
      <c r="F870" s="412"/>
      <c r="G870" s="412"/>
      <c r="H870" s="412"/>
      <c r="I870" s="414"/>
    </row>
    <row r="871" spans="1:9">
      <c r="A871" s="412"/>
      <c r="B871" s="413"/>
      <c r="C871" s="412"/>
      <c r="D871" s="412"/>
      <c r="E871" s="412"/>
      <c r="F871" s="412"/>
      <c r="G871" s="412"/>
      <c r="H871" s="412"/>
      <c r="I871" s="414"/>
    </row>
    <row r="872" spans="1:9">
      <c r="A872" s="412"/>
      <c r="B872" s="413"/>
      <c r="C872" s="412"/>
      <c r="D872" s="412"/>
      <c r="E872" s="412"/>
      <c r="F872" s="412"/>
      <c r="G872" s="412"/>
      <c r="H872" s="412"/>
      <c r="I872" s="414"/>
    </row>
    <row r="873" spans="1:9">
      <c r="A873" s="412"/>
      <c r="B873" s="413"/>
      <c r="C873" s="412"/>
      <c r="D873" s="412"/>
      <c r="E873" s="412"/>
      <c r="F873" s="412"/>
      <c r="G873" s="412"/>
      <c r="H873" s="412"/>
      <c r="I873" s="414"/>
    </row>
    <row r="874" spans="1:9">
      <c r="A874" s="412"/>
      <c r="B874" s="413"/>
      <c r="C874" s="412"/>
      <c r="D874" s="412"/>
      <c r="E874" s="412"/>
      <c r="F874" s="412"/>
      <c r="G874" s="412"/>
      <c r="H874" s="412"/>
      <c r="I874" s="414"/>
    </row>
    <row r="875" spans="1:9">
      <c r="A875" s="412"/>
      <c r="B875" s="413"/>
      <c r="C875" s="412"/>
      <c r="D875" s="412"/>
      <c r="E875" s="412"/>
      <c r="F875" s="412"/>
      <c r="G875" s="412"/>
      <c r="H875" s="412"/>
      <c r="I875" s="414"/>
    </row>
    <row r="876" spans="1:9">
      <c r="A876" s="412"/>
      <c r="B876" s="413"/>
      <c r="C876" s="412"/>
      <c r="D876" s="412"/>
      <c r="E876" s="412"/>
      <c r="F876" s="412"/>
      <c r="G876" s="412"/>
      <c r="H876" s="412"/>
      <c r="I876" s="414"/>
    </row>
    <row r="877" spans="1:9">
      <c r="A877" s="412"/>
      <c r="B877" s="413"/>
      <c r="C877" s="412"/>
      <c r="D877" s="412"/>
      <c r="E877" s="412"/>
      <c r="F877" s="412"/>
      <c r="G877" s="412"/>
      <c r="H877" s="412"/>
      <c r="I877" s="414"/>
    </row>
    <row r="878" spans="1:9">
      <c r="A878" s="412"/>
      <c r="B878" s="413"/>
      <c r="C878" s="412"/>
      <c r="D878" s="412"/>
      <c r="E878" s="412"/>
      <c r="F878" s="412"/>
      <c r="G878" s="412"/>
      <c r="H878" s="412"/>
      <c r="I878" s="414"/>
    </row>
    <row r="879" spans="1:9">
      <c r="A879" s="412"/>
      <c r="B879" s="413"/>
      <c r="C879" s="412"/>
      <c r="D879" s="412"/>
      <c r="E879" s="412"/>
      <c r="F879" s="412"/>
      <c r="G879" s="412"/>
      <c r="H879" s="412"/>
      <c r="I879" s="414"/>
    </row>
    <row r="880" spans="1:9">
      <c r="A880" s="412"/>
      <c r="B880" s="413"/>
      <c r="C880" s="412"/>
      <c r="D880" s="412"/>
      <c r="E880" s="412"/>
      <c r="F880" s="412"/>
      <c r="G880" s="412"/>
      <c r="H880" s="412"/>
      <c r="I880" s="414"/>
    </row>
    <row r="881" spans="1:9">
      <c r="A881" s="412"/>
      <c r="B881" s="413"/>
      <c r="C881" s="412"/>
      <c r="D881" s="412"/>
      <c r="E881" s="412"/>
      <c r="F881" s="412"/>
      <c r="G881" s="412"/>
      <c r="H881" s="412"/>
      <c r="I881" s="414"/>
    </row>
    <row r="882" spans="1:9">
      <c r="A882" s="412"/>
      <c r="B882" s="413"/>
      <c r="C882" s="412"/>
      <c r="D882" s="412"/>
      <c r="E882" s="412"/>
      <c r="F882" s="412"/>
      <c r="G882" s="412"/>
      <c r="H882" s="412"/>
      <c r="I882" s="414"/>
    </row>
    <row r="883" spans="1:9">
      <c r="A883" s="412"/>
      <c r="B883" s="413"/>
      <c r="C883" s="412"/>
      <c r="D883" s="412"/>
      <c r="E883" s="412"/>
      <c r="F883" s="412"/>
      <c r="G883" s="412"/>
      <c r="H883" s="412"/>
      <c r="I883" s="414"/>
    </row>
    <row r="884" spans="1:9">
      <c r="A884" s="412"/>
      <c r="B884" s="413"/>
      <c r="C884" s="412"/>
      <c r="D884" s="412"/>
      <c r="E884" s="412"/>
      <c r="F884" s="412"/>
      <c r="G884" s="412"/>
      <c r="H884" s="412"/>
      <c r="I884" s="414"/>
    </row>
    <row r="885" spans="1:9">
      <c r="A885" s="412"/>
      <c r="B885" s="413"/>
      <c r="C885" s="412"/>
      <c r="D885" s="412"/>
      <c r="E885" s="412"/>
      <c r="F885" s="412"/>
      <c r="G885" s="412"/>
      <c r="H885" s="412"/>
      <c r="I885" s="414"/>
    </row>
    <row r="886" spans="1:9">
      <c r="A886" s="412"/>
      <c r="B886" s="413"/>
      <c r="C886" s="412"/>
      <c r="D886" s="412"/>
      <c r="E886" s="412"/>
      <c r="F886" s="412"/>
      <c r="G886" s="412"/>
      <c r="H886" s="412"/>
      <c r="I886" s="414"/>
    </row>
    <row r="887" spans="1:9">
      <c r="A887" s="412"/>
      <c r="B887" s="413"/>
      <c r="C887" s="412"/>
      <c r="D887" s="412"/>
      <c r="E887" s="412"/>
      <c r="F887" s="412"/>
      <c r="G887" s="412"/>
      <c r="H887" s="412"/>
      <c r="I887" s="414"/>
    </row>
    <row r="888" spans="1:9">
      <c r="A888" s="412"/>
      <c r="B888" s="413"/>
      <c r="C888" s="412"/>
      <c r="D888" s="412"/>
      <c r="E888" s="412"/>
      <c r="F888" s="412"/>
      <c r="G888" s="412"/>
      <c r="H888" s="412"/>
      <c r="I888" s="414"/>
    </row>
    <row r="889" spans="1:9">
      <c r="A889" s="412"/>
      <c r="B889" s="413"/>
      <c r="C889" s="412"/>
      <c r="D889" s="412"/>
      <c r="E889" s="412"/>
      <c r="F889" s="412"/>
      <c r="G889" s="412"/>
      <c r="H889" s="412"/>
      <c r="I889" s="414"/>
    </row>
    <row r="890" spans="1:9">
      <c r="A890" s="412"/>
      <c r="B890" s="413"/>
      <c r="C890" s="412"/>
      <c r="D890" s="412"/>
      <c r="E890" s="412"/>
      <c r="F890" s="412"/>
      <c r="G890" s="412"/>
      <c r="H890" s="412"/>
      <c r="I890" s="414"/>
    </row>
    <row r="891" spans="1:9">
      <c r="A891" s="412"/>
      <c r="B891" s="413"/>
      <c r="C891" s="412"/>
      <c r="D891" s="412"/>
      <c r="E891" s="412"/>
      <c r="F891" s="412"/>
      <c r="G891" s="412"/>
      <c r="H891" s="412"/>
      <c r="I891" s="414"/>
    </row>
    <row r="892" spans="1:9">
      <c r="A892" s="412"/>
      <c r="B892" s="413"/>
      <c r="C892" s="412"/>
      <c r="D892" s="412"/>
      <c r="E892" s="412"/>
      <c r="F892" s="412"/>
      <c r="G892" s="412"/>
      <c r="H892" s="412"/>
      <c r="I892" s="414"/>
    </row>
    <row r="893" spans="1:9">
      <c r="A893" s="412"/>
      <c r="B893" s="413"/>
      <c r="C893" s="412"/>
      <c r="D893" s="412"/>
      <c r="E893" s="412"/>
      <c r="F893" s="412"/>
      <c r="G893" s="412"/>
      <c r="H893" s="412"/>
      <c r="I893" s="414"/>
    </row>
    <row r="894" spans="1:9">
      <c r="A894" s="412"/>
      <c r="B894" s="413"/>
      <c r="C894" s="412"/>
      <c r="D894" s="412"/>
      <c r="E894" s="412"/>
      <c r="F894" s="412"/>
      <c r="G894" s="412"/>
      <c r="H894" s="412"/>
      <c r="I894" s="414"/>
    </row>
    <row r="895" spans="1:9">
      <c r="A895" s="412"/>
      <c r="B895" s="413"/>
      <c r="C895" s="412"/>
      <c r="D895" s="412"/>
      <c r="E895" s="412"/>
      <c r="F895" s="412"/>
      <c r="G895" s="412"/>
      <c r="H895" s="412"/>
      <c r="I895" s="414"/>
    </row>
    <row r="896" spans="1:9">
      <c r="A896" s="412"/>
      <c r="B896" s="413"/>
      <c r="C896" s="412"/>
      <c r="D896" s="412"/>
      <c r="E896" s="412"/>
      <c r="F896" s="412"/>
      <c r="G896" s="412"/>
      <c r="H896" s="412"/>
      <c r="I896" s="414"/>
    </row>
    <row r="897" spans="1:9">
      <c r="A897" s="412"/>
      <c r="B897" s="413"/>
      <c r="C897" s="412"/>
      <c r="D897" s="412"/>
      <c r="E897" s="412"/>
      <c r="F897" s="412"/>
      <c r="G897" s="412"/>
      <c r="H897" s="412"/>
      <c r="I897" s="414"/>
    </row>
    <row r="898" spans="1:9">
      <c r="A898" s="412"/>
      <c r="B898" s="413"/>
      <c r="C898" s="412"/>
      <c r="D898" s="412"/>
      <c r="E898" s="412"/>
      <c r="F898" s="412"/>
      <c r="G898" s="412"/>
      <c r="H898" s="412"/>
      <c r="I898" s="414"/>
    </row>
    <row r="899" spans="1:9">
      <c r="A899" s="412"/>
      <c r="B899" s="413"/>
      <c r="C899" s="412"/>
      <c r="D899" s="412"/>
      <c r="E899" s="412"/>
      <c r="F899" s="412"/>
      <c r="G899" s="412"/>
      <c r="H899" s="412"/>
      <c r="I899" s="414"/>
    </row>
    <row r="900" spans="1:9">
      <c r="A900" s="412"/>
      <c r="B900" s="413"/>
      <c r="C900" s="412"/>
      <c r="D900" s="412"/>
      <c r="E900" s="412"/>
      <c r="F900" s="412"/>
      <c r="G900" s="412"/>
      <c r="H900" s="412"/>
      <c r="I900" s="414"/>
    </row>
    <row r="901" spans="1:9">
      <c r="A901" s="412"/>
      <c r="B901" s="413"/>
      <c r="C901" s="412"/>
      <c r="D901" s="412"/>
      <c r="E901" s="412"/>
      <c r="F901" s="412"/>
      <c r="G901" s="412"/>
      <c r="H901" s="412"/>
      <c r="I901" s="414"/>
    </row>
    <row r="902" spans="1:9">
      <c r="A902" s="412"/>
      <c r="B902" s="413"/>
      <c r="C902" s="412"/>
      <c r="D902" s="412"/>
      <c r="E902" s="412"/>
      <c r="F902" s="412"/>
      <c r="G902" s="412"/>
      <c r="H902" s="412"/>
      <c r="I902" s="414"/>
    </row>
    <row r="903" spans="1:9">
      <c r="A903" s="412"/>
      <c r="B903" s="413"/>
      <c r="C903" s="412"/>
      <c r="D903" s="412"/>
      <c r="E903" s="412"/>
      <c r="F903" s="412"/>
      <c r="G903" s="412"/>
      <c r="H903" s="412"/>
      <c r="I903" s="414"/>
    </row>
    <row r="904" spans="1:9">
      <c r="A904" s="412"/>
      <c r="B904" s="413"/>
      <c r="C904" s="412"/>
      <c r="D904" s="412"/>
      <c r="E904" s="412"/>
      <c r="F904" s="412"/>
      <c r="G904" s="412"/>
      <c r="H904" s="412"/>
      <c r="I904" s="414"/>
    </row>
    <row r="905" spans="1:9">
      <c r="A905" s="412"/>
      <c r="B905" s="413"/>
      <c r="C905" s="412"/>
      <c r="D905" s="412"/>
      <c r="E905" s="412"/>
      <c r="F905" s="412"/>
      <c r="G905" s="412"/>
      <c r="H905" s="412"/>
      <c r="I905" s="414"/>
    </row>
    <row r="906" spans="1:9">
      <c r="A906" s="412"/>
      <c r="B906" s="413"/>
      <c r="C906" s="412"/>
      <c r="D906" s="412"/>
      <c r="E906" s="412"/>
      <c r="F906" s="412"/>
      <c r="G906" s="412"/>
      <c r="H906" s="412"/>
      <c r="I906" s="414"/>
    </row>
    <row r="907" spans="1:9">
      <c r="A907" s="412"/>
      <c r="B907" s="413"/>
      <c r="C907" s="412"/>
      <c r="D907" s="412"/>
      <c r="E907" s="412"/>
      <c r="F907" s="412"/>
      <c r="G907" s="412"/>
      <c r="H907" s="412"/>
      <c r="I907" s="414"/>
    </row>
    <row r="908" spans="1:9">
      <c r="A908" s="412"/>
      <c r="B908" s="413"/>
      <c r="C908" s="412"/>
      <c r="D908" s="412"/>
      <c r="E908" s="412"/>
      <c r="F908" s="412"/>
      <c r="G908" s="412"/>
      <c r="H908" s="412"/>
      <c r="I908" s="414"/>
    </row>
    <row r="909" spans="1:9">
      <c r="A909" s="412"/>
      <c r="B909" s="413"/>
      <c r="C909" s="412"/>
      <c r="D909" s="412"/>
      <c r="E909" s="412"/>
      <c r="F909" s="412"/>
      <c r="G909" s="412"/>
      <c r="H909" s="412"/>
      <c r="I909" s="414"/>
    </row>
    <row r="910" spans="1:9">
      <c r="A910" s="412"/>
      <c r="B910" s="413"/>
      <c r="C910" s="412"/>
      <c r="D910" s="412"/>
      <c r="E910" s="412"/>
      <c r="F910" s="412"/>
      <c r="G910" s="412"/>
      <c r="H910" s="412"/>
      <c r="I910" s="414"/>
    </row>
    <row r="911" spans="1:9">
      <c r="A911" s="412"/>
      <c r="B911" s="413"/>
      <c r="C911" s="412"/>
      <c r="D911" s="412"/>
      <c r="E911" s="412"/>
      <c r="F911" s="412"/>
      <c r="G911" s="412"/>
      <c r="H911" s="412"/>
      <c r="I911" s="414"/>
    </row>
    <row r="912" spans="1:9">
      <c r="A912" s="412"/>
      <c r="B912" s="413"/>
      <c r="C912" s="412"/>
      <c r="D912" s="412"/>
      <c r="E912" s="412"/>
      <c r="F912" s="412"/>
      <c r="G912" s="412"/>
      <c r="H912" s="412"/>
      <c r="I912" s="414"/>
    </row>
    <row r="913" spans="1:9">
      <c r="A913" s="412"/>
      <c r="B913" s="413"/>
      <c r="C913" s="412"/>
      <c r="D913" s="412"/>
      <c r="E913" s="412"/>
      <c r="F913" s="412"/>
      <c r="G913" s="412"/>
      <c r="H913" s="412"/>
      <c r="I913" s="414"/>
    </row>
    <row r="914" spans="1:9">
      <c r="A914" s="412"/>
      <c r="B914" s="413"/>
      <c r="C914" s="412"/>
      <c r="D914" s="412"/>
      <c r="E914" s="412"/>
      <c r="F914" s="412"/>
      <c r="G914" s="412"/>
      <c r="H914" s="412"/>
      <c r="I914" s="414"/>
    </row>
    <row r="915" spans="1:9">
      <c r="A915" s="412"/>
      <c r="B915" s="413"/>
      <c r="C915" s="412"/>
      <c r="D915" s="412"/>
      <c r="E915" s="412"/>
      <c r="F915" s="412"/>
      <c r="G915" s="412"/>
      <c r="H915" s="412"/>
      <c r="I915" s="414"/>
    </row>
    <row r="916" spans="1:9">
      <c r="A916" s="412"/>
      <c r="B916" s="413"/>
      <c r="C916" s="412"/>
      <c r="D916" s="412"/>
      <c r="E916" s="412"/>
      <c r="F916" s="412"/>
      <c r="G916" s="412"/>
      <c r="H916" s="412"/>
      <c r="I916" s="414"/>
    </row>
    <row r="917" spans="1:9">
      <c r="A917" s="412"/>
      <c r="B917" s="413"/>
      <c r="C917" s="412"/>
      <c r="D917" s="412"/>
      <c r="E917" s="412"/>
      <c r="F917" s="412"/>
      <c r="G917" s="412"/>
      <c r="H917" s="412"/>
      <c r="I917" s="414"/>
    </row>
    <row r="918" spans="1:9">
      <c r="A918" s="412"/>
      <c r="B918" s="413"/>
      <c r="C918" s="412"/>
      <c r="D918" s="412"/>
      <c r="E918" s="412"/>
      <c r="F918" s="412"/>
      <c r="G918" s="412"/>
      <c r="H918" s="412"/>
      <c r="I918" s="414"/>
    </row>
    <row r="919" spans="1:9">
      <c r="A919" s="412"/>
      <c r="B919" s="413"/>
      <c r="C919" s="412"/>
      <c r="D919" s="412"/>
      <c r="E919" s="412"/>
      <c r="F919" s="412"/>
      <c r="G919" s="412"/>
      <c r="H919" s="412"/>
      <c r="I919" s="414"/>
    </row>
    <row r="920" spans="1:9">
      <c r="A920" s="412"/>
      <c r="B920" s="413"/>
      <c r="C920" s="412"/>
      <c r="D920" s="412"/>
      <c r="E920" s="412"/>
      <c r="F920" s="412"/>
      <c r="G920" s="412"/>
      <c r="H920" s="412"/>
      <c r="I920" s="414"/>
    </row>
    <row r="921" spans="1:9">
      <c r="A921" s="412"/>
      <c r="B921" s="413"/>
      <c r="C921" s="412"/>
      <c r="D921" s="412"/>
      <c r="E921" s="412"/>
      <c r="F921" s="412"/>
      <c r="G921" s="412"/>
      <c r="H921" s="412"/>
      <c r="I921" s="414"/>
    </row>
    <row r="922" spans="1:9">
      <c r="A922" s="412"/>
      <c r="B922" s="413"/>
      <c r="C922" s="412"/>
      <c r="D922" s="412"/>
      <c r="E922" s="412"/>
      <c r="F922" s="412"/>
      <c r="G922" s="412"/>
      <c r="H922" s="412"/>
      <c r="I922" s="414"/>
    </row>
    <row r="923" spans="1:9">
      <c r="A923" s="412"/>
      <c r="B923" s="413"/>
      <c r="C923" s="412"/>
      <c r="D923" s="412"/>
      <c r="E923" s="412"/>
      <c r="F923" s="412"/>
      <c r="G923" s="412"/>
      <c r="H923" s="412"/>
      <c r="I923" s="414"/>
    </row>
    <row r="924" spans="1:9">
      <c r="A924" s="412"/>
      <c r="B924" s="413"/>
      <c r="C924" s="412"/>
      <c r="D924" s="412"/>
      <c r="E924" s="412"/>
      <c r="F924" s="412"/>
      <c r="G924" s="412"/>
      <c r="H924" s="412"/>
      <c r="I924" s="414"/>
    </row>
    <row r="925" spans="1:9">
      <c r="A925" s="412"/>
      <c r="B925" s="413"/>
      <c r="C925" s="412"/>
      <c r="D925" s="412"/>
      <c r="E925" s="412"/>
      <c r="F925" s="412"/>
      <c r="G925" s="412"/>
      <c r="H925" s="412"/>
      <c r="I925" s="414"/>
    </row>
    <row r="926" spans="1:9">
      <c r="A926" s="412"/>
      <c r="B926" s="413"/>
      <c r="C926" s="412"/>
      <c r="D926" s="412"/>
      <c r="E926" s="412"/>
      <c r="F926" s="412"/>
      <c r="G926" s="412"/>
      <c r="H926" s="412"/>
      <c r="I926" s="414"/>
    </row>
    <row r="927" spans="1:9">
      <c r="A927" s="412"/>
      <c r="B927" s="413"/>
      <c r="C927" s="412"/>
      <c r="D927" s="412"/>
      <c r="E927" s="412"/>
      <c r="F927" s="412"/>
      <c r="G927" s="412"/>
      <c r="H927" s="412"/>
      <c r="I927" s="414"/>
    </row>
    <row r="928" spans="1:9">
      <c r="A928" s="412"/>
      <c r="B928" s="413"/>
      <c r="C928" s="412"/>
      <c r="D928" s="412"/>
      <c r="E928" s="412"/>
      <c r="F928" s="412"/>
      <c r="G928" s="412"/>
      <c r="H928" s="412"/>
      <c r="I928" s="414"/>
    </row>
    <row r="929" spans="1:9">
      <c r="A929" s="412"/>
      <c r="B929" s="413"/>
      <c r="C929" s="412"/>
      <c r="D929" s="412"/>
      <c r="E929" s="412"/>
      <c r="F929" s="412"/>
      <c r="G929" s="412"/>
      <c r="H929" s="412"/>
      <c r="I929" s="414"/>
    </row>
    <row r="930" spans="1:9">
      <c r="A930" s="412"/>
      <c r="B930" s="413"/>
      <c r="C930" s="412"/>
      <c r="D930" s="412"/>
      <c r="E930" s="412"/>
      <c r="F930" s="412"/>
      <c r="G930" s="412"/>
      <c r="H930" s="412"/>
      <c r="I930" s="414"/>
    </row>
    <row r="931" spans="1:9">
      <c r="A931" s="412"/>
      <c r="B931" s="413"/>
      <c r="C931" s="412"/>
      <c r="D931" s="412"/>
      <c r="E931" s="412"/>
      <c r="F931" s="412"/>
      <c r="G931" s="412"/>
      <c r="H931" s="412"/>
      <c r="I931" s="414"/>
    </row>
    <row r="932" spans="1:9">
      <c r="A932" s="412"/>
      <c r="B932" s="413"/>
      <c r="C932" s="412"/>
      <c r="D932" s="412"/>
      <c r="E932" s="412"/>
      <c r="F932" s="412"/>
      <c r="G932" s="412"/>
      <c r="H932" s="412"/>
      <c r="I932" s="414"/>
    </row>
    <row r="933" spans="1:9">
      <c r="A933" s="412"/>
      <c r="B933" s="413"/>
      <c r="C933" s="412"/>
      <c r="D933" s="412"/>
      <c r="E933" s="412"/>
      <c r="F933" s="412"/>
      <c r="G933" s="412"/>
      <c r="H933" s="412"/>
      <c r="I933" s="414"/>
    </row>
    <row r="934" spans="1:9">
      <c r="A934" s="412"/>
      <c r="B934" s="413"/>
      <c r="C934" s="412"/>
      <c r="D934" s="412"/>
      <c r="E934" s="412"/>
      <c r="F934" s="412"/>
      <c r="G934" s="412"/>
      <c r="H934" s="412"/>
      <c r="I934" s="414"/>
    </row>
    <row r="935" spans="1:9">
      <c r="A935" s="412"/>
      <c r="B935" s="413"/>
      <c r="C935" s="412"/>
      <c r="D935" s="412"/>
      <c r="E935" s="412"/>
      <c r="F935" s="412"/>
      <c r="G935" s="412"/>
      <c r="H935" s="412"/>
      <c r="I935" s="414"/>
    </row>
    <row r="936" spans="1:9">
      <c r="A936" s="412"/>
      <c r="B936" s="413"/>
      <c r="C936" s="412"/>
      <c r="D936" s="412"/>
      <c r="E936" s="412"/>
      <c r="F936" s="412"/>
      <c r="G936" s="412"/>
      <c r="H936" s="412"/>
      <c r="I936" s="414"/>
    </row>
    <row r="937" spans="1:9">
      <c r="A937" s="412"/>
      <c r="B937" s="413"/>
      <c r="C937" s="412"/>
      <c r="D937" s="412"/>
      <c r="E937" s="412"/>
      <c r="F937" s="412"/>
      <c r="G937" s="412"/>
      <c r="H937" s="412"/>
      <c r="I937" s="414"/>
    </row>
    <row r="938" spans="1:9">
      <c r="A938" s="412"/>
      <c r="B938" s="413"/>
      <c r="C938" s="412"/>
      <c r="D938" s="412"/>
      <c r="E938" s="412"/>
      <c r="F938" s="412"/>
      <c r="G938" s="412"/>
      <c r="H938" s="412"/>
      <c r="I938" s="414"/>
    </row>
    <row r="939" spans="1:9">
      <c r="A939" s="412"/>
      <c r="B939" s="413"/>
      <c r="C939" s="412"/>
      <c r="D939" s="412"/>
      <c r="E939" s="412"/>
      <c r="F939" s="412"/>
      <c r="G939" s="412"/>
      <c r="H939" s="412"/>
      <c r="I939" s="414"/>
    </row>
    <row r="940" spans="1:9">
      <c r="A940" s="412"/>
      <c r="B940" s="413"/>
      <c r="C940" s="412"/>
      <c r="D940" s="412"/>
      <c r="E940" s="412"/>
      <c r="F940" s="412"/>
      <c r="G940" s="412"/>
      <c r="H940" s="412"/>
      <c r="I940" s="414"/>
    </row>
    <row r="941" spans="1:9">
      <c r="A941" s="412"/>
      <c r="B941" s="413"/>
      <c r="C941" s="412"/>
      <c r="D941" s="412"/>
      <c r="E941" s="412"/>
      <c r="F941" s="412"/>
      <c r="G941" s="412"/>
      <c r="H941" s="412"/>
      <c r="I941" s="414"/>
    </row>
    <row r="942" spans="1:9">
      <c r="A942" s="412"/>
      <c r="B942" s="413"/>
      <c r="C942" s="412"/>
      <c r="D942" s="412"/>
      <c r="E942" s="412"/>
      <c r="F942" s="412"/>
      <c r="G942" s="412"/>
      <c r="H942" s="412"/>
      <c r="I942" s="414"/>
    </row>
    <row r="943" spans="1:9">
      <c r="A943" s="412"/>
      <c r="B943" s="413"/>
      <c r="C943" s="412"/>
      <c r="D943" s="412"/>
      <c r="E943" s="412"/>
      <c r="F943" s="412"/>
      <c r="G943" s="412"/>
      <c r="H943" s="412"/>
      <c r="I943" s="414"/>
    </row>
    <row r="944" spans="1:9">
      <c r="A944" s="412"/>
      <c r="B944" s="413"/>
      <c r="C944" s="412"/>
      <c r="D944" s="412"/>
      <c r="E944" s="412"/>
      <c r="F944" s="412"/>
      <c r="G944" s="412"/>
      <c r="H944" s="412"/>
      <c r="I944" s="414"/>
    </row>
    <row r="945" spans="1:9">
      <c r="A945" s="412"/>
      <c r="B945" s="413"/>
      <c r="C945" s="412"/>
      <c r="D945" s="412"/>
      <c r="E945" s="412"/>
      <c r="F945" s="412"/>
      <c r="G945" s="412"/>
      <c r="H945" s="412"/>
      <c r="I945" s="414"/>
    </row>
    <row r="946" spans="1:9">
      <c r="A946" s="412"/>
      <c r="B946" s="413"/>
      <c r="C946" s="412"/>
      <c r="D946" s="412"/>
      <c r="E946" s="412"/>
      <c r="F946" s="412"/>
      <c r="G946" s="412"/>
      <c r="H946" s="412"/>
      <c r="I946" s="414"/>
    </row>
    <row r="947" spans="1:9">
      <c r="A947" s="412"/>
      <c r="B947" s="413"/>
      <c r="C947" s="412"/>
      <c r="D947" s="412"/>
      <c r="E947" s="412"/>
      <c r="F947" s="412"/>
      <c r="G947" s="412"/>
      <c r="H947" s="412"/>
      <c r="I947" s="414"/>
    </row>
    <row r="948" spans="1:9">
      <c r="A948" s="412"/>
      <c r="B948" s="413"/>
      <c r="C948" s="412"/>
      <c r="D948" s="412"/>
      <c r="E948" s="412"/>
      <c r="F948" s="412"/>
      <c r="G948" s="412"/>
      <c r="H948" s="412"/>
      <c r="I948" s="414"/>
    </row>
    <row r="949" spans="1:9">
      <c r="A949" s="412"/>
      <c r="B949" s="413"/>
      <c r="C949" s="412"/>
      <c r="D949" s="412"/>
      <c r="E949" s="412"/>
      <c r="F949" s="412"/>
      <c r="G949" s="412"/>
      <c r="H949" s="412"/>
      <c r="I949" s="414"/>
    </row>
    <row r="950" spans="1:9">
      <c r="A950" s="412"/>
      <c r="B950" s="413"/>
      <c r="C950" s="412"/>
      <c r="D950" s="412"/>
      <c r="E950" s="412"/>
      <c r="F950" s="412"/>
      <c r="G950" s="412"/>
      <c r="H950" s="412"/>
      <c r="I950" s="414"/>
    </row>
    <row r="951" spans="1:9">
      <c r="A951" s="412"/>
      <c r="B951" s="413"/>
      <c r="C951" s="412"/>
      <c r="D951" s="412"/>
      <c r="E951" s="412"/>
      <c r="F951" s="412"/>
      <c r="G951" s="412"/>
      <c r="H951" s="412"/>
      <c r="I951" s="414"/>
    </row>
    <row r="952" spans="1:9">
      <c r="A952" s="412"/>
      <c r="B952" s="413"/>
      <c r="C952" s="412"/>
      <c r="D952" s="412"/>
      <c r="E952" s="412"/>
      <c r="F952" s="412"/>
      <c r="G952" s="412"/>
      <c r="H952" s="412"/>
      <c r="I952" s="414"/>
    </row>
    <row r="953" spans="1:9">
      <c r="A953" s="412"/>
      <c r="B953" s="413"/>
      <c r="C953" s="412"/>
      <c r="D953" s="412"/>
      <c r="E953" s="412"/>
      <c r="F953" s="412"/>
      <c r="G953" s="412"/>
      <c r="H953" s="412"/>
      <c r="I953" s="414"/>
    </row>
    <row r="954" spans="1:9">
      <c r="A954" s="412"/>
      <c r="B954" s="413"/>
      <c r="C954" s="412"/>
      <c r="D954" s="412"/>
      <c r="E954" s="412"/>
      <c r="F954" s="412"/>
      <c r="G954" s="412"/>
      <c r="H954" s="412"/>
      <c r="I954" s="414"/>
    </row>
    <row r="955" spans="1:9">
      <c r="A955" s="412"/>
      <c r="B955" s="413"/>
      <c r="C955" s="412"/>
      <c r="D955" s="412"/>
      <c r="E955" s="412"/>
      <c r="F955" s="412"/>
      <c r="G955" s="412"/>
      <c r="H955" s="412"/>
      <c r="I955" s="414"/>
    </row>
    <row r="956" spans="1:9">
      <c r="A956" s="412"/>
      <c r="B956" s="413"/>
      <c r="C956" s="412"/>
      <c r="D956" s="412"/>
      <c r="E956" s="412"/>
      <c r="F956" s="412"/>
      <c r="G956" s="412"/>
      <c r="H956" s="412"/>
      <c r="I956" s="414"/>
    </row>
    <row r="957" spans="1:9">
      <c r="A957" s="412"/>
      <c r="B957" s="413"/>
      <c r="C957" s="412"/>
      <c r="D957" s="412"/>
      <c r="E957" s="412"/>
      <c r="F957" s="412"/>
      <c r="G957" s="412"/>
      <c r="H957" s="412"/>
      <c r="I957" s="414"/>
    </row>
    <row r="958" spans="1:9">
      <c r="A958" s="412"/>
      <c r="B958" s="413"/>
      <c r="C958" s="412"/>
      <c r="D958" s="412"/>
      <c r="E958" s="412"/>
      <c r="F958" s="412"/>
      <c r="G958" s="412"/>
      <c r="H958" s="412"/>
      <c r="I958" s="414"/>
    </row>
    <row r="959" spans="1:9">
      <c r="A959" s="412"/>
      <c r="B959" s="413"/>
      <c r="C959" s="412"/>
      <c r="D959" s="412"/>
      <c r="E959" s="412"/>
      <c r="F959" s="412"/>
      <c r="G959" s="412"/>
      <c r="H959" s="412"/>
      <c r="I959" s="414"/>
    </row>
    <row r="960" spans="1:9">
      <c r="A960" s="412"/>
      <c r="B960" s="413"/>
      <c r="C960" s="412"/>
      <c r="D960" s="412"/>
      <c r="E960" s="412"/>
      <c r="F960" s="412"/>
      <c r="G960" s="412"/>
      <c r="H960" s="412"/>
      <c r="I960" s="414"/>
    </row>
    <row r="961" spans="1:9">
      <c r="A961" s="412"/>
      <c r="B961" s="413"/>
      <c r="C961" s="412"/>
      <c r="D961" s="412"/>
      <c r="E961" s="412"/>
      <c r="F961" s="412"/>
      <c r="G961" s="412"/>
      <c r="H961" s="412"/>
      <c r="I961" s="414"/>
    </row>
    <row r="962" spans="1:9">
      <c r="A962" s="412"/>
      <c r="B962" s="413"/>
      <c r="C962" s="412"/>
      <c r="D962" s="412"/>
      <c r="E962" s="412"/>
      <c r="F962" s="412"/>
      <c r="G962" s="412"/>
      <c r="H962" s="412"/>
      <c r="I962" s="414"/>
    </row>
    <row r="963" spans="1:9">
      <c r="A963" s="412"/>
      <c r="B963" s="413"/>
      <c r="C963" s="412"/>
      <c r="D963" s="412"/>
      <c r="E963" s="412"/>
      <c r="F963" s="412"/>
      <c r="G963" s="412"/>
      <c r="H963" s="412"/>
      <c r="I963" s="414"/>
    </row>
    <row r="964" spans="1:9">
      <c r="A964" s="412"/>
      <c r="B964" s="413"/>
      <c r="C964" s="412"/>
      <c r="D964" s="412"/>
      <c r="E964" s="412"/>
      <c r="F964" s="412"/>
      <c r="G964" s="412"/>
      <c r="H964" s="412"/>
      <c r="I964" s="414"/>
    </row>
    <row r="965" spans="1:9">
      <c r="A965" s="412"/>
      <c r="B965" s="413"/>
      <c r="C965" s="412"/>
      <c r="D965" s="412"/>
      <c r="E965" s="412"/>
      <c r="F965" s="412"/>
      <c r="G965" s="412"/>
      <c r="H965" s="412"/>
      <c r="I965" s="414"/>
    </row>
    <row r="966" spans="1:9">
      <c r="A966" s="412"/>
      <c r="B966" s="413"/>
      <c r="C966" s="412"/>
      <c r="D966" s="412"/>
      <c r="E966" s="412"/>
      <c r="F966" s="412"/>
      <c r="G966" s="412"/>
      <c r="H966" s="412"/>
      <c r="I966" s="414"/>
    </row>
    <row r="967" spans="1:9">
      <c r="A967" s="412"/>
      <c r="B967" s="413"/>
      <c r="C967" s="412"/>
      <c r="D967" s="412"/>
      <c r="E967" s="412"/>
      <c r="F967" s="412"/>
      <c r="G967" s="412"/>
      <c r="H967" s="412"/>
      <c r="I967" s="414"/>
    </row>
    <row r="968" spans="1:9">
      <c r="A968" s="412"/>
      <c r="B968" s="413"/>
      <c r="C968" s="412"/>
      <c r="D968" s="412"/>
      <c r="E968" s="412"/>
      <c r="F968" s="412"/>
      <c r="G968" s="412"/>
      <c r="H968" s="412"/>
      <c r="I968" s="414"/>
    </row>
    <row r="969" spans="1:9">
      <c r="A969" s="412"/>
      <c r="B969" s="413"/>
      <c r="C969" s="412"/>
      <c r="D969" s="412"/>
      <c r="E969" s="412"/>
      <c r="F969" s="412"/>
      <c r="G969" s="412"/>
      <c r="H969" s="412"/>
      <c r="I969" s="414"/>
    </row>
    <row r="970" spans="1:9">
      <c r="A970" s="412"/>
      <c r="B970" s="413"/>
      <c r="C970" s="412"/>
      <c r="D970" s="412"/>
      <c r="E970" s="412"/>
      <c r="F970" s="412"/>
      <c r="G970" s="412"/>
      <c r="H970" s="412"/>
      <c r="I970" s="414"/>
    </row>
    <row r="971" spans="1:9">
      <c r="A971" s="412"/>
      <c r="B971" s="413"/>
      <c r="C971" s="412"/>
      <c r="D971" s="412"/>
      <c r="E971" s="412"/>
      <c r="F971" s="412"/>
      <c r="G971" s="412"/>
      <c r="H971" s="412"/>
      <c r="I971" s="414"/>
    </row>
    <row r="972" spans="1:9">
      <c r="A972" s="412"/>
      <c r="B972" s="413"/>
      <c r="C972" s="412"/>
      <c r="D972" s="412"/>
      <c r="E972" s="412"/>
      <c r="F972" s="412"/>
      <c r="G972" s="412"/>
      <c r="H972" s="412"/>
      <c r="I972" s="414"/>
    </row>
    <row r="973" spans="1:9">
      <c r="A973" s="412"/>
      <c r="B973" s="413"/>
      <c r="C973" s="412"/>
      <c r="D973" s="412"/>
      <c r="E973" s="412"/>
      <c r="F973" s="412"/>
      <c r="G973" s="412"/>
      <c r="H973" s="412"/>
      <c r="I973" s="414"/>
    </row>
    <row r="974" spans="1:9">
      <c r="A974" s="412"/>
      <c r="B974" s="413"/>
      <c r="C974" s="412"/>
      <c r="D974" s="412"/>
      <c r="E974" s="412"/>
      <c r="F974" s="412"/>
      <c r="G974" s="412"/>
      <c r="H974" s="412"/>
      <c r="I974" s="414"/>
    </row>
    <row r="975" spans="1:9">
      <c r="A975" s="412"/>
      <c r="B975" s="413"/>
      <c r="C975" s="412"/>
      <c r="D975" s="412"/>
      <c r="E975" s="412"/>
      <c r="F975" s="412"/>
      <c r="G975" s="412"/>
      <c r="H975" s="412"/>
      <c r="I975" s="414"/>
    </row>
    <row r="976" spans="1:9">
      <c r="A976" s="412"/>
      <c r="B976" s="413"/>
      <c r="C976" s="412"/>
      <c r="D976" s="412"/>
      <c r="E976" s="412"/>
      <c r="F976" s="412"/>
      <c r="G976" s="412"/>
      <c r="H976" s="412"/>
      <c r="I976" s="414"/>
    </row>
    <row r="977" spans="1:9">
      <c r="A977" s="412"/>
      <c r="B977" s="413"/>
      <c r="C977" s="412"/>
      <c r="D977" s="412"/>
      <c r="E977" s="412"/>
      <c r="F977" s="412"/>
      <c r="G977" s="412"/>
      <c r="H977" s="412"/>
      <c r="I977" s="414"/>
    </row>
    <row r="978" spans="1:9">
      <c r="A978" s="412"/>
      <c r="B978" s="413"/>
      <c r="C978" s="412"/>
      <c r="D978" s="412"/>
      <c r="E978" s="412"/>
      <c r="F978" s="412"/>
      <c r="G978" s="412"/>
      <c r="H978" s="412"/>
      <c r="I978" s="414"/>
    </row>
    <row r="979" spans="1:9">
      <c r="A979" s="412"/>
      <c r="B979" s="413"/>
      <c r="C979" s="412"/>
      <c r="D979" s="412"/>
      <c r="E979" s="412"/>
      <c r="F979" s="412"/>
      <c r="G979" s="412"/>
      <c r="H979" s="412"/>
      <c r="I979" s="414"/>
    </row>
    <row r="980" spans="1:9">
      <c r="A980" s="412"/>
      <c r="B980" s="413"/>
      <c r="C980" s="412"/>
      <c r="D980" s="412"/>
      <c r="E980" s="412"/>
      <c r="F980" s="412"/>
      <c r="G980" s="412"/>
      <c r="H980" s="412"/>
      <c r="I980" s="414"/>
    </row>
    <row r="981" spans="1:9">
      <c r="A981" s="412"/>
      <c r="B981" s="413"/>
      <c r="C981" s="412"/>
      <c r="D981" s="412"/>
      <c r="E981" s="412"/>
      <c r="F981" s="412"/>
      <c r="G981" s="412"/>
      <c r="H981" s="412"/>
      <c r="I981" s="414"/>
    </row>
    <row r="982" spans="1:9">
      <c r="A982" s="412"/>
      <c r="B982" s="413"/>
      <c r="C982" s="412"/>
      <c r="D982" s="412"/>
      <c r="E982" s="412"/>
      <c r="F982" s="412"/>
      <c r="G982" s="412"/>
      <c r="H982" s="412"/>
      <c r="I982" s="414"/>
    </row>
    <row r="983" spans="1:9">
      <c r="A983" s="412"/>
      <c r="B983" s="413"/>
      <c r="C983" s="412"/>
      <c r="D983" s="412"/>
      <c r="E983" s="412"/>
      <c r="F983" s="412"/>
      <c r="G983" s="412"/>
      <c r="H983" s="412"/>
      <c r="I983" s="414"/>
    </row>
    <row r="984" spans="1:9">
      <c r="A984" s="412"/>
      <c r="B984" s="413"/>
      <c r="C984" s="412"/>
      <c r="D984" s="412"/>
      <c r="E984" s="412"/>
      <c r="F984" s="412"/>
      <c r="G984" s="412"/>
      <c r="H984" s="412"/>
      <c r="I984" s="414"/>
    </row>
    <row r="985" spans="1:9">
      <c r="A985" s="412"/>
      <c r="B985" s="413"/>
      <c r="C985" s="412"/>
      <c r="D985" s="412"/>
      <c r="E985" s="412"/>
      <c r="F985" s="412"/>
      <c r="G985" s="412"/>
      <c r="H985" s="412"/>
      <c r="I985" s="414"/>
    </row>
    <row r="986" spans="1:9">
      <c r="A986" s="412"/>
      <c r="B986" s="413"/>
      <c r="C986" s="412"/>
      <c r="D986" s="412"/>
      <c r="E986" s="412"/>
      <c r="F986" s="412"/>
      <c r="G986" s="412"/>
      <c r="H986" s="412"/>
      <c r="I986" s="414"/>
    </row>
    <row r="987" spans="1:9">
      <c r="A987" s="412"/>
      <c r="B987" s="413"/>
      <c r="C987" s="412"/>
      <c r="D987" s="412"/>
      <c r="E987" s="412"/>
      <c r="F987" s="412"/>
      <c r="G987" s="412"/>
      <c r="H987" s="412"/>
      <c r="I987" s="414"/>
    </row>
    <row r="988" spans="1:9">
      <c r="A988" s="412"/>
      <c r="B988" s="413"/>
      <c r="C988" s="412"/>
      <c r="D988" s="412"/>
      <c r="E988" s="412"/>
      <c r="F988" s="412"/>
      <c r="G988" s="412"/>
      <c r="H988" s="412"/>
      <c r="I988" s="414"/>
    </row>
    <row r="989" spans="1:9">
      <c r="A989" s="412"/>
      <c r="B989" s="413"/>
      <c r="C989" s="412"/>
      <c r="D989" s="412"/>
      <c r="E989" s="412"/>
      <c r="F989" s="412"/>
      <c r="G989" s="412"/>
      <c r="H989" s="412"/>
      <c r="I989" s="414"/>
    </row>
    <row r="990" spans="1:9">
      <c r="A990" s="412"/>
      <c r="B990" s="413"/>
      <c r="C990" s="412"/>
      <c r="D990" s="412"/>
      <c r="E990" s="412"/>
      <c r="F990" s="412"/>
      <c r="G990" s="412"/>
      <c r="H990" s="412"/>
      <c r="I990" s="414"/>
    </row>
    <row r="991" spans="1:9">
      <c r="A991" s="412"/>
      <c r="B991" s="413"/>
      <c r="C991" s="412"/>
      <c r="D991" s="412"/>
      <c r="E991" s="412"/>
      <c r="F991" s="412"/>
      <c r="G991" s="412"/>
      <c r="H991" s="412"/>
      <c r="I991" s="414"/>
    </row>
    <row r="992" spans="1:9">
      <c r="A992" s="415"/>
      <c r="B992" s="416"/>
      <c r="C992" s="415"/>
      <c r="D992" s="415"/>
      <c r="E992" s="415"/>
      <c r="F992" s="415"/>
      <c r="G992" s="415"/>
      <c r="H992" s="415"/>
      <c r="I992" s="4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82EF-6ECE-4EBD-81D0-6832CF5AB947}">
  <dimension ref="A1:J63"/>
  <sheetViews>
    <sheetView workbookViewId="0">
      <selection activeCell="G6" sqref="G6"/>
    </sheetView>
  </sheetViews>
  <sheetFormatPr defaultColWidth="43.42578125" defaultRowHeight="15"/>
  <cols>
    <col min="3" max="8" width="7.42578125" bestFit="1" customWidth="1"/>
    <col min="9" max="10" width="5.140625" bestFit="1" customWidth="1"/>
  </cols>
  <sheetData>
    <row r="1" spans="1:10" ht="18">
      <c r="A1" s="500" t="s">
        <v>2872</v>
      </c>
      <c r="B1" s="205"/>
      <c r="C1" s="502" t="s">
        <v>2160</v>
      </c>
      <c r="D1" s="503"/>
      <c r="E1" s="503"/>
      <c r="F1" s="503"/>
      <c r="G1" s="503"/>
      <c r="H1" s="503"/>
      <c r="I1" s="503"/>
      <c r="J1" s="503"/>
    </row>
    <row r="2" spans="1:10" ht="18">
      <c r="A2" s="501"/>
      <c r="B2" s="206"/>
      <c r="C2" s="197">
        <v>2018</v>
      </c>
      <c r="D2" s="197">
        <v>2019</v>
      </c>
      <c r="E2" s="197">
        <v>2020</v>
      </c>
      <c r="F2" s="197">
        <v>2021</v>
      </c>
      <c r="G2" s="197">
        <v>2022</v>
      </c>
      <c r="H2" s="197">
        <v>2023</v>
      </c>
      <c r="I2">
        <v>2024</v>
      </c>
      <c r="J2">
        <v>2025</v>
      </c>
    </row>
    <row r="3" spans="1:10" ht="18">
      <c r="A3" s="198" t="s">
        <v>524</v>
      </c>
      <c r="B3" s="198" t="s">
        <v>524</v>
      </c>
      <c r="C3" s="199">
        <v>17</v>
      </c>
      <c r="D3" s="199">
        <v>12</v>
      </c>
      <c r="E3" s="199">
        <v>1</v>
      </c>
      <c r="F3" s="199">
        <v>3</v>
      </c>
      <c r="G3" s="199">
        <v>0</v>
      </c>
      <c r="H3" s="199">
        <v>1</v>
      </c>
    </row>
    <row r="4" spans="1:10" ht="18">
      <c r="A4" s="200" t="s">
        <v>235</v>
      </c>
      <c r="B4" s="200" t="s">
        <v>235</v>
      </c>
      <c r="C4" s="199">
        <v>13</v>
      </c>
      <c r="D4" s="199">
        <v>30</v>
      </c>
      <c r="E4" s="199">
        <v>29</v>
      </c>
      <c r="F4" s="199">
        <v>14</v>
      </c>
      <c r="G4" s="199">
        <v>13</v>
      </c>
      <c r="H4" s="199">
        <v>0</v>
      </c>
    </row>
    <row r="5" spans="1:10" ht="18">
      <c r="A5" s="200" t="s">
        <v>170</v>
      </c>
      <c r="B5" s="200" t="s">
        <v>170</v>
      </c>
      <c r="C5" s="199">
        <v>18</v>
      </c>
      <c r="D5" s="199">
        <v>22</v>
      </c>
      <c r="E5" s="199">
        <v>18</v>
      </c>
      <c r="F5" s="199">
        <v>3</v>
      </c>
      <c r="G5" s="199">
        <v>3</v>
      </c>
      <c r="H5" s="199">
        <v>0</v>
      </c>
    </row>
    <row r="6" spans="1:10" ht="18">
      <c r="A6" s="200" t="s">
        <v>107</v>
      </c>
      <c r="B6" s="200" t="s">
        <v>107</v>
      </c>
      <c r="C6" s="199">
        <v>2</v>
      </c>
      <c r="D6" s="199">
        <v>6</v>
      </c>
      <c r="E6" s="199">
        <v>1</v>
      </c>
      <c r="F6" s="199">
        <v>0</v>
      </c>
      <c r="G6" s="199">
        <v>3</v>
      </c>
      <c r="H6" s="199">
        <v>0</v>
      </c>
    </row>
    <row r="7" spans="1:10" ht="18">
      <c r="A7" s="200" t="s">
        <v>201</v>
      </c>
      <c r="B7" s="200" t="s">
        <v>201</v>
      </c>
      <c r="C7" s="199">
        <v>0</v>
      </c>
      <c r="D7" s="199">
        <v>0</v>
      </c>
      <c r="E7" s="199">
        <v>4</v>
      </c>
      <c r="F7" s="199">
        <v>37</v>
      </c>
      <c r="G7" s="199">
        <v>2</v>
      </c>
      <c r="H7" s="199">
        <v>0</v>
      </c>
    </row>
    <row r="8" spans="1:10" ht="18">
      <c r="A8" s="200" t="s">
        <v>2873</v>
      </c>
      <c r="B8" s="200" t="s">
        <v>2873</v>
      </c>
      <c r="C8" s="199">
        <v>0</v>
      </c>
      <c r="D8" s="199">
        <v>0</v>
      </c>
      <c r="E8" s="199">
        <v>2</v>
      </c>
      <c r="F8" s="199">
        <v>31</v>
      </c>
      <c r="G8" s="199">
        <v>4</v>
      </c>
      <c r="H8" s="199">
        <v>0</v>
      </c>
    </row>
    <row r="9" spans="1:10" ht="18">
      <c r="A9" s="200" t="s">
        <v>330</v>
      </c>
      <c r="B9" s="200" t="s">
        <v>330</v>
      </c>
      <c r="C9" s="199">
        <v>17</v>
      </c>
      <c r="D9" s="199">
        <v>10</v>
      </c>
      <c r="E9" s="199">
        <v>8</v>
      </c>
      <c r="F9" s="199">
        <v>5</v>
      </c>
      <c r="G9" s="199">
        <v>3</v>
      </c>
      <c r="H9" s="199">
        <v>0</v>
      </c>
    </row>
    <row r="10" spans="1:10" ht="18">
      <c r="A10" s="200" t="s">
        <v>413</v>
      </c>
      <c r="B10" s="200" t="s">
        <v>413</v>
      </c>
      <c r="C10" s="199">
        <v>8</v>
      </c>
      <c r="D10" s="199">
        <v>12</v>
      </c>
      <c r="E10" s="199">
        <v>5</v>
      </c>
      <c r="F10" s="199">
        <v>9</v>
      </c>
      <c r="G10" s="199">
        <v>5</v>
      </c>
      <c r="H10" s="199">
        <v>0</v>
      </c>
    </row>
    <row r="11" spans="1:10" ht="18">
      <c r="A11" s="200" t="s">
        <v>475</v>
      </c>
      <c r="B11" s="200" t="s">
        <v>475</v>
      </c>
      <c r="C11" s="199">
        <v>7</v>
      </c>
      <c r="D11" s="199">
        <v>8</v>
      </c>
      <c r="E11" s="199">
        <v>0</v>
      </c>
      <c r="F11" s="199">
        <v>3</v>
      </c>
      <c r="G11" s="199">
        <v>8</v>
      </c>
      <c r="H11" s="199">
        <v>0</v>
      </c>
    </row>
    <row r="12" spans="1:10" ht="18">
      <c r="A12" s="200" t="s">
        <v>370</v>
      </c>
      <c r="B12" s="200" t="s">
        <v>370</v>
      </c>
      <c r="C12" s="199">
        <v>9</v>
      </c>
      <c r="D12" s="199">
        <v>13</v>
      </c>
      <c r="E12" s="199">
        <v>9</v>
      </c>
      <c r="F12" s="199">
        <v>1</v>
      </c>
      <c r="G12" s="199">
        <v>1</v>
      </c>
      <c r="H12" s="199">
        <v>0</v>
      </c>
    </row>
    <row r="13" spans="1:10" ht="18">
      <c r="A13" s="200" t="s">
        <v>448</v>
      </c>
      <c r="B13" s="200" t="s">
        <v>448</v>
      </c>
      <c r="C13" s="199">
        <v>0</v>
      </c>
      <c r="D13" s="199">
        <v>0</v>
      </c>
      <c r="E13" s="199">
        <v>0</v>
      </c>
      <c r="F13" s="199">
        <v>9</v>
      </c>
      <c r="G13" s="199">
        <v>2</v>
      </c>
      <c r="H13" s="199">
        <v>0</v>
      </c>
    </row>
    <row r="14" spans="1:10" ht="18">
      <c r="A14" s="200" t="s">
        <v>2868</v>
      </c>
      <c r="B14" s="200" t="s">
        <v>2868</v>
      </c>
      <c r="C14" s="199">
        <v>0</v>
      </c>
      <c r="D14" s="199">
        <v>5</v>
      </c>
      <c r="E14" s="199">
        <v>0</v>
      </c>
      <c r="F14" s="199">
        <v>1</v>
      </c>
      <c r="G14" s="199">
        <v>0</v>
      </c>
      <c r="H14" s="199">
        <v>0</v>
      </c>
    </row>
    <row r="15" spans="1:10" ht="18">
      <c r="A15" s="200" t="s">
        <v>573</v>
      </c>
      <c r="B15" s="207" t="s">
        <v>573</v>
      </c>
      <c r="C15" s="199">
        <v>0</v>
      </c>
      <c r="D15" s="199">
        <v>15</v>
      </c>
      <c r="E15" s="199">
        <v>27</v>
      </c>
      <c r="F15" s="199">
        <v>26</v>
      </c>
      <c r="G15" s="199">
        <v>17</v>
      </c>
      <c r="H15" s="199">
        <v>3</v>
      </c>
    </row>
    <row r="16" spans="1:10" ht="17.100000000000001">
      <c r="A16" s="201" t="s">
        <v>2874</v>
      </c>
      <c r="B16" s="208"/>
      <c r="I16" s="202">
        <v>2</v>
      </c>
    </row>
    <row r="17" spans="1:9" ht="17.100000000000001">
      <c r="A17" s="203" t="s">
        <v>1881</v>
      </c>
      <c r="B17" s="209" t="s">
        <v>573</v>
      </c>
      <c r="I17" s="204">
        <v>2</v>
      </c>
    </row>
    <row r="18" spans="1:9" ht="17.100000000000001">
      <c r="A18" s="201" t="s">
        <v>1871</v>
      </c>
      <c r="B18" s="209" t="s">
        <v>573</v>
      </c>
      <c r="D18" s="202"/>
      <c r="I18" s="202">
        <v>3</v>
      </c>
    </row>
    <row r="19" spans="1:9" ht="17.100000000000001">
      <c r="A19" s="203" t="s">
        <v>1629</v>
      </c>
      <c r="B19" s="209" t="s">
        <v>573</v>
      </c>
      <c r="D19" s="204"/>
      <c r="I19" s="204">
        <v>2</v>
      </c>
    </row>
    <row r="20" spans="1:9" ht="17.100000000000001">
      <c r="A20" s="201" t="s">
        <v>1790</v>
      </c>
      <c r="B20" s="209" t="s">
        <v>573</v>
      </c>
      <c r="D20" s="202"/>
      <c r="I20" s="202">
        <v>1</v>
      </c>
    </row>
    <row r="21" spans="1:9" ht="17.100000000000001">
      <c r="A21" s="203" t="s">
        <v>1738</v>
      </c>
      <c r="B21" s="209" t="s">
        <v>573</v>
      </c>
      <c r="D21" s="204"/>
      <c r="I21" s="204">
        <v>0</v>
      </c>
    </row>
    <row r="22" spans="1:9" ht="17.100000000000001">
      <c r="A22" s="201" t="s">
        <v>582</v>
      </c>
      <c r="B22" s="209" t="s">
        <v>573</v>
      </c>
      <c r="D22" s="202"/>
      <c r="I22" s="202">
        <v>0</v>
      </c>
    </row>
    <row r="23" spans="1:9" ht="17.100000000000001">
      <c r="A23" s="203" t="s">
        <v>574</v>
      </c>
      <c r="B23" s="209" t="s">
        <v>573</v>
      </c>
      <c r="D23" s="204"/>
      <c r="I23" s="204">
        <v>1</v>
      </c>
    </row>
    <row r="24" spans="1:9" ht="17.100000000000001">
      <c r="A24" s="201" t="s">
        <v>1863</v>
      </c>
      <c r="B24" s="209" t="s">
        <v>573</v>
      </c>
      <c r="D24" s="202"/>
      <c r="I24" s="202">
        <v>0</v>
      </c>
    </row>
    <row r="25" spans="1:9" ht="17.100000000000001">
      <c r="A25" s="203" t="s">
        <v>1830</v>
      </c>
      <c r="B25" s="209" t="s">
        <v>573</v>
      </c>
      <c r="D25" s="204"/>
      <c r="I25" s="204">
        <v>1</v>
      </c>
    </row>
    <row r="26" spans="1:9" ht="17.100000000000001">
      <c r="A26" s="201" t="s">
        <v>1598</v>
      </c>
      <c r="B26" s="209" t="s">
        <v>573</v>
      </c>
      <c r="D26" s="202"/>
      <c r="I26" s="202">
        <v>1</v>
      </c>
    </row>
    <row r="27" spans="1:9" ht="17.100000000000001">
      <c r="A27" s="203" t="s">
        <v>1668</v>
      </c>
      <c r="B27" s="209" t="s">
        <v>573</v>
      </c>
      <c r="D27" s="204"/>
      <c r="I27" s="204">
        <v>1</v>
      </c>
    </row>
    <row r="28" spans="1:9" ht="17.100000000000001">
      <c r="A28" s="201" t="s">
        <v>2875</v>
      </c>
      <c r="B28" s="208" t="s">
        <v>841</v>
      </c>
      <c r="D28" s="202"/>
      <c r="I28" s="202">
        <v>3</v>
      </c>
    </row>
    <row r="29" spans="1:9" ht="17.100000000000001">
      <c r="A29" s="203" t="s">
        <v>2731</v>
      </c>
      <c r="B29" s="209"/>
      <c r="D29" s="204"/>
      <c r="I29" s="204">
        <v>2</v>
      </c>
    </row>
    <row r="30" spans="1:9" ht="17.100000000000001">
      <c r="A30" s="201" t="s">
        <v>2873</v>
      </c>
      <c r="B30" s="208"/>
      <c r="D30" s="202"/>
      <c r="I30" s="202">
        <v>3</v>
      </c>
    </row>
    <row r="31" spans="1:9" ht="17.100000000000001">
      <c r="A31" s="203" t="s">
        <v>107</v>
      </c>
      <c r="B31" s="209"/>
      <c r="D31" s="204"/>
      <c r="I31" s="204">
        <v>5</v>
      </c>
    </row>
    <row r="32" spans="1:9" ht="17.100000000000001">
      <c r="A32" s="201" t="s">
        <v>170</v>
      </c>
      <c r="B32" s="208"/>
      <c r="D32" s="202"/>
      <c r="I32" s="202">
        <v>2</v>
      </c>
    </row>
    <row r="33" spans="1:10" ht="17.100000000000001">
      <c r="A33" s="203" t="s">
        <v>201</v>
      </c>
      <c r="B33" s="209"/>
      <c r="D33" s="204"/>
      <c r="I33" s="204">
        <v>2</v>
      </c>
    </row>
    <row r="34" spans="1:10" ht="17.100000000000001">
      <c r="A34" s="201" t="s">
        <v>524</v>
      </c>
      <c r="B34" s="208"/>
      <c r="D34" s="202"/>
      <c r="I34" s="202">
        <v>2</v>
      </c>
    </row>
    <row r="35" spans="1:10" ht="17.100000000000001">
      <c r="A35" s="203" t="s">
        <v>235</v>
      </c>
      <c r="B35" s="209"/>
      <c r="D35" s="204"/>
      <c r="I35" s="204">
        <v>3</v>
      </c>
    </row>
    <row r="36" spans="1:10" ht="17.100000000000001">
      <c r="A36" s="201" t="s">
        <v>370</v>
      </c>
      <c r="B36" s="208"/>
      <c r="D36" s="202"/>
      <c r="I36" s="202">
        <v>4</v>
      </c>
    </row>
    <row r="37" spans="1:10" ht="17.100000000000001">
      <c r="A37" s="203" t="s">
        <v>448</v>
      </c>
      <c r="B37" s="209"/>
      <c r="D37" s="204"/>
      <c r="I37" s="204">
        <v>1</v>
      </c>
    </row>
    <row r="38" spans="1:10" ht="17.100000000000001">
      <c r="A38" s="201" t="s">
        <v>330</v>
      </c>
      <c r="B38" s="208"/>
      <c r="D38" s="202"/>
      <c r="I38" s="202">
        <v>2</v>
      </c>
    </row>
    <row r="39" spans="1:10" ht="17.100000000000001">
      <c r="A39" s="203" t="s">
        <v>413</v>
      </c>
      <c r="B39" s="209"/>
      <c r="D39" s="204"/>
      <c r="I39" s="204">
        <v>2</v>
      </c>
    </row>
    <row r="40" spans="1:10" ht="17.100000000000001">
      <c r="A40" s="201" t="s">
        <v>475</v>
      </c>
      <c r="B40" s="208"/>
      <c r="D40" s="202"/>
      <c r="I40" s="202">
        <v>2</v>
      </c>
    </row>
    <row r="41" spans="1:10" ht="17.100000000000001">
      <c r="A41" s="201" t="s">
        <v>1881</v>
      </c>
      <c r="B41" s="208"/>
      <c r="D41" s="204"/>
      <c r="J41" s="202">
        <v>2</v>
      </c>
    </row>
    <row r="42" spans="1:10" ht="17.100000000000001">
      <c r="A42" s="203" t="s">
        <v>1871</v>
      </c>
      <c r="B42" s="209"/>
      <c r="D42" s="202"/>
      <c r="J42" s="204">
        <v>0</v>
      </c>
    </row>
    <row r="43" spans="1:10" ht="17.100000000000001">
      <c r="A43" s="201" t="s">
        <v>1629</v>
      </c>
      <c r="B43" s="208"/>
      <c r="J43" s="202">
        <v>0</v>
      </c>
    </row>
    <row r="44" spans="1:10" ht="17.100000000000001">
      <c r="A44" s="203" t="s">
        <v>1790</v>
      </c>
      <c r="B44" s="209"/>
      <c r="J44" s="204">
        <v>0</v>
      </c>
    </row>
    <row r="45" spans="1:10" ht="17.100000000000001">
      <c r="A45" s="201" t="s">
        <v>1738</v>
      </c>
      <c r="B45" s="208"/>
      <c r="J45" s="202">
        <v>1</v>
      </c>
    </row>
    <row r="46" spans="1:10" ht="17.100000000000001">
      <c r="A46" s="203" t="s">
        <v>582</v>
      </c>
      <c r="B46" s="209"/>
      <c r="J46" s="204">
        <v>2</v>
      </c>
    </row>
    <row r="47" spans="1:10" ht="17.100000000000001">
      <c r="A47" s="201" t="s">
        <v>574</v>
      </c>
      <c r="B47" s="208"/>
      <c r="J47" s="202">
        <v>2</v>
      </c>
    </row>
    <row r="48" spans="1:10" ht="17.100000000000001">
      <c r="A48" s="203" t="s">
        <v>1863</v>
      </c>
      <c r="B48" s="209"/>
      <c r="J48" s="204">
        <v>1</v>
      </c>
    </row>
    <row r="49" spans="1:10" ht="17.100000000000001">
      <c r="A49" s="201" t="s">
        <v>1830</v>
      </c>
      <c r="B49" s="208"/>
      <c r="J49" s="202">
        <v>1</v>
      </c>
    </row>
    <row r="50" spans="1:10" ht="17.100000000000001">
      <c r="A50" s="203" t="s">
        <v>1598</v>
      </c>
      <c r="B50" s="209"/>
      <c r="J50" s="204">
        <v>1</v>
      </c>
    </row>
    <row r="51" spans="1:10" ht="17.100000000000001">
      <c r="A51" s="201" t="s">
        <v>1853</v>
      </c>
      <c r="B51" s="208"/>
      <c r="J51" s="202">
        <v>0</v>
      </c>
    </row>
    <row r="52" spans="1:10" ht="17.100000000000001">
      <c r="A52" s="203" t="s">
        <v>1668</v>
      </c>
      <c r="B52" s="209"/>
      <c r="J52" s="204">
        <v>1</v>
      </c>
    </row>
    <row r="53" spans="1:10" ht="17.100000000000001">
      <c r="A53" s="201" t="s">
        <v>2873</v>
      </c>
      <c r="B53" s="208"/>
      <c r="J53" s="202">
        <v>8</v>
      </c>
    </row>
    <row r="54" spans="1:10" ht="17.100000000000001">
      <c r="A54" s="203" t="s">
        <v>107</v>
      </c>
      <c r="B54" s="209"/>
      <c r="J54" s="204">
        <v>4</v>
      </c>
    </row>
    <row r="55" spans="1:10" ht="17.100000000000001">
      <c r="A55" s="201" t="s">
        <v>170</v>
      </c>
      <c r="B55" s="208"/>
      <c r="J55" s="202">
        <v>3</v>
      </c>
    </row>
    <row r="56" spans="1:10" ht="17.100000000000001">
      <c r="A56" s="203" t="s">
        <v>201</v>
      </c>
      <c r="B56" s="209"/>
      <c r="J56" s="204">
        <v>3</v>
      </c>
    </row>
    <row r="57" spans="1:10" ht="17.100000000000001">
      <c r="A57" s="201" t="s">
        <v>524</v>
      </c>
      <c r="B57" s="208"/>
      <c r="J57" s="202">
        <v>4</v>
      </c>
    </row>
    <row r="58" spans="1:10" ht="17.100000000000001">
      <c r="A58" s="203" t="s">
        <v>235</v>
      </c>
      <c r="B58" s="209"/>
      <c r="J58" s="204">
        <v>3</v>
      </c>
    </row>
    <row r="59" spans="1:10" ht="17.100000000000001">
      <c r="A59" s="201" t="s">
        <v>370</v>
      </c>
      <c r="B59" s="208"/>
      <c r="J59" s="202">
        <v>2</v>
      </c>
    </row>
    <row r="60" spans="1:10" ht="17.100000000000001">
      <c r="A60" s="203" t="s">
        <v>448</v>
      </c>
      <c r="B60" s="209"/>
      <c r="J60" s="204">
        <v>2</v>
      </c>
    </row>
    <row r="61" spans="1:10" ht="17.100000000000001">
      <c r="A61" s="201" t="s">
        <v>330</v>
      </c>
      <c r="B61" s="208"/>
      <c r="J61" s="202">
        <v>8</v>
      </c>
    </row>
    <row r="62" spans="1:10" ht="17.100000000000001">
      <c r="A62" s="203" t="s">
        <v>413</v>
      </c>
      <c r="B62" s="209"/>
      <c r="J62" s="204">
        <v>1</v>
      </c>
    </row>
    <row r="63" spans="1:10" ht="17.100000000000001">
      <c r="A63" s="201" t="s">
        <v>475</v>
      </c>
      <c r="B63" s="208"/>
      <c r="J63" s="202">
        <v>4</v>
      </c>
    </row>
  </sheetData>
  <mergeCells count="2">
    <mergeCell ref="A1:A2"/>
    <mergeCell ref="C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2B34-D4DF-44BA-9F2D-9C5436CB10F3}">
  <dimension ref="A1:BB27"/>
  <sheetViews>
    <sheetView workbookViewId="0">
      <pane xSplit="2" topLeftCell="H1" activePane="topRight" state="frozen"/>
      <selection pane="topRight" activeCell="AB15" sqref="AB15"/>
    </sheetView>
  </sheetViews>
  <sheetFormatPr defaultColWidth="9.140625" defaultRowHeight="15.75" customHeight="1"/>
  <cols>
    <col min="1" max="1" width="4.140625" style="10" bestFit="1" customWidth="1"/>
    <col min="2" max="2" width="21.140625" style="10" bestFit="1" customWidth="1"/>
    <col min="3" max="3" width="8.7109375" style="10" bestFit="1" customWidth="1"/>
    <col min="4" max="6" width="5.42578125" style="10" customWidth="1"/>
    <col min="7" max="7" width="25.42578125" style="10" customWidth="1"/>
    <col min="8" max="11" width="5.42578125" style="10" customWidth="1"/>
    <col min="12" max="12" width="6.28515625" style="10" bestFit="1" customWidth="1"/>
    <col min="13" max="13" width="8.42578125" style="10" bestFit="1" customWidth="1"/>
    <col min="14" max="14" width="7.42578125" style="10" bestFit="1" customWidth="1"/>
    <col min="15" max="15" width="7.7109375" style="10" bestFit="1" customWidth="1"/>
    <col min="16" max="16" width="8.42578125" style="10" customWidth="1"/>
    <col min="17" max="19" width="11.28515625" style="10" customWidth="1"/>
    <col min="20" max="20" width="24.42578125" style="10" customWidth="1"/>
    <col min="21" max="21" width="6.28515625" style="10" customWidth="1"/>
    <col min="22" max="22" width="13" style="10" customWidth="1"/>
    <col min="23" max="23" width="15.42578125" style="10" customWidth="1"/>
    <col min="24" max="24" width="12.140625" style="10" bestFit="1" customWidth="1"/>
    <col min="25" max="25" width="7" style="10" bestFit="1" customWidth="1"/>
    <col min="26" max="26" width="19.28515625" style="10" customWidth="1"/>
    <col min="27" max="27" width="8.42578125" style="10" bestFit="1" customWidth="1"/>
    <col min="28" max="28" width="7.42578125" style="10" bestFit="1" customWidth="1"/>
    <col min="29" max="29" width="14.28515625" style="10" bestFit="1" customWidth="1"/>
    <col min="30" max="30" width="23.42578125" style="10" bestFit="1" customWidth="1"/>
    <col min="31" max="31" width="7.42578125" style="10" bestFit="1" customWidth="1"/>
    <col min="32" max="32" width="8.42578125" style="10" customWidth="1"/>
    <col min="33" max="33" width="7.140625" style="10" bestFit="1" customWidth="1"/>
    <col min="34" max="34" width="45.42578125" style="10" customWidth="1"/>
    <col min="35" max="35" width="57.42578125" style="10" customWidth="1"/>
    <col min="36" max="46" width="8.140625" style="10" customWidth="1"/>
    <col min="47" max="47" width="13.85546875" style="10" bestFit="1" customWidth="1"/>
    <col min="48" max="51" width="12.42578125" style="10"/>
    <col min="52" max="52" width="50.28515625" style="10" customWidth="1"/>
    <col min="53" max="16384" width="9.140625" style="10"/>
  </cols>
  <sheetData>
    <row r="1" spans="1:54" ht="15" customHeight="1">
      <c r="A1" s="507" t="s">
        <v>2013</v>
      </c>
      <c r="B1" s="516" t="s">
        <v>759</v>
      </c>
      <c r="C1" s="510" t="s">
        <v>2014</v>
      </c>
      <c r="D1" s="508" t="s">
        <v>2876</v>
      </c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318"/>
      <c r="P1" s="509" t="s">
        <v>2016</v>
      </c>
      <c r="Q1" s="509"/>
      <c r="R1" s="509"/>
      <c r="S1" s="509"/>
      <c r="T1" s="509"/>
      <c r="U1" s="509"/>
      <c r="V1" s="504" t="s">
        <v>2017</v>
      </c>
      <c r="W1" s="505"/>
      <c r="X1" s="505"/>
      <c r="Y1" s="505"/>
      <c r="Z1" s="505"/>
      <c r="AA1" s="505"/>
      <c r="AB1" s="505"/>
      <c r="AC1" s="506"/>
      <c r="AD1" s="223"/>
      <c r="AE1" s="223"/>
      <c r="AF1" s="223"/>
    </row>
    <row r="2" spans="1:54" ht="15">
      <c r="A2" s="517"/>
      <c r="B2" s="517"/>
      <c r="C2" s="511"/>
      <c r="D2" s="3">
        <v>1819</v>
      </c>
      <c r="E2" s="3">
        <v>1920</v>
      </c>
      <c r="F2" s="3">
        <v>2021</v>
      </c>
      <c r="G2" s="3">
        <v>2122</v>
      </c>
      <c r="H2" s="3">
        <v>2223</v>
      </c>
      <c r="I2" s="3">
        <v>2324</v>
      </c>
      <c r="J2" s="3">
        <v>2425</v>
      </c>
      <c r="K2" s="3">
        <v>2526</v>
      </c>
      <c r="L2" s="4" t="s">
        <v>2026</v>
      </c>
      <c r="M2" s="3" t="s">
        <v>2019</v>
      </c>
      <c r="N2" s="3" t="s">
        <v>2020</v>
      </c>
      <c r="O2" s="129" t="s">
        <v>2021</v>
      </c>
      <c r="P2" s="5" t="s">
        <v>2022</v>
      </c>
      <c r="Q2" s="6" t="s">
        <v>2023</v>
      </c>
      <c r="R2" s="6" t="s">
        <v>2016</v>
      </c>
      <c r="S2" s="279" t="s">
        <v>2024</v>
      </c>
      <c r="T2" s="6" t="s">
        <v>2025</v>
      </c>
      <c r="U2" s="6" t="s">
        <v>2026</v>
      </c>
      <c r="V2" s="7" t="s">
        <v>2027</v>
      </c>
      <c r="W2" s="210" t="s">
        <v>2028</v>
      </c>
      <c r="X2" s="210" t="s">
        <v>2029</v>
      </c>
      <c r="Y2" s="7" t="s">
        <v>2030</v>
      </c>
      <c r="Z2" s="223" t="s">
        <v>2031</v>
      </c>
      <c r="AA2" s="7" t="s">
        <v>2019</v>
      </c>
      <c r="AB2" s="7" t="s">
        <v>2020</v>
      </c>
      <c r="AC2" s="7" t="s">
        <v>2032</v>
      </c>
      <c r="AD2" s="223" t="s">
        <v>2033</v>
      </c>
      <c r="AE2" s="7" t="s">
        <v>2020</v>
      </c>
      <c r="AF2" s="223"/>
      <c r="AG2" s="10" t="s">
        <v>2062</v>
      </c>
      <c r="AJ2" s="222" t="s">
        <v>2034</v>
      </c>
      <c r="AK2" s="221" t="s">
        <v>2035</v>
      </c>
      <c r="AL2" s="221" t="s">
        <v>2036</v>
      </c>
      <c r="AM2" s="221" t="s">
        <v>2037</v>
      </c>
      <c r="AN2" s="221" t="s">
        <v>2038</v>
      </c>
      <c r="AO2" s="221" t="s">
        <v>2039</v>
      </c>
      <c r="AP2" s="221" t="s">
        <v>2040</v>
      </c>
      <c r="AQ2" s="221" t="s">
        <v>2041</v>
      </c>
      <c r="AR2" s="221" t="s">
        <v>2042</v>
      </c>
      <c r="AS2" s="221" t="s">
        <v>2043</v>
      </c>
      <c r="AT2" s="221" t="s">
        <v>2044</v>
      </c>
      <c r="AU2" s="221" t="s">
        <v>2045</v>
      </c>
    </row>
    <row r="3" spans="1:54" ht="15" customHeight="1">
      <c r="A3" s="317">
        <v>1</v>
      </c>
      <c r="B3" s="11" t="s">
        <v>107</v>
      </c>
      <c r="C3" s="214">
        <v>27</v>
      </c>
      <c r="D3" s="214">
        <v>0</v>
      </c>
      <c r="E3" s="214">
        <v>0</v>
      </c>
      <c r="F3" s="214">
        <v>0</v>
      </c>
      <c r="G3" s="214">
        <v>93</v>
      </c>
      <c r="H3" s="214">
        <v>113</v>
      </c>
      <c r="I3" s="214">
        <v>122</v>
      </c>
      <c r="J3" s="215">
        <v>188</v>
      </c>
      <c r="K3" s="215">
        <v>0</v>
      </c>
      <c r="L3" s="216">
        <v>514</v>
      </c>
      <c r="M3" s="214">
        <f>COUNTIFS(Dosen!D:D,B3,Dosen!C:C,"Aktif")</f>
        <v>16</v>
      </c>
      <c r="N3" s="217">
        <f t="shared" ref="N3:N13" si="0">L3/M3</f>
        <v>32.125</v>
      </c>
      <c r="O3" s="218">
        <f>IF(N3&lt;C3,0,ROUNDUP(L3/C3,0)-M3)</f>
        <v>4</v>
      </c>
      <c r="P3" s="14">
        <v>0.8</v>
      </c>
      <c r="Q3" s="216">
        <f t="shared" ref="Q3:Q13" si="1">ROUNDUP(P3*(SUM(D3:G3)),0)</f>
        <v>75</v>
      </c>
      <c r="R3" s="216">
        <f>VLOOKUP(B3,$AH$16:$AR$27,11,FALSE)</f>
        <v>62</v>
      </c>
      <c r="S3" s="216">
        <f>R3</f>
        <v>62</v>
      </c>
      <c r="T3" s="13">
        <v>73</v>
      </c>
      <c r="U3" s="13">
        <f>L3-S3</f>
        <v>452</v>
      </c>
      <c r="V3" s="214">
        <v>240</v>
      </c>
      <c r="W3" s="214">
        <f>VLOOKUP(B3,$AH$3:$AJ$13,3,FALSE)</f>
        <v>214</v>
      </c>
      <c r="X3" s="214">
        <f>W3</f>
        <v>214</v>
      </c>
      <c r="Y3" s="219">
        <f>U3+X3</f>
        <v>666</v>
      </c>
      <c r="Z3" s="214">
        <f>IF((ROUNDUP(((Y3/C3)-M3),0))&lt;0,0,ROUNDUP(((Y3/C3)-M3),0))</f>
        <v>9</v>
      </c>
      <c r="AA3" s="214">
        <f>M3+Z3</f>
        <v>25</v>
      </c>
      <c r="AB3" s="9">
        <f>Y3/M3</f>
        <v>41.625</v>
      </c>
      <c r="AC3" s="9">
        <f t="shared" ref="AC3:AC13" si="2">Y3/AA3</f>
        <v>26.64</v>
      </c>
      <c r="AD3" s="223">
        <f t="shared" ref="AD3:AD13" si="3">IF((ROUNDDOWN(((Y3/C3)-M3),0))&lt;0,0,ROUNDDOWN(((Y3/C3)-M3),0))</f>
        <v>8</v>
      </c>
      <c r="AE3" s="224">
        <f>Y3/(M3+AD3)</f>
        <v>27.75</v>
      </c>
      <c r="AF3" s="223"/>
      <c r="AG3" s="10">
        <f t="shared" ref="AG3:AG13" si="4">W3-J3</f>
        <v>26</v>
      </c>
      <c r="AH3" s="212" t="s">
        <v>201</v>
      </c>
      <c r="AI3" s="220" t="s">
        <v>2046</v>
      </c>
      <c r="AJ3" s="211">
        <v>66</v>
      </c>
      <c r="AK3" s="211">
        <v>83</v>
      </c>
      <c r="AL3" s="211">
        <v>80</v>
      </c>
      <c r="AM3" s="211">
        <v>565</v>
      </c>
      <c r="AN3" s="211">
        <v>228</v>
      </c>
      <c r="AO3" s="211">
        <v>79</v>
      </c>
      <c r="AP3" s="256">
        <v>65</v>
      </c>
      <c r="AQ3" s="211">
        <v>63</v>
      </c>
      <c r="AR3" s="211">
        <v>64</v>
      </c>
      <c r="AS3" s="211">
        <v>7</v>
      </c>
      <c r="AT3" s="211">
        <v>149</v>
      </c>
      <c r="AU3" s="211">
        <v>-1</v>
      </c>
    </row>
    <row r="4" spans="1:54" ht="15" customHeight="1">
      <c r="A4" s="317">
        <v>2</v>
      </c>
      <c r="B4" s="16" t="s">
        <v>22</v>
      </c>
      <c r="C4" s="214">
        <v>40</v>
      </c>
      <c r="D4" s="214">
        <v>0</v>
      </c>
      <c r="E4" s="214">
        <v>0</v>
      </c>
      <c r="F4" s="214">
        <v>0</v>
      </c>
      <c r="G4" s="214">
        <v>78</v>
      </c>
      <c r="H4" s="214">
        <v>90</v>
      </c>
      <c r="I4" s="214">
        <v>105</v>
      </c>
      <c r="J4" s="215">
        <v>187</v>
      </c>
      <c r="K4" s="215">
        <v>0</v>
      </c>
      <c r="L4" s="216">
        <v>448</v>
      </c>
      <c r="M4" s="214">
        <f>COUNTIFS(Dosen!D:D,B4,Dosen!C:C,"Aktif")</f>
        <v>14</v>
      </c>
      <c r="N4" s="217">
        <f t="shared" si="0"/>
        <v>32</v>
      </c>
      <c r="O4" s="218">
        <f t="shared" ref="O4:O13" si="5">IF(N4&lt;C4,0,ROUNDUP(L4/C4,0)-M4)</f>
        <v>0</v>
      </c>
      <c r="P4" s="14">
        <v>0.8</v>
      </c>
      <c r="Q4" s="216">
        <f t="shared" si="1"/>
        <v>63</v>
      </c>
      <c r="R4" s="216">
        <f t="shared" ref="R4:R13" si="6">VLOOKUP(B4,$AH$16:$AR$27,11,FALSE)</f>
        <v>44</v>
      </c>
      <c r="S4" s="216">
        <f t="shared" ref="S4:S13" si="7">R4</f>
        <v>44</v>
      </c>
      <c r="T4" s="13">
        <v>62</v>
      </c>
      <c r="U4" s="13">
        <f t="shared" ref="U4:U13" si="8">L4-S4</f>
        <v>404</v>
      </c>
      <c r="V4" s="214">
        <v>240</v>
      </c>
      <c r="W4" s="214">
        <f t="shared" ref="W4:W13" si="9">VLOOKUP(B4,$AH$3:$AJ$13,3,FALSE)</f>
        <v>250</v>
      </c>
      <c r="X4" s="214">
        <f t="shared" ref="X4:X13" si="10">W4</f>
        <v>250</v>
      </c>
      <c r="Y4" s="219">
        <f t="shared" ref="Y4:Y13" si="11">U4+X4</f>
        <v>654</v>
      </c>
      <c r="Z4" s="214">
        <f t="shared" ref="Z4:Z13" si="12">IF((ROUNDUP(((Y4/C4)-M4),0))&lt;0,0,ROUNDUP(((Y4/C4)-M4),0))</f>
        <v>3</v>
      </c>
      <c r="AA4" s="214">
        <f t="shared" ref="AA4:AA13" si="13">M4+Z4</f>
        <v>17</v>
      </c>
      <c r="AB4" s="9">
        <f t="shared" ref="AB4:AB13" si="14">Y4/M4</f>
        <v>46.714285714285715</v>
      </c>
      <c r="AC4" s="9">
        <f t="shared" si="2"/>
        <v>38.470588235294116</v>
      </c>
      <c r="AD4" s="223">
        <f t="shared" si="3"/>
        <v>2</v>
      </c>
      <c r="AE4" s="224">
        <f t="shared" ref="AE4:AE13" si="15">Y4/(M4+AD4)</f>
        <v>40.875</v>
      </c>
      <c r="AF4" s="223"/>
      <c r="AG4" s="10">
        <f t="shared" si="4"/>
        <v>63</v>
      </c>
      <c r="AH4" s="213" t="s">
        <v>22</v>
      </c>
      <c r="AI4" s="220" t="s">
        <v>2047</v>
      </c>
      <c r="AJ4" s="211">
        <v>250</v>
      </c>
      <c r="AK4" s="211">
        <v>185</v>
      </c>
      <c r="AL4" s="211">
        <v>240</v>
      </c>
      <c r="AM4" s="211">
        <v>589</v>
      </c>
      <c r="AN4" s="211">
        <v>695</v>
      </c>
      <c r="AO4" s="211">
        <v>270</v>
      </c>
      <c r="AP4" s="256">
        <v>242</v>
      </c>
      <c r="AQ4" s="211">
        <v>238</v>
      </c>
      <c r="AR4" s="211">
        <v>207</v>
      </c>
      <c r="AS4" s="211">
        <v>11</v>
      </c>
      <c r="AT4" s="211">
        <v>425</v>
      </c>
      <c r="AU4" s="211">
        <v>30</v>
      </c>
    </row>
    <row r="5" spans="1:54" ht="15" customHeight="1">
      <c r="A5" s="317">
        <v>3</v>
      </c>
      <c r="B5" s="11" t="s">
        <v>201</v>
      </c>
      <c r="C5" s="214">
        <f>C$3</f>
        <v>27</v>
      </c>
      <c r="D5" s="214">
        <v>0</v>
      </c>
      <c r="E5" s="214">
        <v>0</v>
      </c>
      <c r="F5" s="214">
        <v>0</v>
      </c>
      <c r="G5" s="214">
        <v>21</v>
      </c>
      <c r="H5" s="214">
        <v>42</v>
      </c>
      <c r="I5" s="214">
        <v>70</v>
      </c>
      <c r="J5" s="215">
        <v>87</v>
      </c>
      <c r="K5" s="215">
        <v>0</v>
      </c>
      <c r="L5" s="216">
        <v>224</v>
      </c>
      <c r="M5" s="214">
        <f>COUNTIFS(Dosen!D:D,B5,Dosen!C:C,"Aktif")</f>
        <v>9</v>
      </c>
      <c r="N5" s="217">
        <f t="shared" si="0"/>
        <v>24.888888888888889</v>
      </c>
      <c r="O5" s="218">
        <f t="shared" si="5"/>
        <v>0</v>
      </c>
      <c r="P5" s="14">
        <v>0.8</v>
      </c>
      <c r="Q5" s="216">
        <f t="shared" si="1"/>
        <v>17</v>
      </c>
      <c r="R5" s="216">
        <f t="shared" si="6"/>
        <v>19</v>
      </c>
      <c r="S5" s="216">
        <f t="shared" si="7"/>
        <v>19</v>
      </c>
      <c r="T5" s="13">
        <v>17</v>
      </c>
      <c r="U5" s="13">
        <f t="shared" si="8"/>
        <v>205</v>
      </c>
      <c r="V5" s="214">
        <v>80</v>
      </c>
      <c r="W5" s="214">
        <f t="shared" si="9"/>
        <v>66</v>
      </c>
      <c r="X5" s="214">
        <f t="shared" si="10"/>
        <v>66</v>
      </c>
      <c r="Y5" s="219">
        <f t="shared" si="11"/>
        <v>271</v>
      </c>
      <c r="Z5" s="214">
        <f>IF((ROUNDUP(((Y5/C5)-M5),0))&lt;0,0,ROUNDUP(((Y5/C5)-M5),0))</f>
        <v>2</v>
      </c>
      <c r="AA5" s="214">
        <f t="shared" si="13"/>
        <v>11</v>
      </c>
      <c r="AB5" s="9">
        <f t="shared" si="14"/>
        <v>30.111111111111111</v>
      </c>
      <c r="AC5" s="9">
        <f t="shared" si="2"/>
        <v>24.636363636363637</v>
      </c>
      <c r="AD5" s="223">
        <f t="shared" si="3"/>
        <v>1</v>
      </c>
      <c r="AE5" s="224">
        <f t="shared" si="15"/>
        <v>27.1</v>
      </c>
      <c r="AF5" s="223"/>
      <c r="AG5" s="10">
        <f t="shared" si="4"/>
        <v>-21</v>
      </c>
      <c r="AH5" s="212" t="s">
        <v>448</v>
      </c>
      <c r="AI5" s="220" t="s">
        <v>2048</v>
      </c>
      <c r="AJ5" s="211">
        <v>34</v>
      </c>
      <c r="AK5" s="211">
        <v>28</v>
      </c>
      <c r="AL5" s="211">
        <v>40</v>
      </c>
      <c r="AM5" s="211">
        <v>41</v>
      </c>
      <c r="AN5" s="211">
        <v>109</v>
      </c>
      <c r="AO5" s="211">
        <v>36</v>
      </c>
      <c r="AP5" s="256">
        <v>30</v>
      </c>
      <c r="AQ5" s="211">
        <v>29</v>
      </c>
      <c r="AR5" s="211">
        <v>24</v>
      </c>
      <c r="AS5" s="211">
        <v>2</v>
      </c>
      <c r="AT5" s="211">
        <v>73</v>
      </c>
      <c r="AU5" s="211">
        <v>-4</v>
      </c>
    </row>
    <row r="6" spans="1:54" ht="15" customHeight="1">
      <c r="A6" s="317">
        <v>4</v>
      </c>
      <c r="B6" s="11" t="s">
        <v>448</v>
      </c>
      <c r="C6" s="214">
        <f t="shared" ref="C6:C13" si="16">C$3</f>
        <v>27</v>
      </c>
      <c r="D6" s="215">
        <v>0</v>
      </c>
      <c r="E6" s="215">
        <v>0</v>
      </c>
      <c r="F6" s="215">
        <v>0</v>
      </c>
      <c r="G6" s="215">
        <v>7</v>
      </c>
      <c r="H6" s="215">
        <v>18</v>
      </c>
      <c r="I6" s="215">
        <v>29</v>
      </c>
      <c r="J6" s="215">
        <v>28</v>
      </c>
      <c r="K6" s="215">
        <v>0</v>
      </c>
      <c r="L6" s="216">
        <v>81</v>
      </c>
      <c r="M6" s="214">
        <f>COUNTIFS(Dosen!D:D,B6,Dosen!C:C,"Aktif")</f>
        <v>5</v>
      </c>
      <c r="N6" s="217">
        <f t="shared" si="0"/>
        <v>16.2</v>
      </c>
      <c r="O6" s="218">
        <f t="shared" si="5"/>
        <v>0</v>
      </c>
      <c r="P6" s="14">
        <v>0.8</v>
      </c>
      <c r="Q6" s="216">
        <f t="shared" si="1"/>
        <v>6</v>
      </c>
      <c r="R6" s="216">
        <f t="shared" si="6"/>
        <v>5</v>
      </c>
      <c r="S6" s="216">
        <f t="shared" si="7"/>
        <v>5</v>
      </c>
      <c r="T6" s="13">
        <v>6</v>
      </c>
      <c r="U6" s="13">
        <f t="shared" si="8"/>
        <v>76</v>
      </c>
      <c r="V6" s="214">
        <v>40</v>
      </c>
      <c r="W6" s="214">
        <f t="shared" si="9"/>
        <v>34</v>
      </c>
      <c r="X6" s="214">
        <f t="shared" si="10"/>
        <v>34</v>
      </c>
      <c r="Y6" s="219">
        <f t="shared" si="11"/>
        <v>110</v>
      </c>
      <c r="Z6" s="214">
        <f t="shared" si="12"/>
        <v>0</v>
      </c>
      <c r="AA6" s="214">
        <f t="shared" si="13"/>
        <v>5</v>
      </c>
      <c r="AB6" s="9">
        <f t="shared" si="14"/>
        <v>22</v>
      </c>
      <c r="AC6" s="9">
        <f t="shared" si="2"/>
        <v>22</v>
      </c>
      <c r="AD6" s="223">
        <f t="shared" si="3"/>
        <v>0</v>
      </c>
      <c r="AE6" s="224">
        <f t="shared" si="15"/>
        <v>22</v>
      </c>
      <c r="AF6" s="223"/>
      <c r="AG6" s="10">
        <f t="shared" si="4"/>
        <v>6</v>
      </c>
      <c r="AH6" s="212" t="s">
        <v>107</v>
      </c>
      <c r="AI6" s="220" t="s">
        <v>2049</v>
      </c>
      <c r="AJ6" s="211">
        <v>214</v>
      </c>
      <c r="AK6" s="211">
        <v>187</v>
      </c>
      <c r="AL6" s="211">
        <v>240</v>
      </c>
      <c r="AM6" s="211">
        <v>446</v>
      </c>
      <c r="AN6" s="211">
        <v>481</v>
      </c>
      <c r="AO6" s="211">
        <v>241</v>
      </c>
      <c r="AP6" s="256">
        <v>207</v>
      </c>
      <c r="AQ6" s="211">
        <v>208</v>
      </c>
      <c r="AR6" s="211">
        <v>194</v>
      </c>
      <c r="AS6" s="211">
        <v>15</v>
      </c>
      <c r="AT6" s="211">
        <v>240</v>
      </c>
      <c r="AU6" s="211">
        <v>1</v>
      </c>
      <c r="AZ6" s="255" t="s">
        <v>1853</v>
      </c>
      <c r="BA6" s="254" t="s">
        <v>2040</v>
      </c>
      <c r="BB6" s="254"/>
    </row>
    <row r="7" spans="1:54" ht="15" customHeight="1">
      <c r="A7" s="317">
        <v>5</v>
      </c>
      <c r="B7" s="11" t="s">
        <v>413</v>
      </c>
      <c r="C7" s="214">
        <f t="shared" si="16"/>
        <v>27</v>
      </c>
      <c r="D7" s="215">
        <v>0</v>
      </c>
      <c r="E7" s="215">
        <v>12</v>
      </c>
      <c r="F7" s="215">
        <v>23</v>
      </c>
      <c r="G7" s="215">
        <v>29</v>
      </c>
      <c r="H7" s="215">
        <v>34</v>
      </c>
      <c r="I7" s="215">
        <v>46</v>
      </c>
      <c r="J7" s="215">
        <v>56</v>
      </c>
      <c r="K7" s="215">
        <v>0</v>
      </c>
      <c r="L7" s="216">
        <v>194</v>
      </c>
      <c r="M7" s="214">
        <f>COUNTIFS(Dosen!D:D,B7,Dosen!C:C,"Aktif")</f>
        <v>7</v>
      </c>
      <c r="N7" s="217">
        <f t="shared" si="0"/>
        <v>27.714285714285715</v>
      </c>
      <c r="O7" s="218">
        <f t="shared" si="5"/>
        <v>1</v>
      </c>
      <c r="P7" s="14">
        <v>0.8</v>
      </c>
      <c r="Q7" s="216">
        <f t="shared" si="1"/>
        <v>52</v>
      </c>
      <c r="R7" s="216">
        <f t="shared" si="6"/>
        <v>20</v>
      </c>
      <c r="S7" s="216">
        <f t="shared" si="7"/>
        <v>20</v>
      </c>
      <c r="T7" s="13">
        <v>40</v>
      </c>
      <c r="U7" s="13">
        <f t="shared" si="8"/>
        <v>174</v>
      </c>
      <c r="V7" s="214">
        <v>40</v>
      </c>
      <c r="W7" s="214">
        <f t="shared" si="9"/>
        <v>39</v>
      </c>
      <c r="X7" s="214">
        <f t="shared" si="10"/>
        <v>39</v>
      </c>
      <c r="Y7" s="219">
        <f t="shared" si="11"/>
        <v>213</v>
      </c>
      <c r="Z7" s="214">
        <f t="shared" si="12"/>
        <v>1</v>
      </c>
      <c r="AA7" s="214">
        <f t="shared" si="13"/>
        <v>8</v>
      </c>
      <c r="AB7" s="9">
        <f t="shared" si="14"/>
        <v>30.428571428571427</v>
      </c>
      <c r="AC7" s="9">
        <f t="shared" si="2"/>
        <v>26.625</v>
      </c>
      <c r="AD7" s="223">
        <f t="shared" si="3"/>
        <v>0</v>
      </c>
      <c r="AE7" s="224">
        <f t="shared" si="15"/>
        <v>30.428571428571427</v>
      </c>
      <c r="AF7" s="223"/>
      <c r="AG7" s="10">
        <f t="shared" si="4"/>
        <v>-17</v>
      </c>
      <c r="AH7" s="212" t="s">
        <v>170</v>
      </c>
      <c r="AI7" s="220" t="s">
        <v>2050</v>
      </c>
      <c r="AJ7" s="211">
        <v>40</v>
      </c>
      <c r="AK7" s="211">
        <v>52</v>
      </c>
      <c r="AL7" s="211">
        <v>40</v>
      </c>
      <c r="AM7" s="211">
        <v>50</v>
      </c>
      <c r="AN7" s="211">
        <v>90</v>
      </c>
      <c r="AO7" s="211">
        <v>42</v>
      </c>
      <c r="AP7" s="256">
        <v>39</v>
      </c>
      <c r="AQ7" s="211">
        <v>38</v>
      </c>
      <c r="AR7" s="211">
        <v>41</v>
      </c>
      <c r="AS7" s="211">
        <v>0</v>
      </c>
      <c r="AT7" s="211">
        <v>48</v>
      </c>
      <c r="AU7" s="211">
        <v>2</v>
      </c>
      <c r="AZ7" s="245" t="s">
        <v>2046</v>
      </c>
      <c r="BA7" s="2">
        <v>65</v>
      </c>
      <c r="BB7" s="2"/>
    </row>
    <row r="8" spans="1:54" ht="15" customHeight="1">
      <c r="A8" s="317">
        <v>6</v>
      </c>
      <c r="B8" s="11" t="s">
        <v>524</v>
      </c>
      <c r="C8" s="214">
        <f t="shared" si="16"/>
        <v>27</v>
      </c>
      <c r="D8" s="214">
        <v>0</v>
      </c>
      <c r="E8" s="214">
        <v>5</v>
      </c>
      <c r="F8" s="214">
        <v>18</v>
      </c>
      <c r="G8" s="214">
        <v>40</v>
      </c>
      <c r="H8" s="214">
        <v>51</v>
      </c>
      <c r="I8" s="214">
        <v>62</v>
      </c>
      <c r="J8" s="215">
        <v>91</v>
      </c>
      <c r="K8" s="215">
        <v>0</v>
      </c>
      <c r="L8" s="216">
        <v>274</v>
      </c>
      <c r="M8" s="214">
        <f>COUNTIFS(Dosen!D:D,B8,Dosen!C:C,"Aktif")</f>
        <v>11</v>
      </c>
      <c r="N8" s="217">
        <f t="shared" si="0"/>
        <v>24.90909090909091</v>
      </c>
      <c r="O8" s="218">
        <f t="shared" si="5"/>
        <v>0</v>
      </c>
      <c r="P8" s="14">
        <v>0.8</v>
      </c>
      <c r="Q8" s="216">
        <f t="shared" si="1"/>
        <v>51</v>
      </c>
      <c r="R8" s="216">
        <f t="shared" si="6"/>
        <v>36</v>
      </c>
      <c r="S8" s="216">
        <f t="shared" si="7"/>
        <v>36</v>
      </c>
      <c r="T8" s="13">
        <v>49</v>
      </c>
      <c r="U8" s="13">
        <f t="shared" si="8"/>
        <v>238</v>
      </c>
      <c r="V8" s="214">
        <v>80</v>
      </c>
      <c r="W8" s="214">
        <f t="shared" si="9"/>
        <v>73</v>
      </c>
      <c r="X8" s="214">
        <f t="shared" si="10"/>
        <v>73</v>
      </c>
      <c r="Y8" s="219">
        <f t="shared" si="11"/>
        <v>311</v>
      </c>
      <c r="Z8" s="214">
        <f t="shared" si="12"/>
        <v>1</v>
      </c>
      <c r="AA8" s="214">
        <f t="shared" si="13"/>
        <v>12</v>
      </c>
      <c r="AB8" s="9">
        <f t="shared" si="14"/>
        <v>28.272727272727273</v>
      </c>
      <c r="AC8" s="9">
        <f t="shared" si="2"/>
        <v>25.916666666666668</v>
      </c>
      <c r="AD8" s="223">
        <f t="shared" si="3"/>
        <v>0</v>
      </c>
      <c r="AE8" s="224">
        <f t="shared" si="15"/>
        <v>28.272727272727273</v>
      </c>
      <c r="AF8" s="223"/>
      <c r="AG8" s="10">
        <f t="shared" si="4"/>
        <v>-18</v>
      </c>
      <c r="AH8" s="212" t="s">
        <v>235</v>
      </c>
      <c r="AI8" s="220" t="s">
        <v>2051</v>
      </c>
      <c r="AJ8" s="211">
        <v>170</v>
      </c>
      <c r="AK8" s="211">
        <v>171</v>
      </c>
      <c r="AL8" s="211">
        <v>160</v>
      </c>
      <c r="AM8" s="211">
        <v>420</v>
      </c>
      <c r="AN8" s="211">
        <v>512</v>
      </c>
      <c r="AO8" s="211">
        <v>184</v>
      </c>
      <c r="AP8" s="256">
        <v>169</v>
      </c>
      <c r="AQ8" s="211">
        <v>166</v>
      </c>
      <c r="AR8" s="211">
        <v>154</v>
      </c>
      <c r="AS8" s="211">
        <v>6</v>
      </c>
      <c r="AT8" s="211">
        <v>328</v>
      </c>
      <c r="AU8" s="211">
        <v>24</v>
      </c>
      <c r="AZ8" s="245" t="s">
        <v>2047</v>
      </c>
      <c r="BA8" s="2">
        <v>242</v>
      </c>
      <c r="BB8" s="2"/>
    </row>
    <row r="9" spans="1:54" ht="15" customHeight="1">
      <c r="A9" s="317">
        <v>7</v>
      </c>
      <c r="B9" s="11" t="s">
        <v>170</v>
      </c>
      <c r="C9" s="214">
        <f t="shared" si="16"/>
        <v>27</v>
      </c>
      <c r="D9" s="214">
        <v>0</v>
      </c>
      <c r="E9" s="214">
        <v>2</v>
      </c>
      <c r="F9" s="214">
        <v>20</v>
      </c>
      <c r="G9" s="214">
        <v>23</v>
      </c>
      <c r="H9" s="214">
        <v>43</v>
      </c>
      <c r="I9" s="214">
        <v>43</v>
      </c>
      <c r="J9" s="215">
        <v>55</v>
      </c>
      <c r="K9" s="215">
        <v>0</v>
      </c>
      <c r="L9" s="216">
        <v>187</v>
      </c>
      <c r="M9" s="214">
        <f>COUNTIFS(Dosen!D:D,B9,Dosen!C:C,"Aktif")</f>
        <v>8</v>
      </c>
      <c r="N9" s="217">
        <f t="shared" si="0"/>
        <v>23.375</v>
      </c>
      <c r="O9" s="218">
        <f t="shared" si="5"/>
        <v>0</v>
      </c>
      <c r="P9" s="14">
        <v>0.8</v>
      </c>
      <c r="Q9" s="216">
        <f t="shared" si="1"/>
        <v>36</v>
      </c>
      <c r="R9" s="216">
        <f t="shared" si="6"/>
        <v>23</v>
      </c>
      <c r="S9" s="216">
        <f t="shared" si="7"/>
        <v>23</v>
      </c>
      <c r="T9" s="13">
        <v>34</v>
      </c>
      <c r="U9" s="13">
        <f t="shared" si="8"/>
        <v>164</v>
      </c>
      <c r="V9" s="214">
        <v>40</v>
      </c>
      <c r="W9" s="214">
        <f t="shared" si="9"/>
        <v>40</v>
      </c>
      <c r="X9" s="214">
        <f t="shared" si="10"/>
        <v>40</v>
      </c>
      <c r="Y9" s="219">
        <f t="shared" si="11"/>
        <v>204</v>
      </c>
      <c r="Z9" s="214">
        <f t="shared" si="12"/>
        <v>0</v>
      </c>
      <c r="AA9" s="214">
        <f t="shared" si="13"/>
        <v>8</v>
      </c>
      <c r="AB9" s="9">
        <f t="shared" si="14"/>
        <v>25.5</v>
      </c>
      <c r="AC9" s="9">
        <f t="shared" si="2"/>
        <v>25.5</v>
      </c>
      <c r="AD9" s="223">
        <f t="shared" si="3"/>
        <v>0</v>
      </c>
      <c r="AE9" s="224">
        <f t="shared" si="15"/>
        <v>25.5</v>
      </c>
      <c r="AF9" s="223"/>
      <c r="AG9" s="10">
        <f t="shared" si="4"/>
        <v>-15</v>
      </c>
      <c r="AH9" s="212" t="s">
        <v>330</v>
      </c>
      <c r="AI9" s="220" t="s">
        <v>2052</v>
      </c>
      <c r="AJ9" s="211">
        <v>43</v>
      </c>
      <c r="AK9" s="211">
        <v>40</v>
      </c>
      <c r="AL9" s="211">
        <v>40</v>
      </c>
      <c r="AM9" s="211">
        <v>139</v>
      </c>
      <c r="AN9" s="211">
        <v>122</v>
      </c>
      <c r="AO9" s="211">
        <v>51</v>
      </c>
      <c r="AP9" s="256">
        <v>42</v>
      </c>
      <c r="AQ9" s="211">
        <v>43</v>
      </c>
      <c r="AR9" s="211">
        <v>46</v>
      </c>
      <c r="AS9" s="211">
        <v>3</v>
      </c>
      <c r="AT9" s="211">
        <v>71</v>
      </c>
      <c r="AU9" s="211">
        <v>11</v>
      </c>
      <c r="AZ9" s="245" t="s">
        <v>2048</v>
      </c>
      <c r="BA9" s="2">
        <v>30</v>
      </c>
      <c r="BB9" s="2"/>
    </row>
    <row r="10" spans="1:54" ht="15" customHeight="1">
      <c r="A10" s="317">
        <v>8</v>
      </c>
      <c r="B10" s="11" t="s">
        <v>475</v>
      </c>
      <c r="C10" s="214">
        <f t="shared" si="16"/>
        <v>27</v>
      </c>
      <c r="D10" s="215">
        <v>0</v>
      </c>
      <c r="E10" s="215">
        <v>5</v>
      </c>
      <c r="F10" s="215">
        <v>13</v>
      </c>
      <c r="G10" s="215">
        <v>44</v>
      </c>
      <c r="H10" s="215">
        <v>43</v>
      </c>
      <c r="I10" s="215">
        <v>51</v>
      </c>
      <c r="J10" s="215">
        <v>60</v>
      </c>
      <c r="K10" s="215">
        <v>0</v>
      </c>
      <c r="L10" s="216">
        <v>180</v>
      </c>
      <c r="M10" s="214">
        <f>COUNTIFS(Dosen!D:D,B10,Dosen!C:C,"Aktif")</f>
        <v>10</v>
      </c>
      <c r="N10" s="217">
        <f t="shared" si="0"/>
        <v>18</v>
      </c>
      <c r="O10" s="218">
        <f t="shared" si="5"/>
        <v>0</v>
      </c>
      <c r="P10" s="14">
        <v>0.8</v>
      </c>
      <c r="Q10" s="216">
        <f t="shared" si="1"/>
        <v>50</v>
      </c>
      <c r="R10" s="216">
        <f t="shared" si="6"/>
        <v>54</v>
      </c>
      <c r="S10" s="216">
        <f t="shared" si="7"/>
        <v>54</v>
      </c>
      <c r="T10" s="13">
        <v>47</v>
      </c>
      <c r="U10" s="13">
        <f t="shared" si="8"/>
        <v>126</v>
      </c>
      <c r="V10" s="214">
        <v>80</v>
      </c>
      <c r="W10" s="214">
        <f t="shared" si="9"/>
        <v>52</v>
      </c>
      <c r="X10" s="214">
        <f t="shared" si="10"/>
        <v>52</v>
      </c>
      <c r="Y10" s="219">
        <f t="shared" si="11"/>
        <v>178</v>
      </c>
      <c r="Z10" s="214">
        <f t="shared" si="12"/>
        <v>0</v>
      </c>
      <c r="AA10" s="214">
        <f t="shared" si="13"/>
        <v>10</v>
      </c>
      <c r="AB10" s="9">
        <f t="shared" si="14"/>
        <v>17.8</v>
      </c>
      <c r="AC10" s="9">
        <f t="shared" si="2"/>
        <v>17.8</v>
      </c>
      <c r="AD10" s="223">
        <f t="shared" si="3"/>
        <v>0</v>
      </c>
      <c r="AE10" s="224">
        <f t="shared" si="15"/>
        <v>17.8</v>
      </c>
      <c r="AF10" s="223"/>
      <c r="AG10" s="10">
        <f t="shared" si="4"/>
        <v>-8</v>
      </c>
      <c r="AH10" s="212" t="s">
        <v>370</v>
      </c>
      <c r="AI10" s="220" t="s">
        <v>2053</v>
      </c>
      <c r="AJ10" s="211">
        <v>126</v>
      </c>
      <c r="AK10" s="211">
        <v>106</v>
      </c>
      <c r="AL10" s="211">
        <v>120</v>
      </c>
      <c r="AM10" s="211">
        <v>526</v>
      </c>
      <c r="AN10" s="211">
        <v>395</v>
      </c>
      <c r="AO10" s="211">
        <v>145</v>
      </c>
      <c r="AP10" s="256">
        <v>122</v>
      </c>
      <c r="AQ10" s="211">
        <v>120</v>
      </c>
      <c r="AR10" s="211">
        <v>128</v>
      </c>
      <c r="AS10" s="211">
        <v>7</v>
      </c>
      <c r="AT10" s="211">
        <v>250</v>
      </c>
      <c r="AU10" s="211">
        <v>25</v>
      </c>
      <c r="AZ10" s="245" t="s">
        <v>2049</v>
      </c>
      <c r="BA10" s="2">
        <v>207</v>
      </c>
      <c r="BB10" s="2"/>
    </row>
    <row r="11" spans="1:54" ht="15" customHeight="1">
      <c r="A11" s="317">
        <v>9</v>
      </c>
      <c r="B11" s="11" t="s">
        <v>235</v>
      </c>
      <c r="C11" s="214">
        <f t="shared" si="16"/>
        <v>27</v>
      </c>
      <c r="D11" s="214">
        <v>2</v>
      </c>
      <c r="E11" s="214">
        <v>4</v>
      </c>
      <c r="F11" s="214">
        <v>69</v>
      </c>
      <c r="G11" s="214">
        <v>152</v>
      </c>
      <c r="H11" s="214">
        <v>136</v>
      </c>
      <c r="I11" s="214">
        <v>127</v>
      </c>
      <c r="J11" s="215">
        <v>171</v>
      </c>
      <c r="K11" s="215">
        <v>0</v>
      </c>
      <c r="L11" s="216">
        <v>637</v>
      </c>
      <c r="M11" s="214">
        <f>COUNTIFS(Dosen!D:D,B11,Dosen!C:C,"Aktif")</f>
        <v>22</v>
      </c>
      <c r="N11" s="217">
        <f t="shared" si="0"/>
        <v>28.954545454545453</v>
      </c>
      <c r="O11" s="218">
        <f t="shared" si="5"/>
        <v>2</v>
      </c>
      <c r="P11" s="14">
        <v>0.8</v>
      </c>
      <c r="Q11" s="216">
        <f t="shared" si="1"/>
        <v>182</v>
      </c>
      <c r="R11" s="216">
        <f t="shared" si="6"/>
        <v>128</v>
      </c>
      <c r="S11" s="216">
        <f t="shared" si="7"/>
        <v>128</v>
      </c>
      <c r="T11" s="13">
        <v>168</v>
      </c>
      <c r="U11" s="13">
        <f t="shared" si="8"/>
        <v>509</v>
      </c>
      <c r="V11" s="214">
        <v>160</v>
      </c>
      <c r="W11" s="214">
        <f t="shared" si="9"/>
        <v>170</v>
      </c>
      <c r="X11" s="214">
        <f t="shared" si="10"/>
        <v>170</v>
      </c>
      <c r="Y11" s="219">
        <f t="shared" si="11"/>
        <v>679</v>
      </c>
      <c r="Z11" s="214">
        <f t="shared" si="12"/>
        <v>4</v>
      </c>
      <c r="AA11" s="214">
        <f t="shared" si="13"/>
        <v>26</v>
      </c>
      <c r="AB11" s="9">
        <f t="shared" si="14"/>
        <v>30.863636363636363</v>
      </c>
      <c r="AC11" s="9">
        <f t="shared" si="2"/>
        <v>26.115384615384617</v>
      </c>
      <c r="AD11" s="223">
        <f t="shared" si="3"/>
        <v>3</v>
      </c>
      <c r="AE11" s="224">
        <f t="shared" si="15"/>
        <v>27.16</v>
      </c>
      <c r="AF11" s="223"/>
      <c r="AG11" s="10">
        <f t="shared" si="4"/>
        <v>-1</v>
      </c>
      <c r="AH11" s="212" t="s">
        <v>413</v>
      </c>
      <c r="AI11" s="220" t="s">
        <v>2054</v>
      </c>
      <c r="AJ11" s="211">
        <v>39</v>
      </c>
      <c r="AK11" s="211">
        <v>54</v>
      </c>
      <c r="AL11" s="211">
        <v>40</v>
      </c>
      <c r="AM11" s="211">
        <v>72</v>
      </c>
      <c r="AN11" s="211">
        <v>87</v>
      </c>
      <c r="AO11" s="211">
        <v>45</v>
      </c>
      <c r="AP11" s="256">
        <v>37</v>
      </c>
      <c r="AQ11" s="211">
        <v>38</v>
      </c>
      <c r="AR11" s="211">
        <v>39</v>
      </c>
      <c r="AS11" s="211">
        <v>1</v>
      </c>
      <c r="AT11" s="211">
        <v>42</v>
      </c>
      <c r="AU11" s="211">
        <v>5</v>
      </c>
      <c r="AZ11" s="245" t="s">
        <v>2050</v>
      </c>
      <c r="BA11" s="2">
        <v>39</v>
      </c>
      <c r="BB11" s="2"/>
    </row>
    <row r="12" spans="1:54" ht="15" customHeight="1">
      <c r="A12" s="317">
        <v>10</v>
      </c>
      <c r="B12" s="11" t="s">
        <v>370</v>
      </c>
      <c r="C12" s="214">
        <f t="shared" si="16"/>
        <v>27</v>
      </c>
      <c r="D12" s="215">
        <v>0</v>
      </c>
      <c r="E12" s="215">
        <v>3</v>
      </c>
      <c r="F12" s="215">
        <v>25</v>
      </c>
      <c r="G12" s="215">
        <v>61</v>
      </c>
      <c r="H12" s="215">
        <v>58</v>
      </c>
      <c r="I12" s="215">
        <v>59</v>
      </c>
      <c r="J12" s="215">
        <v>107</v>
      </c>
      <c r="K12" s="215">
        <v>0</v>
      </c>
      <c r="L12" s="216">
        <v>303</v>
      </c>
      <c r="M12" s="214">
        <f>COUNTIFS(Dosen!D:D,B12,Dosen!C:C,"Aktif")</f>
        <v>10</v>
      </c>
      <c r="N12" s="217">
        <f t="shared" si="0"/>
        <v>30.3</v>
      </c>
      <c r="O12" s="218">
        <f t="shared" si="5"/>
        <v>2</v>
      </c>
      <c r="P12" s="14">
        <v>0.8</v>
      </c>
      <c r="Q12" s="216">
        <f t="shared" si="1"/>
        <v>72</v>
      </c>
      <c r="R12" s="216">
        <f t="shared" si="6"/>
        <v>52</v>
      </c>
      <c r="S12" s="216">
        <f t="shared" si="7"/>
        <v>52</v>
      </c>
      <c r="T12" s="13">
        <v>68</v>
      </c>
      <c r="U12" s="13">
        <f t="shared" si="8"/>
        <v>251</v>
      </c>
      <c r="V12" s="214">
        <v>120</v>
      </c>
      <c r="W12" s="214">
        <f t="shared" si="9"/>
        <v>126</v>
      </c>
      <c r="X12" s="214">
        <f t="shared" si="10"/>
        <v>126</v>
      </c>
      <c r="Y12" s="219">
        <f t="shared" si="11"/>
        <v>377</v>
      </c>
      <c r="Z12" s="214">
        <f t="shared" si="12"/>
        <v>4</v>
      </c>
      <c r="AA12" s="214">
        <f t="shared" si="13"/>
        <v>14</v>
      </c>
      <c r="AB12" s="9">
        <f t="shared" si="14"/>
        <v>37.700000000000003</v>
      </c>
      <c r="AC12" s="9">
        <f t="shared" si="2"/>
        <v>26.928571428571427</v>
      </c>
      <c r="AD12" s="223">
        <f t="shared" si="3"/>
        <v>3</v>
      </c>
      <c r="AE12" s="224">
        <f t="shared" si="15"/>
        <v>29</v>
      </c>
      <c r="AF12" s="223"/>
      <c r="AG12" s="10">
        <f t="shared" si="4"/>
        <v>19</v>
      </c>
      <c r="AH12" s="212" t="s">
        <v>475</v>
      </c>
      <c r="AI12" s="220" t="s">
        <v>2055</v>
      </c>
      <c r="AJ12" s="211">
        <v>52</v>
      </c>
      <c r="AK12" s="211">
        <v>60</v>
      </c>
      <c r="AL12" s="211">
        <v>80</v>
      </c>
      <c r="AM12" s="211">
        <v>70</v>
      </c>
      <c r="AN12" s="211">
        <v>137</v>
      </c>
      <c r="AO12" s="211">
        <v>52</v>
      </c>
      <c r="AP12" s="256">
        <v>47</v>
      </c>
      <c r="AQ12" s="211">
        <v>45</v>
      </c>
      <c r="AR12" s="211">
        <v>41</v>
      </c>
      <c r="AS12" s="211">
        <v>1</v>
      </c>
      <c r="AT12" s="211">
        <v>85</v>
      </c>
      <c r="AU12" s="211">
        <v>-28</v>
      </c>
      <c r="AZ12" s="245" t="s">
        <v>2051</v>
      </c>
      <c r="BA12" s="2">
        <v>169</v>
      </c>
      <c r="BB12" s="2"/>
    </row>
    <row r="13" spans="1:54" ht="15" customHeight="1">
      <c r="A13" s="317">
        <v>11</v>
      </c>
      <c r="B13" s="11" t="s">
        <v>330</v>
      </c>
      <c r="C13" s="214">
        <f t="shared" si="16"/>
        <v>27</v>
      </c>
      <c r="D13" s="215">
        <v>0</v>
      </c>
      <c r="E13" s="215">
        <v>0</v>
      </c>
      <c r="F13" s="215">
        <v>15</v>
      </c>
      <c r="G13" s="215">
        <v>27</v>
      </c>
      <c r="H13" s="215">
        <v>37</v>
      </c>
      <c r="I13" s="215">
        <v>45</v>
      </c>
      <c r="J13" s="215">
        <v>38</v>
      </c>
      <c r="K13" s="215">
        <v>0</v>
      </c>
      <c r="L13" s="216">
        <v>150</v>
      </c>
      <c r="M13" s="214">
        <f>COUNTIFS(Dosen!D:D,B13,Dosen!C:C,"Aktif")</f>
        <v>8</v>
      </c>
      <c r="N13" s="217">
        <f t="shared" si="0"/>
        <v>18.75</v>
      </c>
      <c r="O13" s="218">
        <f t="shared" si="5"/>
        <v>0</v>
      </c>
      <c r="P13" s="14">
        <v>0.8</v>
      </c>
      <c r="Q13" s="216">
        <f t="shared" si="1"/>
        <v>34</v>
      </c>
      <c r="R13" s="216">
        <f t="shared" si="6"/>
        <v>28</v>
      </c>
      <c r="S13" s="216">
        <f t="shared" si="7"/>
        <v>28</v>
      </c>
      <c r="T13" s="13">
        <v>32</v>
      </c>
      <c r="U13" s="13">
        <f t="shared" si="8"/>
        <v>122</v>
      </c>
      <c r="V13" s="214">
        <v>40</v>
      </c>
      <c r="W13" s="214">
        <f t="shared" si="9"/>
        <v>43</v>
      </c>
      <c r="X13" s="214">
        <f t="shared" si="10"/>
        <v>43</v>
      </c>
      <c r="Y13" s="219">
        <f t="shared" si="11"/>
        <v>165</v>
      </c>
      <c r="Z13" s="214">
        <f t="shared" si="12"/>
        <v>0</v>
      </c>
      <c r="AA13" s="214">
        <f t="shared" si="13"/>
        <v>8</v>
      </c>
      <c r="AB13" s="9">
        <f t="shared" si="14"/>
        <v>20.625</v>
      </c>
      <c r="AC13" s="9">
        <f t="shared" si="2"/>
        <v>20.625</v>
      </c>
      <c r="AD13" s="223">
        <f t="shared" si="3"/>
        <v>0</v>
      </c>
      <c r="AE13" s="224">
        <f t="shared" si="15"/>
        <v>20.625</v>
      </c>
      <c r="AF13" s="223"/>
      <c r="AG13" s="10">
        <f t="shared" si="4"/>
        <v>5</v>
      </c>
      <c r="AH13" s="212" t="s">
        <v>524</v>
      </c>
      <c r="AI13" s="220" t="s">
        <v>2056</v>
      </c>
      <c r="AJ13" s="211">
        <v>73</v>
      </c>
      <c r="AK13" s="211">
        <v>90</v>
      </c>
      <c r="AL13" s="211">
        <v>80</v>
      </c>
      <c r="AM13" s="211">
        <v>81</v>
      </c>
      <c r="AN13" s="211">
        <v>186</v>
      </c>
      <c r="AO13" s="211">
        <v>76</v>
      </c>
      <c r="AP13" s="256">
        <v>71</v>
      </c>
      <c r="AQ13" s="211">
        <v>70</v>
      </c>
      <c r="AR13" s="211">
        <v>61</v>
      </c>
      <c r="AS13" s="211">
        <v>2</v>
      </c>
      <c r="AT13" s="211">
        <v>110</v>
      </c>
      <c r="AU13" s="211">
        <v>-4</v>
      </c>
      <c r="AZ13" s="245" t="s">
        <v>2052</v>
      </c>
      <c r="BA13" s="2">
        <v>42</v>
      </c>
      <c r="BB13" s="2"/>
    </row>
    <row r="14" spans="1:54" ht="15.95">
      <c r="A14" s="17"/>
      <c r="B14" s="17"/>
      <c r="C14" s="18"/>
      <c r="D14" s="18">
        <f>SUM(D3:D13)</f>
        <v>2</v>
      </c>
      <c r="E14" s="18">
        <f>SUM(E3:E13)</f>
        <v>31</v>
      </c>
      <c r="F14" s="18">
        <f>SUM(F3:F13)</f>
        <v>183</v>
      </c>
      <c r="G14" s="18">
        <f>SUM(G3:G13)</f>
        <v>575</v>
      </c>
      <c r="H14" s="18"/>
      <c r="I14" s="18">
        <f>SUM(I3:I13)</f>
        <v>759</v>
      </c>
      <c r="J14" s="18">
        <f t="shared" ref="J14:AA14" si="17">SUM(J3:J13)</f>
        <v>1068</v>
      </c>
      <c r="K14" s="18"/>
      <c r="L14" s="134">
        <f>SUM(L3:L13)</f>
        <v>3192</v>
      </c>
      <c r="M14" s="18">
        <f t="shared" si="17"/>
        <v>120</v>
      </c>
      <c r="N14" s="18"/>
      <c r="O14" s="134">
        <f>SUMIFS(O3:O13,O3:O13,"&gt;0")</f>
        <v>9</v>
      </c>
      <c r="P14" s="18">
        <f t="shared" si="17"/>
        <v>8.7999999999999989</v>
      </c>
      <c r="Q14" s="18">
        <f t="shared" si="17"/>
        <v>638</v>
      </c>
      <c r="R14" s="134">
        <f>SUM(R3:R13)</f>
        <v>471</v>
      </c>
      <c r="S14" s="134">
        <f>SUM(S3:S13)</f>
        <v>471</v>
      </c>
      <c r="T14" s="18"/>
      <c r="U14" s="18">
        <f t="shared" si="17"/>
        <v>2721</v>
      </c>
      <c r="V14" s="18">
        <f t="shared" si="17"/>
        <v>1160</v>
      </c>
      <c r="W14" s="18">
        <f>SUM(W3:W13)</f>
        <v>1107</v>
      </c>
      <c r="X14" s="18">
        <f>SUM(X3:X13)</f>
        <v>1107</v>
      </c>
      <c r="Y14" s="18">
        <f t="shared" si="17"/>
        <v>3828</v>
      </c>
      <c r="Z14" s="18">
        <f>SUMIFS(Z3:Z13,Z3:Z13,"&gt;0")</f>
        <v>24</v>
      </c>
      <c r="AA14" s="18">
        <f t="shared" si="17"/>
        <v>144</v>
      </c>
      <c r="AB14" s="18">
        <f>Y14/M14</f>
        <v>31.9</v>
      </c>
      <c r="AC14" s="18"/>
      <c r="AD14" s="18">
        <f>SUM(AD3:AD13)</f>
        <v>17</v>
      </c>
      <c r="AE14" s="18"/>
      <c r="AF14" s="15"/>
      <c r="AJ14" s="10">
        <f>SUM(AJ3:AJ13)</f>
        <v>1107</v>
      </c>
      <c r="AK14" s="10">
        <f t="shared" ref="AK14:AT14" si="18">SUM(AK3:AK13)</f>
        <v>1056</v>
      </c>
      <c r="AL14" s="10">
        <f t="shared" si="18"/>
        <v>1160</v>
      </c>
      <c r="AM14" s="10">
        <f t="shared" si="18"/>
        <v>2999</v>
      </c>
      <c r="AN14" s="10">
        <f t="shared" si="18"/>
        <v>3042</v>
      </c>
      <c r="AO14" s="10">
        <f t="shared" si="18"/>
        <v>1221</v>
      </c>
      <c r="AP14" s="10">
        <f>SUM(AP3:AP13)</f>
        <v>1071</v>
      </c>
      <c r="AQ14" s="10">
        <f t="shared" si="18"/>
        <v>1058</v>
      </c>
      <c r="AR14" s="10">
        <f t="shared" si="18"/>
        <v>999</v>
      </c>
      <c r="AS14" s="10">
        <f t="shared" si="18"/>
        <v>55</v>
      </c>
      <c r="AT14" s="10">
        <f t="shared" si="18"/>
        <v>1821</v>
      </c>
      <c r="AZ14" s="245" t="s">
        <v>2053</v>
      </c>
      <c r="BA14" s="2">
        <v>122</v>
      </c>
      <c r="BB14" s="2"/>
    </row>
    <row r="15" spans="1:54" ht="15.75" customHeight="1">
      <c r="G15" s="445" t="s">
        <v>2057</v>
      </c>
      <c r="H15" s="445"/>
      <c r="I15" s="445"/>
      <c r="J15" s="445"/>
      <c r="K15" s="445"/>
      <c r="L15" s="10">
        <f>L14/112</f>
        <v>28.5</v>
      </c>
      <c r="AZ15" s="245" t="s">
        <v>2054</v>
      </c>
      <c r="BA15" s="2">
        <v>37</v>
      </c>
      <c r="BB15" s="2"/>
    </row>
    <row r="16" spans="1:54" ht="15.75" customHeight="1">
      <c r="Q16" s="164"/>
      <c r="R16" s="164"/>
      <c r="S16" s="164"/>
      <c r="T16" s="164"/>
      <c r="AI16" s="269" t="s">
        <v>759</v>
      </c>
      <c r="AJ16" s="270" t="s">
        <v>2067</v>
      </c>
      <c r="AK16" s="270" t="s">
        <v>2068</v>
      </c>
      <c r="AL16" s="270" t="s">
        <v>2069</v>
      </c>
      <c r="AM16" s="270" t="s">
        <v>2070</v>
      </c>
      <c r="AN16" s="271" t="s">
        <v>2067</v>
      </c>
      <c r="AO16" s="271" t="s">
        <v>2068</v>
      </c>
      <c r="AP16" s="272" t="s">
        <v>2069</v>
      </c>
      <c r="AQ16" s="272" t="s">
        <v>2070</v>
      </c>
      <c r="AZ16" s="245" t="s">
        <v>2055</v>
      </c>
      <c r="BA16" s="2">
        <v>47</v>
      </c>
      <c r="BB16" s="2"/>
    </row>
    <row r="17" spans="7:54" ht="15.75" customHeight="1">
      <c r="G17" s="10" t="s">
        <v>2877</v>
      </c>
      <c r="Q17" s="165"/>
      <c r="R17" s="165"/>
      <c r="S17" s="165"/>
      <c r="T17" s="166"/>
      <c r="U17" s="165"/>
      <c r="V17" s="165"/>
      <c r="W17" s="165"/>
      <c r="X17" s="165"/>
      <c r="Y17" s="167"/>
      <c r="AH17" s="213" t="s">
        <v>22</v>
      </c>
      <c r="AI17" s="273" t="s">
        <v>2080</v>
      </c>
      <c r="AJ17" s="274">
        <v>22</v>
      </c>
      <c r="AK17" s="274">
        <v>16</v>
      </c>
      <c r="AL17" s="274">
        <f>AJ17-AK17</f>
        <v>6</v>
      </c>
      <c r="AM17" s="275">
        <f>(AK17/AJ17)*100</f>
        <v>72.727272727272734</v>
      </c>
      <c r="AN17" s="274">
        <v>44</v>
      </c>
      <c r="AO17" s="276">
        <v>28</v>
      </c>
      <c r="AP17" s="277">
        <f>AN17-AO17</f>
        <v>16</v>
      </c>
      <c r="AQ17" s="278">
        <f>(AO17/AN17)*100</f>
        <v>63.636363636363633</v>
      </c>
      <c r="AR17" s="10">
        <f>AK17+AO17</f>
        <v>44</v>
      </c>
      <c r="AZ17" s="245" t="s">
        <v>2056</v>
      </c>
      <c r="BA17" s="2">
        <v>71</v>
      </c>
      <c r="BB17" s="2"/>
    </row>
    <row r="18" spans="7:54" ht="15.75" customHeight="1">
      <c r="Q18" s="165"/>
      <c r="R18" s="165"/>
      <c r="S18" s="165"/>
      <c r="T18" s="166"/>
      <c r="U18" s="165"/>
      <c r="V18" s="165"/>
      <c r="W18" s="165"/>
      <c r="X18" s="165"/>
      <c r="Y18" s="167"/>
      <c r="AH18" s="212" t="s">
        <v>107</v>
      </c>
      <c r="AI18" s="273" t="s">
        <v>2081</v>
      </c>
      <c r="AJ18" s="274">
        <v>9</v>
      </c>
      <c r="AK18" s="274">
        <v>7</v>
      </c>
      <c r="AL18" s="274">
        <f t="shared" ref="AL18:AL27" si="19">AJ18-AK18</f>
        <v>2</v>
      </c>
      <c r="AM18" s="275">
        <f>(AK18/AJ18)*100</f>
        <v>77.777777777777786</v>
      </c>
      <c r="AN18" s="274">
        <v>58</v>
      </c>
      <c r="AO18" s="276">
        <v>55</v>
      </c>
      <c r="AP18" s="277">
        <f t="shared" ref="AP18:AP27" si="20">AN18-AO18</f>
        <v>3</v>
      </c>
      <c r="AQ18" s="278">
        <f t="shared" ref="AQ18:AQ27" si="21">(AO18/AN18)*100</f>
        <v>94.827586206896555</v>
      </c>
      <c r="AR18" s="10">
        <f t="shared" ref="AR18:AR27" si="22">AK18+AO18</f>
        <v>62</v>
      </c>
    </row>
    <row r="19" spans="7:54" ht="15.75" customHeight="1">
      <c r="Q19" s="165"/>
      <c r="R19" s="165"/>
      <c r="S19" s="165"/>
      <c r="T19" s="166"/>
      <c r="U19" s="165"/>
      <c r="V19" s="165"/>
      <c r="W19" s="165"/>
      <c r="X19" s="165"/>
      <c r="Y19" s="167"/>
      <c r="AH19" s="212" t="s">
        <v>170</v>
      </c>
      <c r="AI19" s="273" t="s">
        <v>2082</v>
      </c>
      <c r="AJ19" s="274">
        <v>13</v>
      </c>
      <c r="AK19" s="274">
        <v>2</v>
      </c>
      <c r="AL19" s="274">
        <f t="shared" si="19"/>
        <v>11</v>
      </c>
      <c r="AM19" s="275">
        <f>(AK19/AJ19)*100</f>
        <v>15.384615384615385</v>
      </c>
      <c r="AN19" s="274">
        <v>30</v>
      </c>
      <c r="AO19" s="276">
        <v>21</v>
      </c>
      <c r="AP19" s="277">
        <f t="shared" si="20"/>
        <v>9</v>
      </c>
      <c r="AQ19" s="278">
        <f t="shared" si="21"/>
        <v>70</v>
      </c>
      <c r="AR19" s="10">
        <f t="shared" si="22"/>
        <v>23</v>
      </c>
    </row>
    <row r="20" spans="7:54" ht="15.75" customHeight="1">
      <c r="Q20" s="165"/>
      <c r="R20" s="165"/>
      <c r="S20" s="165"/>
      <c r="T20" s="166"/>
      <c r="U20" s="165"/>
      <c r="V20" s="165"/>
      <c r="W20" s="165"/>
      <c r="X20" s="165"/>
      <c r="Y20" s="167"/>
      <c r="AH20" s="212" t="s">
        <v>201</v>
      </c>
      <c r="AI20" s="273" t="s">
        <v>2083</v>
      </c>
      <c r="AJ20" s="274">
        <v>0</v>
      </c>
      <c r="AK20" s="274">
        <v>0</v>
      </c>
      <c r="AL20" s="274">
        <f t="shared" si="19"/>
        <v>0</v>
      </c>
      <c r="AM20" s="275"/>
      <c r="AN20" s="274">
        <v>19</v>
      </c>
      <c r="AO20" s="276">
        <v>19</v>
      </c>
      <c r="AP20" s="277">
        <f t="shared" si="20"/>
        <v>0</v>
      </c>
      <c r="AQ20" s="278">
        <f t="shared" si="21"/>
        <v>100</v>
      </c>
      <c r="AR20" s="10">
        <f t="shared" si="22"/>
        <v>19</v>
      </c>
    </row>
    <row r="21" spans="7:54" ht="15.75" customHeight="1">
      <c r="Q21" s="165"/>
      <c r="R21" s="165"/>
      <c r="S21" s="165"/>
      <c r="T21" s="166"/>
      <c r="U21" s="165"/>
      <c r="V21" s="165"/>
      <c r="W21" s="165"/>
      <c r="X21" s="165"/>
      <c r="Y21" s="167"/>
      <c r="AH21" s="212" t="s">
        <v>235</v>
      </c>
      <c r="AI21" s="273" t="s">
        <v>2084</v>
      </c>
      <c r="AJ21" s="274">
        <v>70</v>
      </c>
      <c r="AK21" s="274">
        <v>27</v>
      </c>
      <c r="AL21" s="274">
        <f t="shared" si="19"/>
        <v>43</v>
      </c>
      <c r="AM21" s="275">
        <f>(AK21/AJ21)*100</f>
        <v>38.571428571428577</v>
      </c>
      <c r="AN21" s="274">
        <v>154</v>
      </c>
      <c r="AO21" s="276">
        <v>101</v>
      </c>
      <c r="AP21" s="277">
        <f t="shared" si="20"/>
        <v>53</v>
      </c>
      <c r="AQ21" s="278">
        <f t="shared" si="21"/>
        <v>65.584415584415595</v>
      </c>
      <c r="AR21" s="10">
        <f t="shared" si="22"/>
        <v>128</v>
      </c>
    </row>
    <row r="22" spans="7:54" ht="15.75" customHeight="1">
      <c r="Q22" s="165"/>
      <c r="R22" s="165"/>
      <c r="S22" s="165"/>
      <c r="T22" s="166"/>
      <c r="U22" s="165"/>
      <c r="V22" s="165"/>
      <c r="W22" s="165"/>
      <c r="X22" s="165"/>
      <c r="Y22" s="167"/>
      <c r="AH22" s="212" t="s">
        <v>330</v>
      </c>
      <c r="AI22" s="273" t="s">
        <v>2086</v>
      </c>
      <c r="AJ22" s="274">
        <v>21</v>
      </c>
      <c r="AK22" s="274">
        <v>14</v>
      </c>
      <c r="AL22" s="274">
        <f t="shared" si="19"/>
        <v>7</v>
      </c>
      <c r="AM22" s="275">
        <f>(AK22/AJ22)*100</f>
        <v>66.666666666666657</v>
      </c>
      <c r="AN22" s="274">
        <v>18</v>
      </c>
      <c r="AO22" s="276">
        <v>14</v>
      </c>
      <c r="AP22" s="277">
        <f t="shared" si="20"/>
        <v>4</v>
      </c>
      <c r="AQ22" s="278">
        <f t="shared" si="21"/>
        <v>77.777777777777786</v>
      </c>
      <c r="AR22" s="10">
        <f t="shared" si="22"/>
        <v>28</v>
      </c>
    </row>
    <row r="23" spans="7:54" ht="15.75" customHeight="1">
      <c r="Q23" s="165"/>
      <c r="R23" s="165"/>
      <c r="S23" s="165"/>
      <c r="T23" s="166"/>
      <c r="U23" s="165"/>
      <c r="V23" s="165"/>
      <c r="W23" s="165"/>
      <c r="X23" s="165"/>
      <c r="Y23" s="167"/>
      <c r="AH23" s="212" t="s">
        <v>370</v>
      </c>
      <c r="AI23" s="273" t="s">
        <v>2088</v>
      </c>
      <c r="AJ23" s="274">
        <v>20</v>
      </c>
      <c r="AK23" s="274">
        <v>16</v>
      </c>
      <c r="AL23" s="274">
        <f t="shared" si="19"/>
        <v>4</v>
      </c>
      <c r="AM23" s="275">
        <f>(AK23/AJ23)*100</f>
        <v>80</v>
      </c>
      <c r="AN23" s="274">
        <v>46</v>
      </c>
      <c r="AO23" s="276">
        <v>36</v>
      </c>
      <c r="AP23" s="277">
        <f t="shared" si="20"/>
        <v>10</v>
      </c>
      <c r="AQ23" s="278">
        <f t="shared" si="21"/>
        <v>78.260869565217391</v>
      </c>
      <c r="AR23" s="10">
        <f t="shared" si="22"/>
        <v>52</v>
      </c>
    </row>
    <row r="24" spans="7:54" ht="15.75" customHeight="1">
      <c r="Q24" s="165"/>
      <c r="R24" s="165"/>
      <c r="S24" s="165"/>
      <c r="T24" s="166"/>
      <c r="U24" s="165"/>
      <c r="V24" s="165"/>
      <c r="W24" s="165"/>
      <c r="X24" s="165"/>
      <c r="Y24" s="167"/>
      <c r="AH24" s="212" t="s">
        <v>413</v>
      </c>
      <c r="AI24" s="273" t="s">
        <v>2087</v>
      </c>
      <c r="AJ24" s="274">
        <v>25</v>
      </c>
      <c r="AK24" s="274">
        <v>9</v>
      </c>
      <c r="AL24" s="274">
        <f t="shared" si="19"/>
        <v>16</v>
      </c>
      <c r="AM24" s="275">
        <f>(AK24/AJ24)*100</f>
        <v>36</v>
      </c>
      <c r="AN24" s="274">
        <v>26</v>
      </c>
      <c r="AO24" s="276">
        <v>11</v>
      </c>
      <c r="AP24" s="277">
        <f t="shared" si="20"/>
        <v>15</v>
      </c>
      <c r="AQ24" s="278">
        <f t="shared" si="21"/>
        <v>42.307692307692307</v>
      </c>
      <c r="AR24" s="10">
        <f t="shared" si="22"/>
        <v>20</v>
      </c>
    </row>
    <row r="25" spans="7:54" ht="15.75" customHeight="1">
      <c r="Q25" s="165"/>
      <c r="R25" s="165"/>
      <c r="S25" s="165"/>
      <c r="T25" s="166"/>
      <c r="U25" s="165"/>
      <c r="V25" s="165"/>
      <c r="W25" s="165"/>
      <c r="X25" s="165"/>
      <c r="Y25" s="167"/>
      <c r="AH25" s="212" t="s">
        <v>448</v>
      </c>
      <c r="AI25" s="273" t="s">
        <v>2085</v>
      </c>
      <c r="AJ25" s="274">
        <v>0</v>
      </c>
      <c r="AK25" s="274">
        <v>0</v>
      </c>
      <c r="AL25" s="274">
        <f t="shared" si="19"/>
        <v>0</v>
      </c>
      <c r="AM25" s="275"/>
      <c r="AN25" s="274">
        <v>6</v>
      </c>
      <c r="AO25" s="276">
        <v>5</v>
      </c>
      <c r="AP25" s="277">
        <f t="shared" si="20"/>
        <v>1</v>
      </c>
      <c r="AQ25" s="278">
        <f t="shared" si="21"/>
        <v>83.333333333333343</v>
      </c>
      <c r="AR25" s="10">
        <f t="shared" si="22"/>
        <v>5</v>
      </c>
    </row>
    <row r="26" spans="7:54" ht="15.75" customHeight="1">
      <c r="Q26" s="165"/>
      <c r="R26" s="165"/>
      <c r="S26" s="165"/>
      <c r="T26" s="166"/>
      <c r="U26" s="165"/>
      <c r="V26" s="165"/>
      <c r="W26" s="165"/>
      <c r="X26" s="165"/>
      <c r="Y26" s="167"/>
      <c r="AH26" s="212" t="s">
        <v>475</v>
      </c>
      <c r="AI26" s="273" t="s">
        <v>2090</v>
      </c>
      <c r="AJ26" s="274">
        <v>48</v>
      </c>
      <c r="AK26" s="274">
        <v>36</v>
      </c>
      <c r="AL26" s="274">
        <f t="shared" si="19"/>
        <v>12</v>
      </c>
      <c r="AM26" s="275">
        <f>(AK26/AJ26)*100</f>
        <v>75</v>
      </c>
      <c r="AN26" s="274">
        <v>21</v>
      </c>
      <c r="AO26" s="276">
        <v>18</v>
      </c>
      <c r="AP26" s="277">
        <f t="shared" si="20"/>
        <v>3</v>
      </c>
      <c r="AQ26" s="278">
        <f t="shared" si="21"/>
        <v>85.714285714285708</v>
      </c>
      <c r="AR26" s="10">
        <f t="shared" si="22"/>
        <v>54</v>
      </c>
    </row>
    <row r="27" spans="7:54" ht="15.75" customHeight="1">
      <c r="Q27" s="165"/>
      <c r="R27" s="165"/>
      <c r="S27" s="165"/>
      <c r="T27" s="166"/>
      <c r="U27" s="165"/>
      <c r="V27" s="165"/>
      <c r="W27" s="165"/>
      <c r="X27" s="165"/>
      <c r="Y27" s="167"/>
      <c r="AH27" s="212" t="s">
        <v>524</v>
      </c>
      <c r="AI27" s="273" t="s">
        <v>2089</v>
      </c>
      <c r="AJ27" s="274">
        <v>13</v>
      </c>
      <c r="AK27" s="274">
        <v>0</v>
      </c>
      <c r="AL27" s="274">
        <f t="shared" si="19"/>
        <v>13</v>
      </c>
      <c r="AM27" s="275">
        <f>(AK27/AJ27)*100</f>
        <v>0</v>
      </c>
      <c r="AN27" s="274">
        <v>49</v>
      </c>
      <c r="AO27" s="276">
        <v>36</v>
      </c>
      <c r="AP27" s="277">
        <f t="shared" si="20"/>
        <v>13</v>
      </c>
      <c r="AQ27" s="278">
        <f t="shared" si="21"/>
        <v>73.469387755102048</v>
      </c>
      <c r="AR27" s="10">
        <f t="shared" si="22"/>
        <v>36</v>
      </c>
    </row>
  </sheetData>
  <sortState xmlns:xlrd2="http://schemas.microsoft.com/office/spreadsheetml/2017/richdata2" ref="AZ7:BA17">
    <sortCondition ref="AZ7:AZ17"/>
  </sortState>
  <mergeCells count="7">
    <mergeCell ref="V1:AC1"/>
    <mergeCell ref="G15:K15"/>
    <mergeCell ref="A1:A2"/>
    <mergeCell ref="B1:B2"/>
    <mergeCell ref="D1:N1"/>
    <mergeCell ref="P1:U1"/>
    <mergeCell ref="C1:C2"/>
  </mergeCells>
  <conditionalFormatting sqref="C5:C13">
    <cfRule type="cellIs" dxfId="7" priority="6" operator="greaterThan">
      <formula>$C3</formula>
    </cfRule>
  </conditionalFormatting>
  <conditionalFormatting sqref="N3:N13">
    <cfRule type="cellIs" dxfId="6" priority="2" operator="greaterThan">
      <formula>C3</formula>
    </cfRule>
  </conditionalFormatting>
  <conditionalFormatting sqref="W3:W13">
    <cfRule type="cellIs" dxfId="5" priority="5" operator="lessThan">
      <formula>V3</formula>
    </cfRule>
  </conditionalFormatting>
  <conditionalFormatting sqref="AB3:AB13">
    <cfRule type="cellIs" dxfId="4" priority="4" operator="greaterThan">
      <formula>C3</formula>
    </cfRule>
  </conditionalFormatting>
  <conditionalFormatting sqref="AC3:AC13">
    <cfRule type="cellIs" dxfId="3" priority="3" operator="greaterThan">
      <formula>C3</formula>
    </cfRule>
  </conditionalFormatting>
  <conditionalFormatting sqref="AE3:AE13">
    <cfRule type="cellIs" dxfId="2" priority="1" operator="greaterThan">
      <formula>C3</formula>
    </cfRule>
  </conditionalFormatting>
  <conditionalFormatting sqref="AE4:AF13">
    <cfRule type="cellIs" dxfId="1" priority="2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134-5A54-4621-A322-4A11D67BD48E}">
  <sheetPr filterMode="1"/>
  <dimension ref="A1:CF138"/>
  <sheetViews>
    <sheetView workbookViewId="0">
      <pane xSplit="4" ySplit="1" topLeftCell="E20" activePane="bottomRight" state="frozen"/>
      <selection pane="bottomRight" activeCell="D138" sqref="D138"/>
      <selection pane="bottomLeft"/>
      <selection pane="topRight"/>
    </sheetView>
  </sheetViews>
  <sheetFormatPr defaultColWidth="9.140625" defaultRowHeight="15" customHeight="1"/>
  <cols>
    <col min="1" max="1" width="7.28515625" style="280" bestFit="1" customWidth="1"/>
    <col min="2" max="2" width="39.140625" style="280" bestFit="1" customWidth="1"/>
    <col min="3" max="3" width="18.42578125" style="280" bestFit="1" customWidth="1"/>
    <col min="4" max="4" width="32.7109375" style="280" bestFit="1" customWidth="1"/>
    <col min="5" max="5" width="13.7109375" style="280" bestFit="1" customWidth="1"/>
    <col min="6" max="6" width="15.7109375" style="280" bestFit="1" customWidth="1"/>
    <col min="7" max="7" width="24.42578125" style="280" customWidth="1"/>
    <col min="8" max="8" width="18.28515625" style="280" customWidth="1"/>
    <col min="9" max="9" width="11.7109375" style="280" customWidth="1"/>
    <col min="10" max="10" width="29.140625" style="280" customWidth="1"/>
    <col min="11" max="11" width="9.140625" style="280" customWidth="1"/>
    <col min="12" max="12" width="11.7109375" style="280" bestFit="1" customWidth="1"/>
    <col min="13" max="13" width="11.7109375" style="280" customWidth="1"/>
    <col min="14" max="14" width="19.42578125" style="280" customWidth="1"/>
    <col min="15" max="15" width="11.7109375" style="280" customWidth="1"/>
    <col min="16" max="16" width="189.140625" style="280" customWidth="1"/>
    <col min="17" max="17" width="14.140625" style="280" bestFit="1" customWidth="1"/>
    <col min="18" max="18" width="11.7109375" style="280" customWidth="1"/>
    <col min="19" max="19" width="45.85546875" style="280" customWidth="1"/>
    <col min="20" max="20" width="14.140625" style="280" customWidth="1"/>
    <col min="21" max="21" width="21.85546875" style="280" customWidth="1"/>
    <col min="22" max="22" width="82.85546875" style="280" bestFit="1" customWidth="1"/>
    <col min="23" max="23" width="11.7109375" style="280" bestFit="1" customWidth="1"/>
    <col min="24" max="24" width="24.85546875" style="280" bestFit="1" customWidth="1"/>
    <col min="25" max="25" width="15.85546875" style="280" bestFit="1" customWidth="1"/>
    <col min="26" max="26" width="11.7109375" style="280" bestFit="1" customWidth="1"/>
    <col min="27" max="27" width="17.42578125" style="280" bestFit="1" customWidth="1"/>
    <col min="28" max="28" width="22.28515625" style="280" bestFit="1" customWidth="1"/>
    <col min="29" max="29" width="14.140625" style="280" bestFit="1" customWidth="1"/>
    <col min="30" max="30" width="10.140625" style="280" bestFit="1" customWidth="1"/>
    <col min="31" max="31" width="17.42578125" style="280" bestFit="1" customWidth="1"/>
    <col min="32" max="32" width="19.85546875" style="280" bestFit="1" customWidth="1"/>
    <col min="33" max="33" width="13.85546875" style="280" bestFit="1" customWidth="1"/>
    <col min="34" max="36" width="11.7109375" style="280" bestFit="1" customWidth="1"/>
    <col min="37" max="37" width="8" style="280" bestFit="1" customWidth="1"/>
    <col min="38" max="38" width="23.140625" style="280" bestFit="1" customWidth="1"/>
    <col min="39" max="39" width="15" style="280" bestFit="1" customWidth="1"/>
    <col min="40" max="40" width="30.140625" style="280" bestFit="1" customWidth="1"/>
    <col min="41" max="41" width="11.42578125" style="280" bestFit="1" customWidth="1"/>
    <col min="42" max="42" width="53.85546875" style="280" bestFit="1" customWidth="1"/>
    <col min="43" max="43" width="16.42578125" style="280" bestFit="1" customWidth="1"/>
    <col min="44" max="44" width="51.42578125" style="280" bestFit="1" customWidth="1"/>
    <col min="45" max="45" width="20.42578125" style="280" bestFit="1" customWidth="1"/>
    <col min="46" max="46" width="143.7109375" style="280" bestFit="1" customWidth="1"/>
    <col min="47" max="47" width="26.140625" style="280" bestFit="1" customWidth="1"/>
    <col min="48" max="48" width="23.85546875" style="280" customWidth="1"/>
    <col min="49" max="49" width="66.42578125" style="280" bestFit="1" customWidth="1"/>
    <col min="50" max="50" width="17.140625" style="280" bestFit="1" customWidth="1"/>
    <col min="51" max="51" width="18.7109375" style="280" bestFit="1" customWidth="1"/>
    <col min="52" max="52" width="24.42578125" style="280" bestFit="1" customWidth="1"/>
    <col min="53" max="53" width="8.85546875" style="280" bestFit="1" customWidth="1"/>
    <col min="54" max="54" width="14.140625" style="280" bestFit="1" customWidth="1"/>
    <col min="55" max="55" width="11.42578125" style="280" bestFit="1" customWidth="1"/>
    <col min="56" max="57" width="14.140625" style="280" bestFit="1" customWidth="1"/>
    <col min="58" max="58" width="13.7109375" style="280" bestFit="1" customWidth="1"/>
    <col min="59" max="59" width="31.140625" style="280" bestFit="1" customWidth="1"/>
    <col min="60" max="60" width="13.7109375" style="280" bestFit="1" customWidth="1"/>
    <col min="61" max="63" width="17.42578125" style="280" bestFit="1" customWidth="1"/>
    <col min="64" max="64" width="61" style="280" bestFit="1" customWidth="1"/>
    <col min="65" max="65" width="17.42578125" style="280" bestFit="1" customWidth="1"/>
    <col min="66" max="66" width="13" style="280" bestFit="1" customWidth="1"/>
    <col min="67" max="67" width="12.42578125" style="280" bestFit="1" customWidth="1"/>
    <col min="68" max="68" width="11.42578125" style="280" bestFit="1" customWidth="1"/>
    <col min="69" max="69" width="34.42578125" style="280" bestFit="1" customWidth="1"/>
    <col min="70" max="70" width="90.42578125" style="280" bestFit="1" customWidth="1"/>
    <col min="71" max="71" width="22.140625" style="280" bestFit="1" customWidth="1"/>
    <col min="72" max="72" width="37.85546875" style="280" bestFit="1" customWidth="1"/>
    <col min="73" max="73" width="57" style="280" bestFit="1" customWidth="1"/>
    <col min="74" max="74" width="31.140625" style="280" customWidth="1"/>
    <col min="75" max="75" width="36.42578125" style="280" bestFit="1" customWidth="1"/>
    <col min="76" max="76" width="29" style="280" bestFit="1" customWidth="1"/>
    <col min="77" max="77" width="47.85546875" style="280" bestFit="1" customWidth="1"/>
    <col min="78" max="78" width="36.140625" style="280" bestFit="1" customWidth="1"/>
    <col min="79" max="79" width="56" style="280" bestFit="1" customWidth="1"/>
    <col min="80" max="80" width="10.42578125" style="280" bestFit="1" customWidth="1"/>
    <col min="81" max="81" width="19.42578125" style="280" bestFit="1" customWidth="1"/>
    <col min="82" max="82" width="36.5703125" style="280" bestFit="1" customWidth="1"/>
    <col min="83" max="83" width="36.7109375" style="280" bestFit="1" customWidth="1"/>
    <col min="84" max="84" width="13.85546875" style="280" bestFit="1" customWidth="1"/>
    <col min="85" max="16384" width="9.140625" style="280"/>
  </cols>
  <sheetData>
    <row r="1" spans="1:84" s="160" customFormat="1" ht="77.25" customHeight="1">
      <c r="A1" s="159" t="s">
        <v>0</v>
      </c>
      <c r="B1" s="159" t="s">
        <v>1</v>
      </c>
      <c r="C1" s="159" t="s">
        <v>2</v>
      </c>
      <c r="D1" s="159" t="s">
        <v>770</v>
      </c>
      <c r="E1" s="159" t="s">
        <v>6</v>
      </c>
      <c r="F1" s="159" t="s">
        <v>7</v>
      </c>
      <c r="G1" s="159" t="s">
        <v>8</v>
      </c>
      <c r="H1" s="159" t="s">
        <v>9</v>
      </c>
      <c r="I1" s="159" t="s">
        <v>10</v>
      </c>
      <c r="J1" s="159" t="s">
        <v>11</v>
      </c>
      <c r="K1" s="159" t="s">
        <v>777</v>
      </c>
      <c r="L1" s="159" t="s">
        <v>771</v>
      </c>
      <c r="M1" s="159" t="s">
        <v>778</v>
      </c>
      <c r="N1" s="159" t="s">
        <v>779</v>
      </c>
      <c r="O1" s="159" t="s">
        <v>780</v>
      </c>
      <c r="P1" s="159" t="s">
        <v>781</v>
      </c>
      <c r="Q1" s="159" t="s">
        <v>782</v>
      </c>
      <c r="R1" s="159" t="s">
        <v>783</v>
      </c>
      <c r="S1" s="159" t="s">
        <v>784</v>
      </c>
      <c r="T1" s="159" t="s">
        <v>785</v>
      </c>
      <c r="U1" s="159" t="s">
        <v>786</v>
      </c>
      <c r="V1" s="159" t="s">
        <v>787</v>
      </c>
      <c r="W1" s="159" t="s">
        <v>788</v>
      </c>
      <c r="X1" s="159" t="s">
        <v>789</v>
      </c>
      <c r="Y1" s="159" t="s">
        <v>790</v>
      </c>
      <c r="Z1" s="159" t="s">
        <v>791</v>
      </c>
      <c r="AA1" s="159" t="s">
        <v>792</v>
      </c>
      <c r="AB1" s="159" t="s">
        <v>793</v>
      </c>
      <c r="AC1" s="159" t="s">
        <v>794</v>
      </c>
      <c r="AD1" s="159" t="s">
        <v>795</v>
      </c>
      <c r="AE1" s="159" t="s">
        <v>796</v>
      </c>
      <c r="AF1" s="159" t="s">
        <v>797</v>
      </c>
      <c r="AG1" s="159" t="s">
        <v>798</v>
      </c>
      <c r="AH1" s="159" t="s">
        <v>799</v>
      </c>
      <c r="AI1" s="159" t="s">
        <v>800</v>
      </c>
      <c r="AJ1" s="159" t="s">
        <v>801</v>
      </c>
      <c r="AK1" s="159" t="s">
        <v>802</v>
      </c>
      <c r="AL1" s="159" t="s">
        <v>803</v>
      </c>
      <c r="AM1" s="159" t="s">
        <v>804</v>
      </c>
      <c r="AN1" s="159" t="s">
        <v>15</v>
      </c>
      <c r="AO1" s="159" t="s">
        <v>805</v>
      </c>
      <c r="AP1" s="159" t="s">
        <v>806</v>
      </c>
      <c r="AQ1" s="159" t="s">
        <v>807</v>
      </c>
      <c r="AR1" s="159" t="s">
        <v>808</v>
      </c>
      <c r="AS1" s="159" t="s">
        <v>17</v>
      </c>
      <c r="AT1" s="159" t="s">
        <v>18</v>
      </c>
      <c r="AU1" s="159" t="s">
        <v>809</v>
      </c>
      <c r="AV1" s="159"/>
      <c r="AW1" s="159" t="s">
        <v>810</v>
      </c>
      <c r="AX1" s="159" t="s">
        <v>811</v>
      </c>
      <c r="AY1" s="159" t="s">
        <v>812</v>
      </c>
      <c r="AZ1" s="159" t="s">
        <v>813</v>
      </c>
      <c r="BA1" s="159" t="s">
        <v>814</v>
      </c>
      <c r="BB1" s="159" t="s">
        <v>815</v>
      </c>
      <c r="BC1" s="159" t="s">
        <v>816</v>
      </c>
      <c r="BD1" s="159" t="s">
        <v>815</v>
      </c>
      <c r="BE1" s="159" t="s">
        <v>817</v>
      </c>
      <c r="BF1" s="159" t="s">
        <v>818</v>
      </c>
      <c r="BG1" s="159" t="s">
        <v>819</v>
      </c>
      <c r="BH1" s="159" t="s">
        <v>820</v>
      </c>
      <c r="BI1" s="159" t="s">
        <v>821</v>
      </c>
      <c r="BJ1" s="159" t="s">
        <v>822</v>
      </c>
      <c r="BK1" s="159" t="s">
        <v>823</v>
      </c>
      <c r="BL1" s="159" t="s">
        <v>824</v>
      </c>
      <c r="BM1" s="159" t="s">
        <v>825</v>
      </c>
      <c r="BN1" s="159" t="s">
        <v>826</v>
      </c>
      <c r="BO1" s="159" t="s">
        <v>827</v>
      </c>
      <c r="BP1" s="159" t="s">
        <v>828</v>
      </c>
      <c r="BQ1" s="159" t="s">
        <v>829</v>
      </c>
      <c r="BR1" s="159" t="s">
        <v>830</v>
      </c>
      <c r="BS1" s="159" t="s">
        <v>831</v>
      </c>
      <c r="BT1" s="159" t="s">
        <v>832</v>
      </c>
      <c r="BU1" s="159" t="s">
        <v>833</v>
      </c>
      <c r="BW1" s="160" t="s">
        <v>834</v>
      </c>
      <c r="BX1" s="160" t="s">
        <v>835</v>
      </c>
      <c r="BY1" s="160" t="s">
        <v>836</v>
      </c>
      <c r="BZ1" s="160" t="s">
        <v>837</v>
      </c>
      <c r="CA1" s="280" t="s">
        <v>838</v>
      </c>
      <c r="CB1" s="160" t="s">
        <v>839</v>
      </c>
      <c r="CC1" s="160" t="s">
        <v>840</v>
      </c>
      <c r="CD1" s="160" t="s">
        <v>841</v>
      </c>
      <c r="CE1" s="160" t="s">
        <v>842</v>
      </c>
      <c r="CF1" s="160" t="s">
        <v>843</v>
      </c>
    </row>
    <row r="2" spans="1:84" ht="21.75" hidden="1" customHeight="1">
      <c r="A2" s="281">
        <v>101</v>
      </c>
      <c r="B2" s="281" t="s">
        <v>71</v>
      </c>
      <c r="C2" s="281" t="s">
        <v>46</v>
      </c>
      <c r="D2" s="281" t="s">
        <v>22</v>
      </c>
      <c r="E2" s="281">
        <v>23990018</v>
      </c>
      <c r="F2" s="291" t="s">
        <v>916</v>
      </c>
      <c r="G2" s="296" t="s">
        <v>72</v>
      </c>
      <c r="H2" s="291" t="s">
        <v>884</v>
      </c>
      <c r="I2" s="295" t="s">
        <v>30</v>
      </c>
      <c r="J2" s="281" t="s">
        <v>73</v>
      </c>
      <c r="K2" s="281" t="s">
        <v>917</v>
      </c>
      <c r="L2" s="281" t="s">
        <v>918</v>
      </c>
      <c r="M2" s="283" t="str">
        <f>IF(L2="NJAD","AA",IF(L2="AA","L",IF(L2="L","LK","GB")))</f>
        <v>AA</v>
      </c>
      <c r="N2" s="282" t="s">
        <v>511</v>
      </c>
      <c r="O2" s="281">
        <v>0</v>
      </c>
      <c r="P2" s="281" t="s">
        <v>30</v>
      </c>
      <c r="Q2" s="284">
        <v>45170</v>
      </c>
      <c r="R2" s="281" t="str">
        <f ca="1">DATEDIF(Q2,TODAY(), "Y") &amp; " Tahun " &amp; DATEDIF(Q2, TODAY(), "YM") &amp; " Bulan"</f>
        <v>2 Tahun 4 Bulan</v>
      </c>
      <c r="S2" s="282" t="s">
        <v>511</v>
      </c>
      <c r="T2" s="282" t="s">
        <v>511</v>
      </c>
      <c r="U2" s="281" t="e">
        <f ca="1">DATEDIF(T2,TODAY(), "Y") &amp; " Tahun " &amp; DATEDIF(T2, TODAY(), "YM") &amp; " Bulan"</f>
        <v>#VALUE!</v>
      </c>
      <c r="V2" s="281" t="s">
        <v>850</v>
      </c>
      <c r="W2" s="281" t="s">
        <v>851</v>
      </c>
      <c r="X2" s="283" t="str">
        <f ca="1">IF(AND(OR(L2="AA",L2="L"),OR(S2="Penata Muda Tk. I Golongan III/b",S2="Penata Golongan III/c"),DATEDIF(Q2,TODAY(),"m")&gt;=23,ISBLANK(Z2),C2="Aktif"),"Nominasi Serdos","-")</f>
        <v>-</v>
      </c>
      <c r="Y2" s="281"/>
      <c r="Z2" s="297"/>
      <c r="AA2" s="297"/>
      <c r="AB2" s="295" t="s">
        <v>30</v>
      </c>
      <c r="AC2" s="297" t="s">
        <v>511</v>
      </c>
      <c r="AD2" s="281" t="s">
        <v>30</v>
      </c>
      <c r="AE2" s="281" t="s">
        <v>30</v>
      </c>
      <c r="AF2" s="281" t="s">
        <v>30</v>
      </c>
      <c r="AG2" s="281" t="s">
        <v>30</v>
      </c>
      <c r="AH2" s="281" t="s">
        <v>854</v>
      </c>
      <c r="AI2" s="295" t="s">
        <v>30</v>
      </c>
      <c r="AJ2" s="295" t="s">
        <v>30</v>
      </c>
      <c r="AK2" s="295" t="s">
        <v>30</v>
      </c>
      <c r="AM2" s="286">
        <v>45170</v>
      </c>
      <c r="AN2" s="287" t="str">
        <f ca="1">DATEDIF(AM2,TODAY(),"y")&amp;" tahun "&amp;DATEDIF(AM2,TODAY(),"ym")&amp;" bulan "</f>
        <v xml:space="preserve">2 tahun 4 bulan </v>
      </c>
      <c r="AO2" s="281" t="s">
        <v>858</v>
      </c>
      <c r="AP2" s="281" t="s">
        <v>859</v>
      </c>
      <c r="AQ2" s="281" t="s">
        <v>919</v>
      </c>
      <c r="AR2" s="281" t="s">
        <v>74</v>
      </c>
      <c r="AS2" s="281">
        <v>81529137179</v>
      </c>
      <c r="AT2" s="281" t="s">
        <v>75</v>
      </c>
      <c r="AU2" s="281" t="s">
        <v>30</v>
      </c>
      <c r="AV2" s="281"/>
      <c r="AW2" s="281" t="str">
        <f>VLOOKUP(B2,Sheet2!A102:I219,9,FALSE)</f>
        <v>Adisya Resti Rahmadanti, S.M., M.A.B.</v>
      </c>
      <c r="AX2" s="281" t="s">
        <v>902</v>
      </c>
      <c r="AY2" s="281" t="str">
        <f>VLOOKUP(B2,Sheet2!A102:C219,2,FALSE)</f>
        <v>Bandung</v>
      </c>
      <c r="AZ2" s="288">
        <f>VLOOKUP(B2,Sheet2!A102:C219,3,FALSE)</f>
        <v>36187</v>
      </c>
      <c r="BA2" s="281">
        <f ca="1">DATEDIF(AZ2, TODAY(),"y")</f>
        <v>26</v>
      </c>
      <c r="BB2" s="281"/>
      <c r="BC2" s="281"/>
      <c r="BD2" s="281"/>
      <c r="BE2" s="295"/>
      <c r="BF2" s="289"/>
      <c r="BG2" s="289"/>
      <c r="BH2" s="289"/>
      <c r="BI2" s="289"/>
      <c r="BJ2" s="289"/>
      <c r="BK2" s="289"/>
      <c r="BL2" s="288" t="str">
        <f>VLOOKUP(B2,Sheet2!A102:D219,4,FALSE)</f>
        <v>Dosen</v>
      </c>
      <c r="BM2" s="281"/>
      <c r="BN2" s="281"/>
      <c r="BO2" s="281"/>
      <c r="BP2" s="281"/>
      <c r="BQ2" s="281"/>
      <c r="BR2" s="288" t="str">
        <f>VLOOKUP(B2,Sheet2!A102:E219,5,FALSE)</f>
        <v>Strategy, Human, Entrepreneurship &amp; Economy (SHEE)</v>
      </c>
      <c r="BS2" s="288" t="str">
        <f>VLOOKUP(B2,Sheet2!A102:F219,6,FALSE)</f>
        <v>NTI</v>
      </c>
      <c r="BT2" s="288" t="str">
        <f>VLOOKUP(B2,Sheet2!A102:G219,7,FALSE)</f>
        <v>Fakultas Ekonomi dan Bisnis</v>
      </c>
      <c r="BU2" s="288" t="str">
        <f>VLOOKUP(B2,Sheet2!A102:H219,8,FALSE)</f>
        <v>adisyaresti@telkomuniversity.ac.id</v>
      </c>
      <c r="BV2" s="280">
        <f>COUNTIFS('Join TPA Dosen'!B:B,'Dosen sorted'!B102)</f>
        <v>1</v>
      </c>
      <c r="BW2" s="273" t="str">
        <f>DATEDIF(AM2,DATE(2026,1,1),"y")&amp;" tahun "&amp;DATEDIF(AM2,DATE(2026,1,1),"ym")&amp;" bulan "</f>
        <v xml:space="preserve">2 tahun 4 bulan </v>
      </c>
      <c r="BX2" s="280" t="str">
        <f>VLOOKUP($B2,Sheet1!$A:$G,2,FALSE)</f>
        <v>ITS</v>
      </c>
      <c r="BY2" s="280" t="str">
        <f>VLOOKUP($B2,Sheet1!$A:$G,3,FALSE)</f>
        <v>Manajemen Bisnis</v>
      </c>
      <c r="BZ2" s="280" t="str">
        <f>VLOOKUP($B2,Sheet1!$A:$G,4,FALSE)</f>
        <v>ITB</v>
      </c>
      <c r="CA2" s="280" t="str">
        <f>VLOOKUP($B2,Sheet1!$A:$G,5,FALSE)</f>
        <v>Administrasi Bisnis</v>
      </c>
      <c r="CB2" s="280" t="str">
        <f>VLOOKUP($B2,Sheet1!$A:$G,6,FALSE)</f>
        <v>-</v>
      </c>
      <c r="CC2" s="280">
        <f>VLOOKUP($B2,Sheet1!$A:$G,7,FALSE)</f>
        <v>0</v>
      </c>
      <c r="CD2" s="280" t="e">
        <v>#N/A</v>
      </c>
      <c r="CE2" s="280" t="e">
        <v>#N/A</v>
      </c>
    </row>
    <row r="3" spans="1:84" ht="19.5" hidden="1">
      <c r="A3" s="281">
        <v>78</v>
      </c>
      <c r="B3" s="281" t="s">
        <v>60</v>
      </c>
      <c r="C3" s="281" t="s">
        <v>20</v>
      </c>
      <c r="D3" s="281" t="s">
        <v>22</v>
      </c>
      <c r="E3" s="281">
        <v>15720039</v>
      </c>
      <c r="F3" s="294" t="s">
        <v>61</v>
      </c>
      <c r="G3" s="294" t="s">
        <v>62</v>
      </c>
      <c r="H3" s="281" t="s">
        <v>989</v>
      </c>
      <c r="I3" s="281" t="s">
        <v>30</v>
      </c>
      <c r="J3" s="281" t="s">
        <v>63</v>
      </c>
      <c r="K3" s="281" t="s">
        <v>846</v>
      </c>
      <c r="L3" s="281" t="s">
        <v>847</v>
      </c>
      <c r="M3" s="283" t="str">
        <f>IF(L3="NJAD","AA",IF(L3="AA","L",IF(L3="L","LK","GB")))</f>
        <v>L</v>
      </c>
      <c r="N3" s="282" t="s">
        <v>511</v>
      </c>
      <c r="O3" s="281">
        <v>150</v>
      </c>
      <c r="P3" s="281" t="s">
        <v>1135</v>
      </c>
      <c r="Q3" s="284">
        <v>45962</v>
      </c>
      <c r="R3" s="281" t="str">
        <f ca="1">DATEDIF(Q3,TODAY(), "Y") &amp; " Tahun " &amp; DATEDIF(Q3, TODAY(), "YM") &amp; " Bulan"</f>
        <v>0 Tahun 2 Bulan</v>
      </c>
      <c r="S3" s="282" t="s">
        <v>511</v>
      </c>
      <c r="T3" s="282" t="s">
        <v>511</v>
      </c>
      <c r="U3" s="281" t="e">
        <f ca="1">DATEDIF(T3,TODAY(), "Y") &amp; " Tahun " &amp; DATEDIF(T3, TODAY(), "YM") &amp; " Bulan"</f>
        <v>#VALUE!</v>
      </c>
      <c r="V3" s="281" t="s">
        <v>1136</v>
      </c>
      <c r="W3" s="281" t="s">
        <v>851</v>
      </c>
      <c r="X3" s="283" t="str">
        <f ca="1">IF(AND(OR(L3="AA",L3="L"),OR(S3="Penata Muda Tk. I Golongan III/b",S3="Penata Golongan III/c"),DATEDIF(Q3,TODAY(),"m")&gt;=23,ISBLANK(Z3),C3="Aktif"),"Nominasi Serdos","-")</f>
        <v>-</v>
      </c>
      <c r="Y3" s="281"/>
      <c r="Z3" s="282"/>
      <c r="AA3" s="281"/>
      <c r="AB3" s="281" t="s">
        <v>30</v>
      </c>
      <c r="AC3" s="281" t="s">
        <v>30</v>
      </c>
      <c r="AD3" s="281" t="s">
        <v>30</v>
      </c>
      <c r="AE3" s="281" t="s">
        <v>30</v>
      </c>
      <c r="AF3" s="281" t="s">
        <v>30</v>
      </c>
      <c r="AG3" s="281" t="s">
        <v>30</v>
      </c>
      <c r="AH3" s="281" t="s">
        <v>854</v>
      </c>
      <c r="AI3" s="281" t="s">
        <v>30</v>
      </c>
      <c r="AJ3" s="281" t="s">
        <v>30</v>
      </c>
      <c r="AK3" s="281" t="s">
        <v>30</v>
      </c>
      <c r="AM3" s="286">
        <v>44562</v>
      </c>
      <c r="AN3" s="287" t="str">
        <f ca="1">DATEDIF(AM3,TODAY(),"y")&amp;" tahun "&amp;DATEDIF(AM3,TODAY(),"ym")&amp;" bulan "</f>
        <v xml:space="preserve">4 tahun 0 bulan </v>
      </c>
      <c r="AO3" s="281" t="s">
        <v>858</v>
      </c>
      <c r="AP3" s="281" t="s">
        <v>859</v>
      </c>
      <c r="AQ3" s="281" t="s">
        <v>1137</v>
      </c>
      <c r="AR3" s="281" t="s">
        <v>64</v>
      </c>
      <c r="AS3" s="281">
        <v>81334395366</v>
      </c>
      <c r="AT3" s="281" t="s">
        <v>65</v>
      </c>
      <c r="AU3" s="281"/>
      <c r="AV3" s="281"/>
      <c r="AW3" s="281" t="str">
        <f>VLOOKUP(B3,Sheet2!A79:I196,9,FALSE)</f>
        <v>Agoes Windarto, S.T., M.M.</v>
      </c>
      <c r="AX3" s="281" t="s">
        <v>861</v>
      </c>
      <c r="AY3" s="281" t="str">
        <f>VLOOKUP(B3,Sheet2!A79:C196,2,FALSE)</f>
        <v>Cilacap</v>
      </c>
      <c r="AZ3" s="288">
        <f>VLOOKUP(B3,Sheet2!A79:C196,3,FALSE)</f>
        <v>26517</v>
      </c>
      <c r="BA3" s="281">
        <f ca="1">DATEDIF(AZ3, TODAY(),"y")</f>
        <v>53</v>
      </c>
      <c r="BB3" s="281"/>
      <c r="BC3" s="281"/>
      <c r="BD3" s="281"/>
      <c r="BE3" s="281"/>
      <c r="BF3" s="289"/>
      <c r="BG3" s="289"/>
      <c r="BH3" s="289"/>
      <c r="BI3" s="289"/>
      <c r="BJ3" s="289"/>
      <c r="BK3" s="289"/>
      <c r="BL3" s="288" t="s">
        <v>1138</v>
      </c>
      <c r="BM3" s="281"/>
      <c r="BN3" s="286"/>
      <c r="BO3" s="281"/>
      <c r="BP3" s="281"/>
      <c r="BQ3" s="281"/>
      <c r="BR3" s="288" t="str">
        <f>VLOOKUP(B3,Sheet2!A79:E196,5,FALSE)</f>
        <v>Strategy, Human, Entrepreneurship &amp; Economy (SHEE)</v>
      </c>
      <c r="BS3" s="288" t="str">
        <f>VLOOKUP(B3,Sheet2!A79:F196,6,FALSE)</f>
        <v>AWX</v>
      </c>
      <c r="BT3" s="288" t="str">
        <f>VLOOKUP(B3,Sheet2!A79:G196,7,FALSE)</f>
        <v>Fakultas Ekonomi dan Bisnis</v>
      </c>
      <c r="BU3" s="288" t="str">
        <f>VLOOKUP(B3,Sheet2!A79:H196,8,FALSE)</f>
        <v>agoeswindarto@telkomuniversity.ac.id</v>
      </c>
      <c r="BV3" s="280">
        <f>COUNTIFS('Join TPA Dosen'!B:B,'Dosen sorted'!B79)</f>
        <v>1</v>
      </c>
      <c r="BW3" s="273" t="str">
        <f>DATEDIF(AM3,DATE(2026,1,1),"y")&amp;" tahun "&amp;DATEDIF(AM3,DATE(2026,1,1),"ym")&amp;" bulan "</f>
        <v xml:space="preserve">4 tahun 0 bulan </v>
      </c>
      <c r="BX3" s="280" t="str">
        <f>VLOOKUP($B3,Sheet1!$A:$G,2,FALSE)</f>
        <v>STT Telkom</v>
      </c>
      <c r="BY3" s="280" t="str">
        <f>VLOOKUP($B3,Sheet1!$A:$G,3,FALSE)</f>
        <v>Teknik Elektro/Teknik Telekomunikasi</v>
      </c>
      <c r="BZ3" s="280" t="str">
        <f>VLOOKUP($B3,Sheet1!$A:$G,4,FALSE)</f>
        <v>UMM</v>
      </c>
      <c r="CA3" s="280" t="str">
        <f>VLOOKUP($B3,Sheet1!$A:$G,5,FALSE)</f>
        <v>Manajemen</v>
      </c>
      <c r="CB3" s="280" t="str">
        <f>VLOOKUP($B3,Sheet1!$A:$G,6,FALSE)</f>
        <v>-</v>
      </c>
      <c r="CC3" s="280">
        <f>VLOOKUP($B3,Sheet1!$A:$G,7,FALSE)</f>
        <v>0</v>
      </c>
      <c r="CD3" s="280" t="s">
        <v>871</v>
      </c>
      <c r="CE3" s="280" t="s">
        <v>863</v>
      </c>
    </row>
    <row r="4" spans="1:84" ht="19.5" hidden="1">
      <c r="A4" s="281">
        <v>120</v>
      </c>
      <c r="B4" s="281" t="s">
        <v>89</v>
      </c>
      <c r="C4" s="281" t="s">
        <v>20</v>
      </c>
      <c r="D4" s="281" t="s">
        <v>22</v>
      </c>
      <c r="E4" s="281">
        <v>25950003</v>
      </c>
      <c r="F4" s="291"/>
      <c r="G4" s="291" t="s">
        <v>90</v>
      </c>
      <c r="H4" s="291" t="s">
        <v>884</v>
      </c>
      <c r="I4" s="281"/>
      <c r="J4" s="281" t="s">
        <v>91</v>
      </c>
      <c r="K4" s="281" t="s">
        <v>917</v>
      </c>
      <c r="L4" s="281" t="s">
        <v>918</v>
      </c>
      <c r="M4" s="283" t="str">
        <f>IF(L4="NJAD","AA",IF(L4="AA","L",IF(L4="L","LK","GB")))</f>
        <v>AA</v>
      </c>
      <c r="N4" s="282" t="s">
        <v>511</v>
      </c>
      <c r="O4" s="281">
        <v>0</v>
      </c>
      <c r="P4" s="281"/>
      <c r="Q4" s="284">
        <v>45689</v>
      </c>
      <c r="R4" s="281" t="str">
        <f ca="1">DATEDIF(Q4,TODAY(), "Y") &amp; " Tahun " &amp; DATEDIF(Q4, TODAY(), "YM") &amp; " Bulan"</f>
        <v>0 Tahun 11 Bulan</v>
      </c>
      <c r="S4" s="282" t="s">
        <v>511</v>
      </c>
      <c r="T4" s="282" t="s">
        <v>511</v>
      </c>
      <c r="U4" s="281" t="e">
        <f ca="1">DATEDIF(T4,TODAY(), "Y") &amp; " Tahun " &amp; DATEDIF(T4, TODAY(), "YM") &amp; " Bulan"</f>
        <v>#VALUE!</v>
      </c>
      <c r="V4" s="281" t="s">
        <v>850</v>
      </c>
      <c r="W4" s="281" t="s">
        <v>851</v>
      </c>
      <c r="X4" s="283" t="str">
        <f ca="1">IF(AND(OR(L4="AA",L4="L"),OR(S4="Penata Muda Tk. I Golongan III/b",S4="Penata Golongan III/c"),DATEDIF(Q4,TODAY(),"m")&gt;=23,ISBLANK(Z4),C4="Aktif"),"Nominasi Serdos","-")</f>
        <v>-</v>
      </c>
      <c r="Y4" s="281"/>
      <c r="Z4" s="295" t="s">
        <v>30</v>
      </c>
      <c r="AA4" s="295" t="s">
        <v>30</v>
      </c>
      <c r="AB4" s="295" t="s">
        <v>30</v>
      </c>
      <c r="AC4" s="295" t="s">
        <v>30</v>
      </c>
      <c r="AD4" s="281" t="s">
        <v>30</v>
      </c>
      <c r="AE4" s="281" t="s">
        <v>30</v>
      </c>
      <c r="AF4" s="281" t="s">
        <v>30</v>
      </c>
      <c r="AG4" s="281" t="s">
        <v>30</v>
      </c>
      <c r="AH4" s="281" t="s">
        <v>854</v>
      </c>
      <c r="AI4" s="281" t="s">
        <v>30</v>
      </c>
      <c r="AJ4" s="281" t="s">
        <v>30</v>
      </c>
      <c r="AK4" s="281" t="s">
        <v>30</v>
      </c>
      <c r="AM4" s="286">
        <v>45689</v>
      </c>
      <c r="AN4" s="287" t="str">
        <f ca="1">DATEDIF(AM4,TODAY(),"y")&amp;" tahun "&amp;DATEDIF(AM4,TODAY(),"ym")&amp;" bulan "</f>
        <v xml:space="preserve">0 tahun 11 bulan </v>
      </c>
      <c r="AO4" s="281" t="s">
        <v>858</v>
      </c>
      <c r="AP4" s="281" t="s">
        <v>859</v>
      </c>
      <c r="AQ4" s="281" t="s">
        <v>1306</v>
      </c>
      <c r="AR4" s="281" t="s">
        <v>92</v>
      </c>
      <c r="AS4" s="281">
        <v>81233838309</v>
      </c>
      <c r="AT4" s="281" t="s">
        <v>93</v>
      </c>
      <c r="AU4" s="281" t="s">
        <v>30</v>
      </c>
      <c r="AV4" s="281"/>
      <c r="AW4" s="281" t="s">
        <v>1307</v>
      </c>
      <c r="AX4" s="281" t="s">
        <v>902</v>
      </c>
      <c r="AY4" s="281" t="s">
        <v>1308</v>
      </c>
      <c r="AZ4" s="288">
        <v>34743</v>
      </c>
      <c r="BA4" s="281">
        <f ca="1">DATEDIF(AZ4, TODAY(),"y")</f>
        <v>30</v>
      </c>
      <c r="BB4" s="281"/>
      <c r="BC4" s="281"/>
      <c r="BD4" s="281"/>
      <c r="BE4" s="295"/>
      <c r="BF4" s="289"/>
      <c r="BG4" s="289"/>
      <c r="BH4" s="289"/>
      <c r="BI4" s="289"/>
      <c r="BJ4" s="289"/>
      <c r="BK4" s="289"/>
      <c r="BL4" s="288" t="s">
        <v>21</v>
      </c>
      <c r="BM4" s="281"/>
      <c r="BN4" s="286"/>
      <c r="BO4" s="281"/>
      <c r="BP4" s="281"/>
      <c r="BQ4" s="281"/>
      <c r="BR4" s="288" t="e">
        <f>VLOOKUP(B4,Sheet2!A121:E238,5,FALSE)</f>
        <v>#N/A</v>
      </c>
      <c r="BS4" s="288" t="s">
        <v>1306</v>
      </c>
      <c r="BT4" s="288" t="s">
        <v>944</v>
      </c>
      <c r="BU4" s="298" t="s">
        <v>1309</v>
      </c>
      <c r="BV4" s="280">
        <f>COUNTIFS('Join TPA Dosen'!B:B,'Dosen sorted'!B121)</f>
        <v>1</v>
      </c>
      <c r="BW4" s="273" t="str">
        <f>DATEDIF(AM4,DATE(2026,1,1),"y")&amp;" tahun "&amp;DATEDIF(AM4,DATE(2026,1,1),"ym")&amp;" bulan "</f>
        <v xml:space="preserve">0 tahun 11 bulan </v>
      </c>
      <c r="BX4" s="280" t="e">
        <f>VLOOKUP($B4,Sheet1!$A:$G,2,FALSE)</f>
        <v>#N/A</v>
      </c>
      <c r="BY4" s="280" t="e">
        <f>VLOOKUP($B4,Sheet1!$A:$G,3,FALSE)</f>
        <v>#N/A</v>
      </c>
      <c r="BZ4" s="280" t="e">
        <f>VLOOKUP($B4,Sheet1!$A:$G,4,FALSE)</f>
        <v>#N/A</v>
      </c>
      <c r="CA4" s="280" t="e">
        <f>VLOOKUP($B4,Sheet1!$A:$G,5,FALSE)</f>
        <v>#N/A</v>
      </c>
      <c r="CB4" s="280" t="e">
        <f>VLOOKUP($B4,Sheet1!$A:$G,6,FALSE)</f>
        <v>#N/A</v>
      </c>
      <c r="CC4" s="280" t="e">
        <f>VLOOKUP($B4,Sheet1!$A:$G,7,FALSE)</f>
        <v>#N/A</v>
      </c>
      <c r="CD4" s="280" t="s">
        <v>871</v>
      </c>
      <c r="CE4" s="280" t="s">
        <v>863</v>
      </c>
    </row>
    <row r="5" spans="1:84" ht="19.5" hidden="1">
      <c r="A5" s="281">
        <v>118</v>
      </c>
      <c r="B5" s="281" t="s">
        <v>19</v>
      </c>
      <c r="C5" s="281" t="s">
        <v>20</v>
      </c>
      <c r="D5" s="281" t="s">
        <v>22</v>
      </c>
      <c r="E5" s="281">
        <v>24800005</v>
      </c>
      <c r="F5" s="291" t="s">
        <v>1288</v>
      </c>
      <c r="G5" s="291" t="s">
        <v>23</v>
      </c>
      <c r="H5" s="291" t="s">
        <v>884</v>
      </c>
      <c r="I5" s="281" t="s">
        <v>24</v>
      </c>
      <c r="J5" s="281" t="s">
        <v>25</v>
      </c>
      <c r="K5" s="281" t="s">
        <v>874</v>
      </c>
      <c r="L5" s="281" t="s">
        <v>775</v>
      </c>
      <c r="M5" s="283" t="str">
        <f>IF(L5="NJAD","AA",IF(L5="AA","L",IF(L5="L","LK","GB")))</f>
        <v>LK</v>
      </c>
      <c r="N5" s="282" t="s">
        <v>511</v>
      </c>
      <c r="O5" s="281">
        <v>200</v>
      </c>
      <c r="P5" s="281" t="s">
        <v>1289</v>
      </c>
      <c r="Q5" s="284">
        <v>44090</v>
      </c>
      <c r="R5" s="281" t="str">
        <f ca="1">DATEDIF(Q5,TODAY(), "Y") &amp; " Tahun " &amp; DATEDIF(Q5, TODAY(), "YM") &amp; " Bulan"</f>
        <v>5 Tahun 4 Bulan</v>
      </c>
      <c r="S5" s="281" t="s">
        <v>876</v>
      </c>
      <c r="T5" s="285">
        <v>44197</v>
      </c>
      <c r="U5" s="281" t="str">
        <f ca="1">DATEDIF(T5,TODAY(), "Y") &amp; " Tahun " &amp; DATEDIF(T5, TODAY(), "YM") &amp; " Bulan"</f>
        <v>5 Tahun 0 Bulan</v>
      </c>
      <c r="V5" s="281" t="s">
        <v>850</v>
      </c>
      <c r="W5" s="281" t="s">
        <v>851</v>
      </c>
      <c r="X5" s="283" t="str">
        <f ca="1">IF(AND(OR(L5="AA",L5="L"),OR(S5="Penata Muda Tk. I Golongan III/b",S5="Penata Golongan III/c"),DATEDIF(Q5,TODAY(),"m")&gt;=23,ISBLANK(Z5),C5="Aktif"),"Nominasi Serdos","-")</f>
        <v>-</v>
      </c>
      <c r="Y5" s="281"/>
      <c r="Z5" s="295" t="s">
        <v>852</v>
      </c>
      <c r="AA5" s="295">
        <v>17107107203040</v>
      </c>
      <c r="AB5" s="295" t="s">
        <v>1290</v>
      </c>
      <c r="AC5" s="285">
        <v>42934</v>
      </c>
      <c r="AD5" s="281" t="s">
        <v>30</v>
      </c>
      <c r="AE5" s="281" t="s">
        <v>30</v>
      </c>
      <c r="AF5" s="281" t="s">
        <v>30</v>
      </c>
      <c r="AG5" s="281" t="s">
        <v>30</v>
      </c>
      <c r="AH5" s="281" t="s">
        <v>879</v>
      </c>
      <c r="AI5" s="281" t="s">
        <v>30</v>
      </c>
      <c r="AJ5" s="281" t="s">
        <v>30</v>
      </c>
      <c r="AK5" s="281" t="s">
        <v>30</v>
      </c>
      <c r="AM5" s="286">
        <v>45544</v>
      </c>
      <c r="AN5" s="287" t="str">
        <f ca="1">DATEDIF(AM5,TODAY(),"y")&amp;" tahun "&amp;DATEDIF(AM5,TODAY(),"ym")&amp;" bulan "</f>
        <v xml:space="preserve">1 tahun 4 bulan </v>
      </c>
      <c r="AO5" s="281" t="s">
        <v>858</v>
      </c>
      <c r="AP5" s="281" t="s">
        <v>859</v>
      </c>
      <c r="AQ5" s="281" t="s">
        <v>30</v>
      </c>
      <c r="AR5" s="281" t="s">
        <v>26</v>
      </c>
      <c r="AS5" s="281">
        <v>85235684085</v>
      </c>
      <c r="AT5" s="281" t="s">
        <v>27</v>
      </c>
      <c r="AU5" s="281" t="s">
        <v>30</v>
      </c>
      <c r="AV5" s="281"/>
      <c r="AW5" s="281" t="str">
        <f>VLOOKUP(B5,Sheet2!A119:I236,9,FALSE)</f>
        <v>Dr.M. Bambang Agus Sumantri, S.IP., M.M.</v>
      </c>
      <c r="AX5" s="281" t="s">
        <v>861</v>
      </c>
      <c r="AY5" s="281" t="str">
        <f>VLOOKUP(B5,Sheet2!A119:C236,2,FALSE)</f>
        <v>Kediri</v>
      </c>
      <c r="AZ5" s="288">
        <f>VLOOKUP(B5,Sheet2!A119:C236,3,FALSE)</f>
        <v>29463</v>
      </c>
      <c r="BA5" s="281">
        <f ca="1">DATEDIF(AZ5, TODAY(),"y")</f>
        <v>45</v>
      </c>
      <c r="BB5" s="281"/>
      <c r="BC5" s="281"/>
      <c r="BD5" s="281"/>
      <c r="BE5" s="295"/>
      <c r="BF5" s="289"/>
      <c r="BG5" s="289"/>
      <c r="BH5" s="289"/>
      <c r="BI5" s="289"/>
      <c r="BJ5" s="289"/>
      <c r="BK5" s="289"/>
      <c r="BL5" s="288" t="str">
        <f>VLOOKUP(B5,Sheet2!A119:D236,4,FALSE)</f>
        <v>Dosen</v>
      </c>
      <c r="BM5" s="281"/>
      <c r="BN5" s="286"/>
      <c r="BO5" s="281"/>
      <c r="BP5" s="281"/>
      <c r="BQ5" s="281"/>
      <c r="BR5" s="288"/>
      <c r="BS5" s="288" t="str">
        <f>VLOOKUP(B5,Sheet2!A119:F236,6,FALSE)</f>
        <v>BSG</v>
      </c>
      <c r="BT5" s="288" t="str">
        <f>VLOOKUP(B5,Sheet2!A119:G236,7,FALSE)</f>
        <v>Fakultas Ekonomi dan Bisnis</v>
      </c>
      <c r="BU5" s="288" t="str">
        <f>VLOOKUP(B5,Sheet2!A119:H236,8,FALSE)</f>
        <v>bambangagussumantri@telkomuniversity.ac.id</v>
      </c>
      <c r="BV5" s="280">
        <f>COUNTIFS('Join TPA Dosen'!B:B,'Dosen sorted'!B7)</f>
        <v>1</v>
      </c>
      <c r="BW5" s="273" t="str">
        <f>DATEDIF(AM5,DATE(2026,1,1),"y")&amp;" tahun "&amp;DATEDIF(AM5,DATE(2026,1,1),"ym")&amp;" bulan "</f>
        <v xml:space="preserve">1 tahun 3 bulan </v>
      </c>
      <c r="BX5" s="280">
        <f>VLOOKUP($B5,Sheet1!$A:$G,2,FALSE)</f>
        <v>0</v>
      </c>
      <c r="BY5" s="280">
        <f>VLOOKUP($B5,Sheet1!$A:$G,3,FALSE)</f>
        <v>0</v>
      </c>
      <c r="BZ5" s="280">
        <f>VLOOKUP($B5,Sheet1!$A:$G,4,FALSE)</f>
        <v>0</v>
      </c>
      <c r="CA5" s="280">
        <f>VLOOKUP($B5,Sheet1!$A:$G,5,FALSE)</f>
        <v>0</v>
      </c>
      <c r="CB5" s="280" t="str">
        <f>VLOOKUP($B5,Sheet1!$A:$G,6,FALSE)</f>
        <v>Universitas Jenderal Soedirman</v>
      </c>
      <c r="CC5" s="280" t="str">
        <f>VLOOKUP($B5,Sheet1!$A:$G,7,FALSE)</f>
        <v>Ilmu Manajemen</v>
      </c>
      <c r="CD5" s="280" t="s">
        <v>871</v>
      </c>
      <c r="CE5" s="280" t="s">
        <v>863</v>
      </c>
    </row>
    <row r="6" spans="1:84" ht="19.5" hidden="1">
      <c r="A6" s="281">
        <v>72</v>
      </c>
      <c r="B6" s="281" t="s">
        <v>50</v>
      </c>
      <c r="C6" s="281" t="s">
        <v>20</v>
      </c>
      <c r="D6" s="281" t="s">
        <v>22</v>
      </c>
      <c r="E6" s="281">
        <v>15890076</v>
      </c>
      <c r="F6" s="281" t="s">
        <v>1097</v>
      </c>
      <c r="G6" s="282" t="s">
        <v>51</v>
      </c>
      <c r="H6" s="281" t="s">
        <v>845</v>
      </c>
      <c r="I6" s="281" t="s">
        <v>30</v>
      </c>
      <c r="J6" s="281" t="s">
        <v>52</v>
      </c>
      <c r="K6" s="281" t="s">
        <v>846</v>
      </c>
      <c r="L6" s="281" t="s">
        <v>847</v>
      </c>
      <c r="M6" s="283" t="str">
        <f>IF(L6="NJAD","AA",IF(L6="AA","L",IF(L6="L","LK","GB")))</f>
        <v>L</v>
      </c>
      <c r="N6" s="282" t="s">
        <v>511</v>
      </c>
      <c r="O6" s="281">
        <v>150</v>
      </c>
      <c r="P6" s="281" t="s">
        <v>1098</v>
      </c>
      <c r="Q6" s="284">
        <v>45444</v>
      </c>
      <c r="R6" s="281" t="str">
        <f ca="1">DATEDIF(Q6,TODAY(), "Y") &amp; " Tahun " &amp; DATEDIF(Q6, TODAY(), "YM") &amp; " Bulan"</f>
        <v>1 Tahun 7 Bulan</v>
      </c>
      <c r="S6" s="281" t="s">
        <v>849</v>
      </c>
      <c r="T6" s="285">
        <v>45717</v>
      </c>
      <c r="U6" s="281" t="str">
        <f ca="1">DATEDIF(T6,TODAY(), "Y") &amp; " Tahun " &amp; DATEDIF(T6, TODAY(), "YM") &amp; " Bulan"</f>
        <v>0 Tahun 10 Bulan</v>
      </c>
      <c r="V6" s="281" t="s">
        <v>1099</v>
      </c>
      <c r="W6" s="281" t="s">
        <v>851</v>
      </c>
      <c r="X6" s="283" t="str">
        <f ca="1">IF(AND(OR(L6="AA",L6="L"),OR(S6="Penata Muda Tk. I Golongan III/b",S6="Penata Golongan III/c"),DATEDIF(Q6,TODAY(),"m")&gt;=23,ISBLANK(Z6),C6="Aktif"),"Nominasi Serdos","-")</f>
        <v>-</v>
      </c>
      <c r="Y6" s="281"/>
      <c r="Z6" s="282"/>
      <c r="AA6" s="281"/>
      <c r="AB6" s="281" t="s">
        <v>30</v>
      </c>
      <c r="AC6" s="282" t="s">
        <v>511</v>
      </c>
      <c r="AD6" s="281" t="s">
        <v>30</v>
      </c>
      <c r="AE6" s="281" t="s">
        <v>30</v>
      </c>
      <c r="AF6" s="281" t="s">
        <v>30</v>
      </c>
      <c r="AG6" s="281" t="s">
        <v>30</v>
      </c>
      <c r="AH6" s="281" t="s">
        <v>854</v>
      </c>
      <c r="AI6" s="281" t="s">
        <v>30</v>
      </c>
      <c r="AJ6" s="281" t="s">
        <v>30</v>
      </c>
      <c r="AK6" s="281" t="s">
        <v>30</v>
      </c>
      <c r="AM6" s="286">
        <v>44652</v>
      </c>
      <c r="AN6" s="287" t="str">
        <f ca="1">DATEDIF(AM6,TODAY(),"y")&amp;" tahun "&amp;DATEDIF(AM6,TODAY(),"ym")&amp;" bulan "</f>
        <v xml:space="preserve">3 tahun 9 bulan </v>
      </c>
      <c r="AO6" s="281" t="s">
        <v>858</v>
      </c>
      <c r="AP6" s="281" t="s">
        <v>859</v>
      </c>
      <c r="AQ6" s="281" t="s">
        <v>1100</v>
      </c>
      <c r="AR6" s="281" t="s">
        <v>53</v>
      </c>
      <c r="AS6" s="281">
        <v>81214806006</v>
      </c>
      <c r="AT6" s="281" t="s">
        <v>54</v>
      </c>
      <c r="AU6" s="281" t="s">
        <v>30</v>
      </c>
      <c r="AV6" s="281"/>
      <c r="AW6" s="281" t="str">
        <f>VLOOKUP(B6,Sheet2!A73:I190,9,FALSE)</f>
        <v>Caesareano Lafado Yesa, S.M.B., M.M.</v>
      </c>
      <c r="AX6" s="281" t="s">
        <v>861</v>
      </c>
      <c r="AY6" s="281" t="str">
        <f>VLOOKUP(B6,Sheet2!A73:C190,2,FALSE)</f>
        <v>Jakarta</v>
      </c>
      <c r="AZ6" s="288">
        <f>VLOOKUP(B6,Sheet2!A73:C190,3,FALSE)</f>
        <v>32850</v>
      </c>
      <c r="BA6" s="281">
        <f ca="1">DATEDIF(AZ6, TODAY(),"y")</f>
        <v>36</v>
      </c>
      <c r="BB6" s="281"/>
      <c r="BC6" s="281"/>
      <c r="BD6" s="281"/>
      <c r="BE6" s="281"/>
      <c r="BF6" s="289"/>
      <c r="BG6" s="289"/>
      <c r="BH6" s="289"/>
      <c r="BI6" s="289"/>
      <c r="BJ6" s="289"/>
      <c r="BK6" s="289"/>
      <c r="BL6" s="288" t="str">
        <f>VLOOKUP(B6,Sheet2!A73:D190,4,FALSE)</f>
        <v>Kaprodi</v>
      </c>
      <c r="BM6" s="281"/>
      <c r="BN6" s="286"/>
      <c r="BO6" s="281"/>
      <c r="BP6" s="281"/>
      <c r="BQ6" s="281"/>
      <c r="BR6" s="288" t="str">
        <f>VLOOKUP(B6,Sheet2!A73:E190,5,FALSE)</f>
        <v>ICT Business Management (IBM)</v>
      </c>
      <c r="BS6" s="288" t="str">
        <f>VLOOKUP(B6,Sheet2!A73:F190,6,FALSE)</f>
        <v>CNO</v>
      </c>
      <c r="BT6" s="288" t="str">
        <f>VLOOKUP(B6,Sheet2!A73:G190,7,FALSE)</f>
        <v>Fakultas Ekonomi dan Bisnis</v>
      </c>
      <c r="BU6" s="288" t="str">
        <f>VLOOKUP(B6,Sheet2!A73:H190,8,FALSE)</f>
        <v>anofado@telkomuniversity.ac.id</v>
      </c>
      <c r="BV6" s="280">
        <f>COUNTIFS('Join TPA Dosen'!B:B,'Dosen sorted'!B73)</f>
        <v>1</v>
      </c>
      <c r="BW6" s="273" t="str">
        <f>DATEDIF(AM6,DATE(2026,1,1),"y")&amp;" tahun "&amp;DATEDIF(AM6,DATE(2026,1,1),"ym")&amp;" bulan "</f>
        <v xml:space="preserve">3 tahun 9 bulan </v>
      </c>
      <c r="BX6" s="280" t="str">
        <f>VLOOKUP($B6,Sheet1!$A:$G,2,FALSE)</f>
        <v>Tel-U</v>
      </c>
      <c r="BY6" s="280" t="str">
        <f>VLOOKUP($B6,Sheet1!$A:$G,3,FALSE)</f>
        <v>Manajemen Bisnis Telekomunikasi dan Informatika</v>
      </c>
      <c r="BZ6" s="280" t="str">
        <f>VLOOKUP($B6,Sheet1!$A:$G,4,FALSE)</f>
        <v>Tel-U</v>
      </c>
      <c r="CA6" s="280" t="str">
        <f>VLOOKUP($B6,Sheet1!$A:$G,5,FALSE)</f>
        <v>Ekonomi dan Bisnis/Manajemen</v>
      </c>
      <c r="CB6" s="280" t="str">
        <f>VLOOKUP($B6,Sheet1!$A:$G,6,FALSE)</f>
        <v>-</v>
      </c>
      <c r="CC6" s="280">
        <f>VLOOKUP($B6,Sheet1!$A:$G,7,FALSE)</f>
        <v>0</v>
      </c>
      <c r="CD6" s="280" t="s">
        <v>862</v>
      </c>
      <c r="CE6" s="280" t="s">
        <v>863</v>
      </c>
    </row>
    <row r="7" spans="1:84" ht="19.5" hidden="1">
      <c r="A7" s="281">
        <v>75</v>
      </c>
      <c r="B7" s="281" t="s">
        <v>28</v>
      </c>
      <c r="C7" s="281" t="s">
        <v>20</v>
      </c>
      <c r="D7" s="281" t="s">
        <v>22</v>
      </c>
      <c r="E7" s="281">
        <v>22920004</v>
      </c>
      <c r="F7" s="281" t="s">
        <v>1130</v>
      </c>
      <c r="G7" s="282" t="s">
        <v>29</v>
      </c>
      <c r="H7" s="291" t="s">
        <v>884</v>
      </c>
      <c r="I7" s="281" t="s">
        <v>30</v>
      </c>
      <c r="J7" s="281" t="s">
        <v>31</v>
      </c>
      <c r="K7" s="281" t="s">
        <v>846</v>
      </c>
      <c r="L7" s="281" t="s">
        <v>847</v>
      </c>
      <c r="M7" s="283" t="str">
        <f>IF(L7="NJAD","AA",IF(L7="AA","L",IF(L7="L","LK","GB")))</f>
        <v>L</v>
      </c>
      <c r="N7" s="292" t="s">
        <v>1131</v>
      </c>
      <c r="O7" s="281">
        <v>150</v>
      </c>
      <c r="P7" s="281" t="s">
        <v>1132</v>
      </c>
      <c r="Q7" s="284">
        <v>44105</v>
      </c>
      <c r="R7" s="281" t="str">
        <f ca="1">DATEDIF(Q7,TODAY(), "Y") &amp; " Tahun " &amp; DATEDIF(Q7, TODAY(), "YM") &amp; " Bulan"</f>
        <v>5 Tahun 3 Bulan</v>
      </c>
      <c r="S7" s="281" t="s">
        <v>849</v>
      </c>
      <c r="T7" s="285">
        <v>44197</v>
      </c>
      <c r="U7" s="281" t="str">
        <f ca="1">DATEDIF(T7,TODAY(), "Y") &amp; " Tahun " &amp; DATEDIF(T7, TODAY(), "YM") &amp; " Bulan"</f>
        <v>5 Tahun 0 Bulan</v>
      </c>
      <c r="V7" s="281" t="s">
        <v>850</v>
      </c>
      <c r="W7" s="281" t="s">
        <v>851</v>
      </c>
      <c r="X7" s="283" t="str">
        <f ca="1">IF(AND(OR(L7="AA",L7="L"),OR(S7="Penata Muda Tk. I Golongan III/b",S7="Penata Golongan III/c"),DATEDIF(Q7,TODAY(),"m")&gt;=23,ISBLANK(Z7),C7="Aktif"),"Nominasi Serdos","-")</f>
        <v>-</v>
      </c>
      <c r="Y7" s="281"/>
      <c r="Z7" s="281" t="s">
        <v>852</v>
      </c>
      <c r="AA7" s="290">
        <v>24107201902254</v>
      </c>
      <c r="AB7" s="281" t="s">
        <v>1133</v>
      </c>
      <c r="AC7" s="285">
        <v>45351</v>
      </c>
      <c r="AD7" s="281" t="s">
        <v>30</v>
      </c>
      <c r="AE7" s="281" t="s">
        <v>30</v>
      </c>
      <c r="AF7" s="281" t="s">
        <v>30</v>
      </c>
      <c r="AG7" s="281" t="s">
        <v>30</v>
      </c>
      <c r="AH7" s="281" t="s">
        <v>854</v>
      </c>
      <c r="AI7" s="293" t="s">
        <v>855</v>
      </c>
      <c r="AJ7" s="293" t="s">
        <v>897</v>
      </c>
      <c r="AK7" s="281" t="s">
        <v>898</v>
      </c>
      <c r="AL7" s="293" t="s">
        <v>899</v>
      </c>
      <c r="AM7" s="286">
        <v>44627</v>
      </c>
      <c r="AN7" s="287" t="str">
        <f ca="1">DATEDIF(AM7,TODAY(),"y")&amp;" tahun "&amp;DATEDIF(AM7,TODAY(),"ym")&amp;" bulan "</f>
        <v xml:space="preserve">3 tahun 10 bulan </v>
      </c>
      <c r="AO7" s="281" t="s">
        <v>858</v>
      </c>
      <c r="AP7" s="281" t="s">
        <v>859</v>
      </c>
      <c r="AQ7" s="281" t="s">
        <v>1134</v>
      </c>
      <c r="AR7" s="281" t="s">
        <v>32</v>
      </c>
      <c r="AS7" s="281">
        <v>82122074533</v>
      </c>
      <c r="AT7" s="281" t="s">
        <v>33</v>
      </c>
      <c r="AU7" s="281" t="s">
        <v>30</v>
      </c>
      <c r="AV7" s="281"/>
      <c r="AW7" s="281" t="str">
        <f>VLOOKUP(B7,Sheet2!A76:I193,9,FALSE)</f>
        <v>Darlin Aulia, S. E., M.S.Ak.</v>
      </c>
      <c r="AX7" s="281" t="s">
        <v>861</v>
      </c>
      <c r="AY7" s="281" t="str">
        <f>VLOOKUP(B7,Sheet2!A76:C193,2,FALSE)</f>
        <v>Jember</v>
      </c>
      <c r="AZ7" s="288">
        <f>VLOOKUP(B7,Sheet2!A76:C193,3,FALSE)</f>
        <v>33764</v>
      </c>
      <c r="BA7" s="281">
        <f ca="1">DATEDIF(AZ7, TODAY(),"y")</f>
        <v>33</v>
      </c>
      <c r="BB7" s="281"/>
      <c r="BC7" s="281"/>
      <c r="BD7" s="281"/>
      <c r="BE7" s="281"/>
      <c r="BF7" s="289"/>
      <c r="BG7" s="289"/>
      <c r="BH7" s="289"/>
      <c r="BI7" s="289"/>
      <c r="BJ7" s="289"/>
      <c r="BK7" s="289"/>
      <c r="BL7" s="288" t="str">
        <f>VLOOKUP(B7,Sheet2!A76:D193,4,FALSE)</f>
        <v>Dosen</v>
      </c>
      <c r="BM7" s="281"/>
      <c r="BN7" s="281"/>
      <c r="BO7" s="281"/>
      <c r="BP7" s="281"/>
      <c r="BQ7" s="281"/>
      <c r="BR7" s="288" t="str">
        <f>VLOOKUP(B7,Sheet2!A76:E193,5,FALSE)</f>
        <v>Finance and Accounting Studies (FAS)</v>
      </c>
      <c r="BS7" s="288" t="str">
        <f>VLOOKUP(B7,Sheet2!A76:F193,6,FALSE)</f>
        <v>DAQ</v>
      </c>
      <c r="BT7" s="288" t="str">
        <f>VLOOKUP(B7,Sheet2!A76:G193,7,FALSE)</f>
        <v>Fakultas Ekonomi dan Bisnis</v>
      </c>
      <c r="BU7" s="288" t="str">
        <f>VLOOKUP(B7,Sheet2!A76:H193,8,FALSE)</f>
        <v>darlinaulia@telkomuniversity.ac.id</v>
      </c>
      <c r="BV7" s="280">
        <f>COUNTIFS('Join TPA Dosen'!B:B,'Dosen sorted'!B17)</f>
        <v>1</v>
      </c>
      <c r="BW7" s="273" t="str">
        <f>DATEDIF(AM7,DATE(2026,1,1),"y")&amp;" tahun "&amp;DATEDIF(AM7,DATE(2026,1,1),"ym")&amp;" bulan "</f>
        <v xml:space="preserve">3 tahun 9 bulan </v>
      </c>
      <c r="BX7" s="280" t="str">
        <f>VLOOKUP($B7,Sheet1!$A:$G,2,FALSE)</f>
        <v>UNEJ</v>
      </c>
      <c r="BY7" s="280" t="str">
        <f>VLOOKUP($B7,Sheet1!$A:$G,3,FALSE)</f>
        <v>Ekonomi/Akuntansi</v>
      </c>
      <c r="BZ7" s="280" t="str">
        <f>VLOOKUP($B7,Sheet1!$A:$G,4,FALSE)</f>
        <v>UI</v>
      </c>
      <c r="CA7" s="280" t="str">
        <f>VLOOKUP($B7,Sheet1!$A:$G,5,FALSE)</f>
        <v>Ekonomi dan Bisnis/Ilmu Akuntansi</v>
      </c>
      <c r="CB7" s="280" t="str">
        <f>VLOOKUP($B7,Sheet1!$A:$G,6,FALSE)</f>
        <v>UNAIR</v>
      </c>
      <c r="CC7" s="280" t="str">
        <f>VLOOKUP($B7,Sheet1!$A:$G,7,FALSE)</f>
        <v>Ilmu Akuntansi</v>
      </c>
      <c r="CD7" s="280" t="s">
        <v>871</v>
      </c>
      <c r="CE7" s="280" t="s">
        <v>863</v>
      </c>
    </row>
    <row r="8" spans="1:84" ht="19.5" hidden="1">
      <c r="A8" s="281">
        <v>26</v>
      </c>
      <c r="B8" s="281" t="s">
        <v>34</v>
      </c>
      <c r="C8" s="281" t="s">
        <v>20</v>
      </c>
      <c r="D8" s="281" t="s">
        <v>22</v>
      </c>
      <c r="E8" s="281">
        <v>19900005</v>
      </c>
      <c r="F8" s="281" t="s">
        <v>844</v>
      </c>
      <c r="G8" s="282" t="s">
        <v>35</v>
      </c>
      <c r="H8" s="281" t="s">
        <v>845</v>
      </c>
      <c r="I8" s="281" t="s">
        <v>36</v>
      </c>
      <c r="J8" s="281" t="s">
        <v>37</v>
      </c>
      <c r="K8" s="281" t="s">
        <v>846</v>
      </c>
      <c r="L8" s="281" t="s">
        <v>847</v>
      </c>
      <c r="M8" s="283" t="str">
        <f>IF(L8="NJAD","AA",IF(L8="AA","L",IF(L8="L","LK","GB")))</f>
        <v>L</v>
      </c>
      <c r="N8" s="282" t="s">
        <v>511</v>
      </c>
      <c r="O8" s="281">
        <v>150</v>
      </c>
      <c r="P8" s="281" t="s">
        <v>848</v>
      </c>
      <c r="Q8" s="284">
        <v>43990</v>
      </c>
      <c r="R8" s="281" t="str">
        <f ca="1">DATEDIF(Q8,TODAY(), "Y") &amp; " Tahun " &amp; DATEDIF(Q8, TODAY(), "YM") &amp; " Bulan"</f>
        <v>5 Tahun 7 Bulan</v>
      </c>
      <c r="S8" s="281" t="s">
        <v>849</v>
      </c>
      <c r="T8" s="285">
        <v>44044</v>
      </c>
      <c r="U8" s="281" t="str">
        <f ca="1">DATEDIF(T8,TODAY(), "Y") &amp; " Tahun " &amp; DATEDIF(T8, TODAY(), "YM") &amp; " Bulan"</f>
        <v>5 Tahun 5 Bulan</v>
      </c>
      <c r="V8" s="281" t="s">
        <v>850</v>
      </c>
      <c r="W8" s="281" t="s">
        <v>851</v>
      </c>
      <c r="X8" s="283" t="str">
        <f ca="1">IF(AND(OR(L8="AA",L8="L"),OR(S8="Penata Muda Tk. I Golongan III/b",S8="Penata Golongan III/c"),DATEDIF(Q8,TODAY(),"m")&gt;=23,ISBLANK(Z8),C8="Aktif"),"Nominasi Serdos","-")</f>
        <v>-</v>
      </c>
      <c r="Y8" s="281"/>
      <c r="Z8" s="281" t="s">
        <v>852</v>
      </c>
      <c r="AA8" s="281">
        <v>22107201905191</v>
      </c>
      <c r="AB8" s="281" t="s">
        <v>853</v>
      </c>
      <c r="AC8" s="285">
        <v>44846</v>
      </c>
      <c r="AD8" s="281" t="s">
        <v>30</v>
      </c>
      <c r="AE8" s="281" t="s">
        <v>30</v>
      </c>
      <c r="AF8" s="281" t="s">
        <v>30</v>
      </c>
      <c r="AG8" s="281" t="s">
        <v>30</v>
      </c>
      <c r="AH8" s="281" t="s">
        <v>854</v>
      </c>
      <c r="AI8" s="281" t="s">
        <v>855</v>
      </c>
      <c r="AJ8" s="281" t="s">
        <v>856</v>
      </c>
      <c r="AK8" s="281" t="s">
        <v>855</v>
      </c>
      <c r="AL8" s="281" t="s">
        <v>857</v>
      </c>
      <c r="AM8" s="286">
        <v>43101</v>
      </c>
      <c r="AN8" s="287" t="str">
        <f ca="1">DATEDIF(AM8,TODAY(),"y")&amp;" tahun "&amp;DATEDIF(AM8,TODAY(),"ym")&amp;" bulan "</f>
        <v xml:space="preserve">8 tahun 0 bulan </v>
      </c>
      <c r="AO8" s="281" t="s">
        <v>858</v>
      </c>
      <c r="AP8" s="281" t="s">
        <v>859</v>
      </c>
      <c r="AQ8" s="281" t="s">
        <v>860</v>
      </c>
      <c r="AR8" s="281" t="s">
        <v>38</v>
      </c>
      <c r="AS8" s="281">
        <v>85230001444</v>
      </c>
      <c r="AT8" s="281" t="s">
        <v>39</v>
      </c>
      <c r="AU8" s="281" t="s">
        <v>30</v>
      </c>
      <c r="AV8" s="281"/>
      <c r="AW8" s="281" t="str">
        <f>VLOOKUP(B8,Sheet2!A27:I144,9,FALSE)</f>
        <v>Dominggo Bayu Baskara, S.T., M.MT.</v>
      </c>
      <c r="AX8" s="281" t="s">
        <v>861</v>
      </c>
      <c r="AY8" s="281" t="str">
        <f>VLOOKUP(B8,Sheet2!A27:C144,2,FALSE)</f>
        <v>Denpasar</v>
      </c>
      <c r="AZ8" s="288">
        <f>VLOOKUP(B8,Sheet2!A27:C144,3,FALSE)</f>
        <v>33046</v>
      </c>
      <c r="BA8" s="281">
        <f ca="1">DATEDIF(AZ8, TODAY(),"y")</f>
        <v>35</v>
      </c>
      <c r="BB8" s="281"/>
      <c r="BC8" s="281"/>
      <c r="BD8" s="281"/>
      <c r="BE8" s="281"/>
      <c r="BF8" s="289"/>
      <c r="BG8" s="289"/>
      <c r="BH8" s="289"/>
      <c r="BI8" s="289"/>
      <c r="BJ8" s="289"/>
      <c r="BK8" s="289"/>
      <c r="BL8" s="288" t="str">
        <f>VLOOKUP(B8,Sheet2!A27:D144,4,FALSE)</f>
        <v>Dosen</v>
      </c>
      <c r="BM8" s="281"/>
      <c r="BN8" s="281"/>
      <c r="BO8" s="281"/>
      <c r="BP8" s="281"/>
      <c r="BQ8" s="281"/>
      <c r="BR8" s="288" t="str">
        <f>VLOOKUP(B8,Sheet2!A27:E144,5,FALSE)</f>
        <v>Strategy, Human, Entrepreneurship &amp; Economy (SHEE)</v>
      </c>
      <c r="BS8" s="288" t="str">
        <f>VLOOKUP(B8,Sheet2!A27:F144,6,FALSE)</f>
        <v>DBB</v>
      </c>
      <c r="BT8" s="288" t="str">
        <f>VLOOKUP(B8,Sheet2!A27:G144,7,FALSE)</f>
        <v>Fakultas Ekonomi dan Bisnis</v>
      </c>
      <c r="BU8" s="288" t="str">
        <f>VLOOKUP(B8,Sheet2!A27:H144,8,FALSE)</f>
        <v>dominggobayu@telkomuniversity.ac.id</v>
      </c>
      <c r="BV8" s="280">
        <f>COUNTIFS('Join TPA Dosen'!B:B,'Dosen sorted'!B23)</f>
        <v>1</v>
      </c>
      <c r="BW8" s="273" t="str">
        <f>DATEDIF(AM8,DATE(2026,1,1),"y")&amp;" tahun "&amp;DATEDIF(AM8,DATE(2026,1,1),"ym")&amp;" bulan "</f>
        <v xml:space="preserve">8 tahun 0 bulan </v>
      </c>
      <c r="BX8" s="280" t="str">
        <f>VLOOKUP($B8,Sheet1!$A:$G,2,FALSE)</f>
        <v>ITS</v>
      </c>
      <c r="BY8" s="280" t="str">
        <f>VLOOKUP($B8,Sheet1!$A:$G,3,FALSE)</f>
        <v>Teknologi Industri/Teknik Industri</v>
      </c>
      <c r="BZ8" s="280" t="str">
        <f>VLOOKUP($B8,Sheet1!$A:$G,4,FALSE)</f>
        <v>ITS</v>
      </c>
      <c r="CA8" s="280" t="str">
        <f>VLOOKUP($B8,Sheet1!$A:$G,5,FALSE)</f>
        <v>Manajemen Teknologi</v>
      </c>
      <c r="CB8" s="280" t="str">
        <f>VLOOKUP($B8,Sheet1!$A:$G,6,FALSE)</f>
        <v>ITS</v>
      </c>
      <c r="CC8" s="280" t="str">
        <f>VLOOKUP($B8,Sheet1!$A:$G,7,FALSE)</f>
        <v>Manajemen Teknologi</v>
      </c>
      <c r="CD8" s="280" t="s">
        <v>862</v>
      </c>
      <c r="CE8" s="280" t="s">
        <v>863</v>
      </c>
    </row>
    <row r="9" spans="1:84" ht="19.5" hidden="1">
      <c r="A9" s="281">
        <v>121</v>
      </c>
      <c r="B9" s="281" t="s">
        <v>94</v>
      </c>
      <c r="C9" s="281" t="s">
        <v>46</v>
      </c>
      <c r="D9" s="281" t="s">
        <v>22</v>
      </c>
      <c r="E9" s="281">
        <v>25980005</v>
      </c>
      <c r="F9" s="299"/>
      <c r="G9" s="299"/>
      <c r="H9" s="291" t="s">
        <v>884</v>
      </c>
      <c r="I9" s="281"/>
      <c r="J9" s="281" t="s">
        <v>95</v>
      </c>
      <c r="K9" s="281" t="s">
        <v>917</v>
      </c>
      <c r="L9" s="281" t="s">
        <v>918</v>
      </c>
      <c r="M9" s="283" t="str">
        <f>IF(L9="NJAD","AA",IF(L9="AA","L",IF(L9="L","LK","GB")))</f>
        <v>AA</v>
      </c>
      <c r="N9" s="282" t="s">
        <v>511</v>
      </c>
      <c r="O9" s="281">
        <v>0</v>
      </c>
      <c r="P9" s="281"/>
      <c r="Q9" s="284">
        <v>45689</v>
      </c>
      <c r="R9" s="281" t="str">
        <f ca="1">DATEDIF(Q9,TODAY(), "Y") &amp; " Tahun " &amp; DATEDIF(Q9, TODAY(), "YM") &amp; " Bulan"</f>
        <v>0 Tahun 11 Bulan</v>
      </c>
      <c r="S9" s="282" t="s">
        <v>511</v>
      </c>
      <c r="T9" s="282" t="s">
        <v>511</v>
      </c>
      <c r="U9" s="281" t="e">
        <f ca="1">DATEDIF(T9,TODAY(), "Y") &amp; " Tahun " &amp; DATEDIF(T9, TODAY(), "YM") &amp; " Bulan"</f>
        <v>#VALUE!</v>
      </c>
      <c r="V9" s="281" t="s">
        <v>850</v>
      </c>
      <c r="W9" s="281" t="s">
        <v>851</v>
      </c>
      <c r="X9" s="283" t="str">
        <f ca="1">IF(AND(OR(L9="AA",L9="L"),OR(S9="Penata Muda Tk. I Golongan III/b",S9="Penata Golongan III/c"),DATEDIF(Q9,TODAY(),"m")&gt;=23,ISBLANK(Z9),C9="Aktif"),"Nominasi Serdos","-")</f>
        <v>-</v>
      </c>
      <c r="Y9" s="281"/>
      <c r="Z9" s="295" t="s">
        <v>30</v>
      </c>
      <c r="AA9" s="295" t="s">
        <v>30</v>
      </c>
      <c r="AB9" s="295" t="s">
        <v>30</v>
      </c>
      <c r="AC9" s="295" t="s">
        <v>30</v>
      </c>
      <c r="AD9" s="281" t="s">
        <v>30</v>
      </c>
      <c r="AE9" s="281" t="s">
        <v>30</v>
      </c>
      <c r="AF9" s="281" t="s">
        <v>30</v>
      </c>
      <c r="AG9" s="281" t="s">
        <v>30</v>
      </c>
      <c r="AH9" s="281" t="s">
        <v>854</v>
      </c>
      <c r="AI9" s="281" t="s">
        <v>30</v>
      </c>
      <c r="AJ9" s="281" t="s">
        <v>30</v>
      </c>
      <c r="AK9" s="281" t="s">
        <v>30</v>
      </c>
      <c r="AM9" s="286">
        <v>45689</v>
      </c>
      <c r="AN9" s="287" t="str">
        <f ca="1">DATEDIF(AM9,TODAY(),"y")&amp;" tahun "&amp;DATEDIF(AM9,TODAY(),"ym")&amp;" bulan "</f>
        <v xml:space="preserve">0 tahun 11 bulan </v>
      </c>
      <c r="AO9" s="281" t="s">
        <v>858</v>
      </c>
      <c r="AP9" s="281" t="s">
        <v>859</v>
      </c>
      <c r="AQ9" s="281" t="s">
        <v>941</v>
      </c>
      <c r="AR9" s="300" t="s">
        <v>96</v>
      </c>
      <c r="AS9" s="281">
        <v>82123510747</v>
      </c>
      <c r="AT9" s="281" t="s">
        <v>97</v>
      </c>
      <c r="AU9" s="281" t="s">
        <v>30</v>
      </c>
      <c r="AV9" s="281"/>
      <c r="AW9" s="281" t="s">
        <v>942</v>
      </c>
      <c r="AX9" s="281" t="s">
        <v>902</v>
      </c>
      <c r="AY9" s="281" t="s">
        <v>943</v>
      </c>
      <c r="AZ9" s="288">
        <v>32440</v>
      </c>
      <c r="BA9" s="281">
        <f ca="1">DATEDIF(AZ9, TODAY(),"y")</f>
        <v>37</v>
      </c>
      <c r="BB9" s="281"/>
      <c r="BC9" s="281"/>
      <c r="BD9" s="281"/>
      <c r="BE9" s="295"/>
      <c r="BF9" s="289"/>
      <c r="BG9" s="289"/>
      <c r="BH9" s="289"/>
      <c r="BI9" s="289"/>
      <c r="BJ9" s="289"/>
      <c r="BK9" s="289"/>
      <c r="BL9" s="288" t="s">
        <v>21</v>
      </c>
      <c r="BM9" s="281"/>
      <c r="BN9" s="286"/>
      <c r="BO9" s="281"/>
      <c r="BP9" s="281"/>
      <c r="BQ9" s="281"/>
      <c r="BR9" s="288" t="e">
        <f>VLOOKUP(B9,Sheet2!A122:E239,5,FALSE)</f>
        <v>#N/A</v>
      </c>
      <c r="BS9" s="288" t="s">
        <v>941</v>
      </c>
      <c r="BT9" s="288" t="s">
        <v>944</v>
      </c>
      <c r="BU9" s="288" t="s">
        <v>945</v>
      </c>
      <c r="BV9" s="280">
        <f>COUNTIFS('Join TPA Dosen'!B:B,'Dosen sorted'!B122)</f>
        <v>1</v>
      </c>
      <c r="BW9" s="273" t="str">
        <f>DATEDIF(AM9,DATE(2026,1,1),"y")&amp;" tahun "&amp;DATEDIF(AM9,DATE(2026,1,1),"ym")&amp;" bulan "</f>
        <v xml:space="preserve">0 tahun 11 bulan </v>
      </c>
      <c r="BX9" s="280" t="e">
        <f>VLOOKUP($B9,Sheet1!$A:$G,2,FALSE)</f>
        <v>#N/A</v>
      </c>
      <c r="BY9" s="280" t="e">
        <f>VLOOKUP($B9,Sheet1!$A:$G,3,FALSE)</f>
        <v>#N/A</v>
      </c>
      <c r="BZ9" s="280" t="e">
        <f>VLOOKUP($B9,Sheet1!$A:$G,4,FALSE)</f>
        <v>#N/A</v>
      </c>
      <c r="CA9" s="280" t="e">
        <f>VLOOKUP($B9,Sheet1!$A:$G,5,FALSE)</f>
        <v>#N/A</v>
      </c>
      <c r="CB9" s="280" t="e">
        <f>VLOOKUP($B9,Sheet1!$A:$G,6,FALSE)</f>
        <v>#N/A</v>
      </c>
      <c r="CC9" s="280" t="e">
        <f>VLOOKUP($B9,Sheet1!$A:$G,7,FALSE)</f>
        <v>#N/A</v>
      </c>
      <c r="CD9" s="280">
        <v>0</v>
      </c>
      <c r="CE9" s="280" t="s">
        <v>863</v>
      </c>
    </row>
    <row r="10" spans="1:84" ht="19.5" hidden="1">
      <c r="A10" s="281">
        <v>124</v>
      </c>
      <c r="B10" s="281" t="s">
        <v>102</v>
      </c>
      <c r="C10" s="281" t="s">
        <v>20</v>
      </c>
      <c r="D10" s="281" t="s">
        <v>22</v>
      </c>
      <c r="E10" s="281">
        <v>25900003</v>
      </c>
      <c r="F10" s="299"/>
      <c r="G10" s="282"/>
      <c r="H10" s="291" t="s">
        <v>884</v>
      </c>
      <c r="I10" s="281"/>
      <c r="J10" s="281" t="s">
        <v>103</v>
      </c>
      <c r="K10" s="281" t="s">
        <v>937</v>
      </c>
      <c r="L10" s="281" t="s">
        <v>918</v>
      </c>
      <c r="M10" s="283" t="str">
        <f>IF(L10="NJAD","AA",IF(L10="AA","L",IF(L10="L","LK","GB")))</f>
        <v>AA</v>
      </c>
      <c r="N10" s="282" t="s">
        <v>511</v>
      </c>
      <c r="O10" s="281">
        <v>0</v>
      </c>
      <c r="P10" s="281"/>
      <c r="Q10" s="284">
        <v>45658</v>
      </c>
      <c r="R10" s="281" t="str">
        <f ca="1">DATEDIF(Q10,TODAY(), "Y") &amp; " Tahun " &amp; DATEDIF(Q10, TODAY(), "YM") &amp; " Bulan"</f>
        <v>1 Tahun 0 Bulan</v>
      </c>
      <c r="S10" s="282" t="s">
        <v>511</v>
      </c>
      <c r="T10" s="282" t="s">
        <v>511</v>
      </c>
      <c r="U10" s="281" t="e">
        <f ca="1">DATEDIF(T10,TODAY(), "Y") &amp; " Tahun " &amp; DATEDIF(T10, TODAY(), "YM") &amp; " Bulan"</f>
        <v>#VALUE!</v>
      </c>
      <c r="V10" s="281" t="s">
        <v>1318</v>
      </c>
      <c r="W10" s="281" t="s">
        <v>851</v>
      </c>
      <c r="X10" s="283" t="str">
        <f ca="1">IF(AND(OR(L10="AA",L10="L"),OR(S10="Penata Muda Tk. I Golongan III/b",S10="Penata Golongan III/c"),DATEDIF(Q10,TODAY(),"m")&gt;=23,ISBLANK(Z10),C10="Aktif"),"Nominasi Serdos","-")</f>
        <v>-</v>
      </c>
      <c r="Y10" s="281"/>
      <c r="Z10" s="295"/>
      <c r="AA10" s="295"/>
      <c r="AB10" s="295"/>
      <c r="AC10" s="295"/>
      <c r="AD10" s="281"/>
      <c r="AE10" s="281"/>
      <c r="AF10" s="281"/>
      <c r="AG10" s="281"/>
      <c r="AH10" s="281" t="s">
        <v>879</v>
      </c>
      <c r="AI10" s="281"/>
      <c r="AJ10" s="281"/>
      <c r="AK10" s="281"/>
      <c r="AM10" s="286">
        <v>45658</v>
      </c>
      <c r="AN10" s="287" t="str">
        <f ca="1">DATEDIF(AM10,TODAY(),"y")&amp;" tahun "&amp;DATEDIF(AM10,TODAY(),"ym")&amp;" bulan "</f>
        <v xml:space="preserve">1 tahun 0 bulan </v>
      </c>
      <c r="AO10" s="281" t="s">
        <v>858</v>
      </c>
      <c r="AP10" s="281" t="s">
        <v>859</v>
      </c>
      <c r="AQ10" s="281" t="s">
        <v>1319</v>
      </c>
      <c r="AR10" s="281" t="s">
        <v>104</v>
      </c>
      <c r="AS10" s="281"/>
      <c r="AT10" s="281" t="s">
        <v>105</v>
      </c>
      <c r="AU10" s="281"/>
      <c r="AV10" s="281"/>
      <c r="AW10" s="281" t="s">
        <v>1320</v>
      </c>
      <c r="AX10" s="281" t="s">
        <v>861</v>
      </c>
      <c r="AY10" s="281" t="s">
        <v>1321</v>
      </c>
      <c r="AZ10" s="288">
        <v>32874</v>
      </c>
      <c r="BA10" s="281">
        <f ca="1">DATEDIF(AZ10, TODAY(),"y")</f>
        <v>36</v>
      </c>
      <c r="BB10" s="281"/>
      <c r="BC10" s="281"/>
      <c r="BD10" s="281"/>
      <c r="BE10" s="295"/>
      <c r="BF10" s="289"/>
      <c r="BG10" s="289"/>
      <c r="BH10" s="289"/>
      <c r="BI10" s="289"/>
      <c r="BJ10" s="289"/>
      <c r="BK10" s="289"/>
      <c r="BL10" s="288" t="s">
        <v>21</v>
      </c>
      <c r="BM10" s="281"/>
      <c r="BN10" s="286"/>
      <c r="BO10" s="281"/>
      <c r="BP10" s="281"/>
      <c r="BQ10" s="281"/>
      <c r="BR10" s="288" t="e">
        <f>VLOOKUP(B10,Sheet2!A125:E242,5,FALSE)</f>
        <v>#N/A</v>
      </c>
      <c r="BS10" s="288" t="s">
        <v>1319</v>
      </c>
      <c r="BT10" s="288" t="s">
        <v>944</v>
      </c>
      <c r="BU10" s="288" t="s">
        <v>1322</v>
      </c>
      <c r="BV10" s="280">
        <f>COUNTIFS('Join TPA Dosen'!B:B,'Dosen sorted'!B125)</f>
        <v>1</v>
      </c>
      <c r="BW10" s="273" t="str">
        <f>DATEDIF(AM10,DATE(2026,1,1),"y")&amp;" tahun "&amp;DATEDIF(AM10,DATE(2026,1,1),"ym")&amp;" bulan "</f>
        <v xml:space="preserve">1 tahun 0 bulan </v>
      </c>
      <c r="BX10" s="280" t="e">
        <f>VLOOKUP($B10,Sheet1!$A:$G,2,FALSE)</f>
        <v>#N/A</v>
      </c>
      <c r="BY10" s="280" t="e">
        <f>VLOOKUP($B10,Sheet1!$A:$G,3,FALSE)</f>
        <v>#N/A</v>
      </c>
      <c r="BZ10" s="280" t="e">
        <f>VLOOKUP($B10,Sheet1!$A:$G,4,FALSE)</f>
        <v>#N/A</v>
      </c>
      <c r="CA10" s="280" t="e">
        <f>VLOOKUP($B10,Sheet1!$A:$G,5,FALSE)</f>
        <v>#N/A</v>
      </c>
      <c r="CB10" s="280" t="e">
        <f>VLOOKUP($B10,Sheet1!$A:$G,6,FALSE)</f>
        <v>#N/A</v>
      </c>
      <c r="CC10" s="280" t="e">
        <f>VLOOKUP($B10,Sheet1!$A:$G,7,FALSE)</f>
        <v>#N/A</v>
      </c>
      <c r="CD10" s="280" t="s">
        <v>871</v>
      </c>
      <c r="CE10" s="280" t="s">
        <v>863</v>
      </c>
      <c r="CF10" s="336">
        <v>45839</v>
      </c>
    </row>
    <row r="11" spans="1:84" ht="19.5" hidden="1">
      <c r="A11" s="281">
        <v>106</v>
      </c>
      <c r="B11" s="281" t="s">
        <v>76</v>
      </c>
      <c r="C11" s="281" t="s">
        <v>20</v>
      </c>
      <c r="D11" s="281" t="s">
        <v>22</v>
      </c>
      <c r="E11" s="281">
        <v>23990019</v>
      </c>
      <c r="F11" s="291" t="s">
        <v>1265</v>
      </c>
      <c r="G11" s="296" t="s">
        <v>77</v>
      </c>
      <c r="H11" s="291" t="s">
        <v>884</v>
      </c>
      <c r="I11" s="295" t="s">
        <v>30</v>
      </c>
      <c r="J11" s="281" t="s">
        <v>78</v>
      </c>
      <c r="K11" s="281" t="s">
        <v>846</v>
      </c>
      <c r="L11" s="281" t="s">
        <v>847</v>
      </c>
      <c r="M11" s="283" t="str">
        <f>IF(L11="NJAD","AA",IF(L11="AA","L",IF(L11="L","LK","GB")))</f>
        <v>L</v>
      </c>
      <c r="N11" s="282" t="s">
        <v>511</v>
      </c>
      <c r="O11" s="281">
        <v>150</v>
      </c>
      <c r="P11" s="281" t="s">
        <v>1266</v>
      </c>
      <c r="Q11" s="284">
        <v>45748</v>
      </c>
      <c r="R11" s="281" t="str">
        <f ca="1">DATEDIF(Q11,TODAY(), "Y") &amp; " Tahun " &amp; DATEDIF(Q11, TODAY(), "YM") &amp; " Bulan"</f>
        <v>0 Tahun 9 Bulan</v>
      </c>
      <c r="S11" s="281" t="s">
        <v>849</v>
      </c>
      <c r="T11" s="285">
        <v>45809</v>
      </c>
      <c r="U11" s="281" t="str">
        <f ca="1">DATEDIF(T11,TODAY(), "Y") &amp; " Tahun " &amp; DATEDIF(T11, TODAY(), "YM") &amp; " Bulan"</f>
        <v>0 Tahun 7 Bulan</v>
      </c>
      <c r="V11" s="281" t="s">
        <v>850</v>
      </c>
      <c r="W11" s="281" t="s">
        <v>851</v>
      </c>
      <c r="X11" s="283" t="str">
        <f ca="1">IF(AND(OR(L11="AA",L11="L"),OR(S11="Penata Muda Tk. I Golongan III/b",S11="Penata Golongan III/c"),DATEDIF(Q11,TODAY(),"m")&gt;=23,ISBLANK(Z11),C11="Aktif"),"Nominasi Serdos","-")</f>
        <v>-</v>
      </c>
      <c r="Y11" s="281"/>
      <c r="Z11" s="297"/>
      <c r="AA11" s="297"/>
      <c r="AB11" s="295" t="s">
        <v>30</v>
      </c>
      <c r="AC11" s="297" t="s">
        <v>511</v>
      </c>
      <c r="AD11" s="281" t="s">
        <v>30</v>
      </c>
      <c r="AE11" s="281" t="s">
        <v>30</v>
      </c>
      <c r="AF11" s="281" t="s">
        <v>30</v>
      </c>
      <c r="AG11" s="281" t="s">
        <v>30</v>
      </c>
      <c r="AH11" s="281" t="s">
        <v>854</v>
      </c>
      <c r="AI11" s="295" t="s">
        <v>30</v>
      </c>
      <c r="AJ11" s="295" t="s">
        <v>30</v>
      </c>
      <c r="AK11" s="295" t="s">
        <v>30</v>
      </c>
      <c r="AM11" s="286">
        <v>45170</v>
      </c>
      <c r="AN11" s="287" t="str">
        <f ca="1">DATEDIF(AM11,TODAY(),"y")&amp;" tahun "&amp;DATEDIF(AM11,TODAY(),"ym")&amp;" bulan "</f>
        <v xml:space="preserve">2 tahun 4 bulan </v>
      </c>
      <c r="AO11" s="281" t="s">
        <v>858</v>
      </c>
      <c r="AP11" s="281" t="s">
        <v>859</v>
      </c>
      <c r="AQ11" s="281" t="s">
        <v>1267</v>
      </c>
      <c r="AR11" s="281" t="s">
        <v>79</v>
      </c>
      <c r="AS11" s="281">
        <v>81223566959</v>
      </c>
      <c r="AT11" s="281" t="s">
        <v>80</v>
      </c>
      <c r="AU11" s="281" t="s">
        <v>30</v>
      </c>
      <c r="AV11" s="281"/>
      <c r="AW11" s="281" t="str">
        <f>VLOOKUP(B11,Sheet2!A107:I224,9,FALSE)</f>
        <v>Krisnayanti Aditasari, S.M., M.MT.</v>
      </c>
      <c r="AX11" s="281" t="s">
        <v>902</v>
      </c>
      <c r="AY11" s="281" t="str">
        <f>VLOOKUP(B11,Sheet2!A107:C224,2,FALSE)</f>
        <v>Surabaya</v>
      </c>
      <c r="AZ11" s="288">
        <f>VLOOKUP(B11,Sheet2!A107:C224,3,FALSE)</f>
        <v>36315</v>
      </c>
      <c r="BA11" s="281">
        <f ca="1">DATEDIF(AZ11, TODAY(),"y")</f>
        <v>26</v>
      </c>
      <c r="BB11" s="281"/>
      <c r="BC11" s="281"/>
      <c r="BD11" s="281"/>
      <c r="BE11" s="295"/>
      <c r="BF11" s="289"/>
      <c r="BG11" s="289"/>
      <c r="BH11" s="289"/>
      <c r="BI11" s="289"/>
      <c r="BJ11" s="289"/>
      <c r="BK11" s="289"/>
      <c r="BL11" s="288" t="str">
        <f>VLOOKUP(B11,Sheet2!A107:D224,4,FALSE)</f>
        <v>Dosen</v>
      </c>
      <c r="BM11" s="281"/>
      <c r="BN11" s="281"/>
      <c r="BO11" s="281"/>
      <c r="BP11" s="281"/>
      <c r="BQ11" s="281"/>
      <c r="BR11" s="288" t="str">
        <f>VLOOKUP(B11,Sheet2!A107:E224,5,FALSE)</f>
        <v>Strategy, Human, Entrepreneurship &amp; Economy (SHEE)</v>
      </c>
      <c r="BS11" s="288" t="str">
        <f>VLOOKUP(B11,Sheet2!A107:F224,6,FALSE)</f>
        <v>KNY</v>
      </c>
      <c r="BT11" s="288" t="str">
        <f>VLOOKUP(B11,Sheet2!A107:G224,7,FALSE)</f>
        <v>Fakultas Ekonomi dan Bisnis</v>
      </c>
      <c r="BU11" s="288" t="str">
        <f>VLOOKUP(B11,Sheet2!A107:H224,8,FALSE)</f>
        <v>krisnaaditasari@telkomuniversity.ac.id</v>
      </c>
      <c r="BV11" s="280">
        <f>COUNTIFS('Join TPA Dosen'!B:B,'Dosen sorted'!B107)</f>
        <v>1</v>
      </c>
      <c r="BW11" s="273" t="str">
        <f>DATEDIF(AM11,DATE(2026,1,1),"y")&amp;" tahun "&amp;DATEDIF(AM11,DATE(2026,1,1),"ym")&amp;" bulan "</f>
        <v xml:space="preserve">2 tahun 4 bulan </v>
      </c>
      <c r="BX11" s="280" t="str">
        <f>VLOOKUP($B11,Sheet1!$A:$G,2,FALSE)</f>
        <v>ITS</v>
      </c>
      <c r="BY11" s="280" t="str">
        <f>VLOOKUP($B11,Sheet1!$A:$G,3,FALSE)</f>
        <v>Manajemen Bisnis</v>
      </c>
      <c r="BZ11" s="280" t="str">
        <f>VLOOKUP($B11,Sheet1!$A:$G,4,FALSE)</f>
        <v>ITS</v>
      </c>
      <c r="CA11" s="280" t="str">
        <f>VLOOKUP($B11,Sheet1!$A:$G,5,FALSE)</f>
        <v>Manajemen Teknologi</v>
      </c>
      <c r="CB11" s="280">
        <f>VLOOKUP($B11,Sheet1!$A:$G,6,FALSE)</f>
        <v>0</v>
      </c>
      <c r="CC11" s="280">
        <f>VLOOKUP($B11,Sheet1!$A:$G,7,FALSE)</f>
        <v>0</v>
      </c>
      <c r="CD11" s="280" t="s">
        <v>871</v>
      </c>
      <c r="CE11" s="280" t="s">
        <v>863</v>
      </c>
    </row>
    <row r="12" spans="1:84" ht="39.75" hidden="1">
      <c r="A12" s="281">
        <v>127</v>
      </c>
      <c r="B12" s="283" t="s">
        <v>754</v>
      </c>
      <c r="C12" s="281" t="s">
        <v>20</v>
      </c>
      <c r="D12" s="281" t="s">
        <v>22</v>
      </c>
      <c r="E12" s="281">
        <v>25010028</v>
      </c>
      <c r="F12" s="281"/>
      <c r="G12" s="282" t="s">
        <v>1336</v>
      </c>
      <c r="H12" s="291" t="s">
        <v>884</v>
      </c>
      <c r="I12" s="281"/>
      <c r="J12" s="281" t="s">
        <v>68</v>
      </c>
      <c r="K12" s="281" t="s">
        <v>917</v>
      </c>
      <c r="L12" s="281" t="s">
        <v>918</v>
      </c>
      <c r="M12" s="283" t="str">
        <f>IF(L12="NJAD","AA",IF(L12="AA","L",IF(L12="L","LK","GB")))</f>
        <v>AA</v>
      </c>
      <c r="N12" s="282" t="s">
        <v>511</v>
      </c>
      <c r="O12" s="281">
        <v>0</v>
      </c>
      <c r="P12" s="281"/>
      <c r="Q12" s="284">
        <v>45870</v>
      </c>
      <c r="R12" s="281" t="str">
        <f ca="1">DATEDIF(Q12,TODAY(), "Y") &amp; " Tahun " &amp; DATEDIF(Q12, TODAY(), "YM") &amp; " Bulan"</f>
        <v>0 Tahun 5 Bulan</v>
      </c>
      <c r="S12" s="281" t="s">
        <v>511</v>
      </c>
      <c r="T12" s="282" t="s">
        <v>511</v>
      </c>
      <c r="U12" s="281" t="e">
        <f ca="1">DATEDIF(T12,TODAY(), "Y") &amp; " Tahun " &amp; DATEDIF(T12, TODAY(), "YM") &amp; " Bulan"</f>
        <v>#VALUE!</v>
      </c>
      <c r="V12" s="281" t="s">
        <v>850</v>
      </c>
      <c r="W12" s="281" t="s">
        <v>851</v>
      </c>
      <c r="X12" s="283" t="str">
        <f ca="1">IF(AND(OR(L12="AA",L12="L"),OR(S12="Penata Muda Tk. I Golongan III/b",S12="Penata Golongan III/c"),DATEDIF(Q12,TODAY(),"m")&gt;=23,ISBLANK(Z12),C12="Aktif"),"Nominasi Serdos","-")</f>
        <v>-</v>
      </c>
      <c r="Y12" s="281"/>
      <c r="Z12" s="282"/>
      <c r="AA12" s="295"/>
      <c r="AB12" s="281"/>
      <c r="AC12" s="282"/>
      <c r="AD12" s="281"/>
      <c r="AE12" s="281"/>
      <c r="AF12" s="281"/>
      <c r="AG12" s="281"/>
      <c r="AH12" s="281" t="s">
        <v>854</v>
      </c>
      <c r="AI12" s="281"/>
      <c r="AJ12" s="281"/>
      <c r="AK12" s="281"/>
      <c r="AM12" s="286">
        <v>45870</v>
      </c>
      <c r="AN12" s="287" t="str">
        <f ca="1">DATEDIF(AM12,TODAY(),"y")&amp;" tahun "&amp;DATEDIF(AM12,TODAY(),"ym")&amp;" bulan "</f>
        <v xml:space="preserve">0 tahun 5 bulan </v>
      </c>
      <c r="AO12" s="281"/>
      <c r="AP12" s="281"/>
      <c r="AQ12" s="281" t="s">
        <v>1337</v>
      </c>
      <c r="AR12" s="281" t="s">
        <v>1338</v>
      </c>
      <c r="AS12" s="281">
        <v>82287815600</v>
      </c>
      <c r="AT12" s="281" t="s">
        <v>1339</v>
      </c>
      <c r="AU12" s="281"/>
      <c r="AV12" s="281"/>
      <c r="AW12" s="281" t="str">
        <f>VLOOKUP(B12,Sheet2!A112:I229,9,FALSE)</f>
        <v>Muhammad Farhansyah Mondari, S.M., M.M.</v>
      </c>
      <c r="AX12" s="281" t="s">
        <v>861</v>
      </c>
      <c r="AY12" s="281" t="str">
        <f>VLOOKUP(B12,Sheet2!A112:C229,2,FALSE)</f>
        <v>Padang</v>
      </c>
      <c r="AZ12" s="288">
        <f>VLOOKUP(B12,Sheet2!A112:C229,3,FALSE)</f>
        <v>37014</v>
      </c>
      <c r="BA12" s="281">
        <f ca="1">DATEDIF(AZ12, TODAY(),"y")</f>
        <v>24</v>
      </c>
      <c r="BB12" s="281"/>
      <c r="BC12" s="281"/>
      <c r="BD12" s="281"/>
      <c r="BE12" s="281"/>
      <c r="BF12" s="289"/>
      <c r="BG12" s="289"/>
      <c r="BH12" s="289"/>
      <c r="BI12" s="289"/>
      <c r="BJ12" s="289"/>
      <c r="BK12" s="289"/>
      <c r="BL12" s="288" t="s">
        <v>21</v>
      </c>
      <c r="BM12" s="281"/>
      <c r="BN12" s="281"/>
      <c r="BO12" s="281"/>
      <c r="BP12" s="281"/>
      <c r="BQ12" s="281"/>
      <c r="BR12" s="288"/>
      <c r="BS12" s="288" t="str">
        <f>VLOOKUP(B12,Sheet2!A112:F229,6,FALSE)</f>
        <v>HRH</v>
      </c>
      <c r="BT12" s="288" t="str">
        <f>VLOOKUP(B12,Sheet2!A112:G229,7,FALSE)</f>
        <v>Fakultas Ekonomi dan Bisnis</v>
      </c>
      <c r="BU12" s="288"/>
      <c r="BW12" s="273"/>
      <c r="CF12" s="336">
        <v>45689</v>
      </c>
    </row>
    <row r="13" spans="1:84" ht="39.75" hidden="1">
      <c r="A13" s="281">
        <v>116</v>
      </c>
      <c r="B13" s="281" t="s">
        <v>84</v>
      </c>
      <c r="C13" s="281" t="s">
        <v>20</v>
      </c>
      <c r="D13" s="281" t="s">
        <v>22</v>
      </c>
      <c r="E13" s="281">
        <v>24970010</v>
      </c>
      <c r="F13" s="291"/>
      <c r="G13" s="291" t="s">
        <v>85</v>
      </c>
      <c r="H13" s="291" t="s">
        <v>884</v>
      </c>
      <c r="I13" s="281" t="s">
        <v>189</v>
      </c>
      <c r="J13" s="281" t="s">
        <v>86</v>
      </c>
      <c r="K13" s="283" t="s">
        <v>937</v>
      </c>
      <c r="L13" s="281" t="s">
        <v>918</v>
      </c>
      <c r="M13" s="283" t="str">
        <f>IF(L13="NJAD","AA",IF(L13="AA","L",IF(L13="L","LK","GB")))</f>
        <v>AA</v>
      </c>
      <c r="N13" s="282" t="s">
        <v>511</v>
      </c>
      <c r="O13" s="281">
        <v>0</v>
      </c>
      <c r="P13" s="281" t="s">
        <v>30</v>
      </c>
      <c r="Q13" s="284">
        <v>45536</v>
      </c>
      <c r="R13" s="281" t="str">
        <f ca="1">DATEDIF(Q13,TODAY(), "Y") &amp; " Tahun " &amp; DATEDIF(Q13, TODAY(), "YM") &amp; " Bulan"</f>
        <v>1 Tahun 4 Bulan</v>
      </c>
      <c r="S13" s="282" t="s">
        <v>511</v>
      </c>
      <c r="T13" s="282" t="s">
        <v>511</v>
      </c>
      <c r="U13" s="281" t="e">
        <f ca="1">DATEDIF(T13,TODAY(), "Y") &amp; " Tahun " &amp; DATEDIF(T13, TODAY(), "YM") &amp; " Bulan"</f>
        <v>#VALUE!</v>
      </c>
      <c r="V13" s="281" t="s">
        <v>850</v>
      </c>
      <c r="W13" s="281" t="s">
        <v>851</v>
      </c>
      <c r="X13" s="283" t="str">
        <f ca="1">IF(AND(OR(L13="AA",L13="L"),OR(S13="Penata Muda Tk. I Golongan III/b",S13="Penata Golongan III/c"),DATEDIF(Q13,TODAY(),"m")&gt;=23,ISBLANK(Z13),C13="Aktif"),"Nominasi Serdos","-")</f>
        <v>-</v>
      </c>
      <c r="Y13" s="281"/>
      <c r="Z13" s="297"/>
      <c r="AA13" s="297"/>
      <c r="AB13" s="295" t="s">
        <v>30</v>
      </c>
      <c r="AC13" s="297" t="s">
        <v>511</v>
      </c>
      <c r="AD13" s="281" t="s">
        <v>30</v>
      </c>
      <c r="AE13" s="281" t="s">
        <v>30</v>
      </c>
      <c r="AF13" s="281" t="s">
        <v>30</v>
      </c>
      <c r="AG13" s="281" t="s">
        <v>30</v>
      </c>
      <c r="AH13" s="281" t="s">
        <v>879</v>
      </c>
      <c r="AI13" s="281" t="s">
        <v>855</v>
      </c>
      <c r="AJ13" s="281" t="s">
        <v>897</v>
      </c>
      <c r="AK13" s="281" t="s">
        <v>898</v>
      </c>
      <c r="AL13" s="281" t="s">
        <v>899</v>
      </c>
      <c r="AM13" s="286">
        <v>45536</v>
      </c>
      <c r="AN13" s="287" t="str">
        <f ca="1">DATEDIF(AM13,TODAY(),"y")&amp;" tahun "&amp;DATEDIF(AM13,TODAY(),"ym")&amp;" bulan "</f>
        <v xml:space="preserve">1 tahun 4 bulan </v>
      </c>
      <c r="AO13" s="281" t="s">
        <v>858</v>
      </c>
      <c r="AP13" s="281" t="s">
        <v>859</v>
      </c>
      <c r="AQ13" s="281" t="s">
        <v>30</v>
      </c>
      <c r="AR13" s="281" t="s">
        <v>87</v>
      </c>
      <c r="AS13" s="281">
        <v>82134623762</v>
      </c>
      <c r="AT13" s="281" t="s">
        <v>88</v>
      </c>
      <c r="AU13" s="281"/>
      <c r="AV13" s="281"/>
      <c r="AW13" s="281" t="str">
        <f>VLOOKUP(B13,Sheet2!A117:I234,9,FALSE)</f>
        <v>N. Azizia Gia Mutiarasari, S.M., MBA</v>
      </c>
      <c r="AX13" s="281" t="s">
        <v>902</v>
      </c>
      <c r="AY13" s="281" t="str">
        <f>VLOOKUP(B13,Sheet2!A117:C234,2,FALSE)</f>
        <v>Brebes</v>
      </c>
      <c r="AZ13" s="288">
        <f>VLOOKUP(B13,Sheet2!A117:C234,3,FALSE)</f>
        <v>35659</v>
      </c>
      <c r="BA13" s="281">
        <f ca="1">DATEDIF(AZ13, TODAY(),"y")</f>
        <v>28</v>
      </c>
      <c r="BB13" s="281"/>
      <c r="BC13" s="281"/>
      <c r="BD13" s="281"/>
      <c r="BE13" s="281"/>
      <c r="BF13" s="289"/>
      <c r="BG13" s="289"/>
      <c r="BH13" s="289"/>
      <c r="BI13" s="289"/>
      <c r="BJ13" s="289"/>
      <c r="BK13" s="289"/>
      <c r="BL13" s="288" t="str">
        <f>VLOOKUP(B13,Sheet2!A117:D234,4,FALSE)</f>
        <v>Dosen</v>
      </c>
      <c r="BM13" s="281"/>
      <c r="BN13" s="286"/>
      <c r="BO13" s="281"/>
      <c r="BP13" s="281"/>
      <c r="BQ13" s="281"/>
      <c r="BR13" s="288"/>
      <c r="BS13" s="288" t="str">
        <f>VLOOKUP(B13,Sheet2!A117:F234,6,FALSE)</f>
        <v>AGM</v>
      </c>
      <c r="BT13" s="288" t="str">
        <f>VLOOKUP(B13,Sheet2!A117:G234,7,FALSE)</f>
        <v>Fakultas Ekonomi dan Bisnis</v>
      </c>
      <c r="BU13" s="288" t="str">
        <f>VLOOKUP(B13,Sheet2!A117:H234,8,FALSE)</f>
        <v>naziziagia@telkomuniversity.ac.id</v>
      </c>
      <c r="BV13" s="280">
        <f>COUNTIFS('Join TPA Dosen'!B:B,'Dosen sorted'!B117)</f>
        <v>1</v>
      </c>
      <c r="BW13" s="273" t="str">
        <f>DATEDIF(AM13,DATE(2026,1,1),"y")&amp;" tahun "&amp;DATEDIF(AM13,DATE(2026,1,1),"ym")&amp;" bulan "</f>
        <v xml:space="preserve">1 tahun 4 bulan </v>
      </c>
      <c r="BX13" s="280">
        <f>VLOOKUP($B13,Sheet1!$A:$G,2,FALSE)</f>
        <v>0</v>
      </c>
      <c r="BY13" s="280">
        <f>VLOOKUP($B13,Sheet1!$A:$G,3,FALSE)</f>
        <v>0</v>
      </c>
      <c r="BZ13" s="280">
        <f>VLOOKUP($B13,Sheet1!$A:$G,4,FALSE)</f>
        <v>0</v>
      </c>
      <c r="CA13" s="280">
        <f>VLOOKUP($B13,Sheet1!$A:$G,5,FALSE)</f>
        <v>0</v>
      </c>
      <c r="CB13" s="280" t="str">
        <f>VLOOKUP($B13,Sheet1!$A:$G,6,FALSE)</f>
        <v>UNAIR</v>
      </c>
      <c r="CC13" s="280">
        <f>VLOOKUP($B13,Sheet1!$A:$G,7,FALSE)</f>
        <v>0</v>
      </c>
      <c r="CD13" s="280" t="s">
        <v>871</v>
      </c>
      <c r="CE13" s="280" t="s">
        <v>863</v>
      </c>
    </row>
    <row r="14" spans="1:84" ht="19.5" hidden="1">
      <c r="A14" s="281">
        <v>47</v>
      </c>
      <c r="B14" s="281" t="s">
        <v>45</v>
      </c>
      <c r="C14" s="281" t="s">
        <v>46</v>
      </c>
      <c r="D14" s="281" t="s">
        <v>22</v>
      </c>
      <c r="E14" s="281">
        <v>20940041</v>
      </c>
      <c r="F14" s="281" t="s">
        <v>883</v>
      </c>
      <c r="G14" s="281"/>
      <c r="H14" s="291" t="s">
        <v>884</v>
      </c>
      <c r="I14" s="281" t="s">
        <v>30</v>
      </c>
      <c r="J14" s="281" t="s">
        <v>47</v>
      </c>
      <c r="K14" s="281" t="s">
        <v>846</v>
      </c>
      <c r="L14" s="281" t="s">
        <v>847</v>
      </c>
      <c r="M14" s="283" t="str">
        <f>IF(L14="NJAD","AA",IF(L14="AA","L",IF(L14="L","LK","GB")))</f>
        <v>L</v>
      </c>
      <c r="N14" s="282" t="s">
        <v>511</v>
      </c>
      <c r="O14" s="281">
        <v>150</v>
      </c>
      <c r="P14" s="281" t="s">
        <v>885</v>
      </c>
      <c r="Q14" s="284">
        <v>44805</v>
      </c>
      <c r="R14" s="281" t="str">
        <f ca="1">DATEDIF(Q14,TODAY(), "Y") &amp; " Tahun " &amp; DATEDIF(Q14, TODAY(), "YM") &amp; " Bulan"</f>
        <v>3 Tahun 4 Bulan</v>
      </c>
      <c r="S14" s="281" t="s">
        <v>849</v>
      </c>
      <c r="T14" s="285">
        <v>44927</v>
      </c>
      <c r="U14" s="281" t="str">
        <f ca="1">DATEDIF(T14,TODAY(), "Y") &amp; " Tahun " &amp; DATEDIF(T14, TODAY(), "YM") &amp; " Bulan"</f>
        <v>3 Tahun 0 Bulan</v>
      </c>
      <c r="V14" s="281" t="s">
        <v>850</v>
      </c>
      <c r="W14" s="281" t="s">
        <v>851</v>
      </c>
      <c r="X14" s="283" t="str">
        <f ca="1">IF(AND(OR(L14="AA",L14="L"),OR(S14="Penata Muda Tk. I Golongan III/b",S14="Penata Golongan III/c"),DATEDIF(Q14,TODAY(),"m")&gt;=23,ISBLANK(Z14),C14="Aktif"),"Nominasi Serdos","-")</f>
        <v>-</v>
      </c>
      <c r="Y14" s="281"/>
      <c r="Z14" s="282"/>
      <c r="AA14" s="281"/>
      <c r="AB14" s="281" t="s">
        <v>30</v>
      </c>
      <c r="AC14" s="282" t="s">
        <v>511</v>
      </c>
      <c r="AD14" s="281" t="s">
        <v>30</v>
      </c>
      <c r="AE14" s="281" t="s">
        <v>30</v>
      </c>
      <c r="AF14" s="281" t="s">
        <v>30</v>
      </c>
      <c r="AG14" s="281" t="s">
        <v>30</v>
      </c>
      <c r="AH14" s="281" t="s">
        <v>854</v>
      </c>
      <c r="AI14" s="281" t="s">
        <v>30</v>
      </c>
      <c r="AJ14" s="281" t="s">
        <v>30</v>
      </c>
      <c r="AK14" s="281" t="s">
        <v>30</v>
      </c>
      <c r="AM14" s="286">
        <v>44166</v>
      </c>
      <c r="AN14" s="287" t="str">
        <f ca="1">DATEDIF(AM14,TODAY(),"y")&amp;" tahun "&amp;DATEDIF(AM14,TODAY(),"ym")&amp;" bulan "</f>
        <v xml:space="preserve">5 tahun 1 bulan </v>
      </c>
      <c r="AO14" s="281" t="s">
        <v>858</v>
      </c>
      <c r="AP14" s="281" t="s">
        <v>859</v>
      </c>
      <c r="AQ14" s="281" t="s">
        <v>886</v>
      </c>
      <c r="AR14" s="281" t="s">
        <v>48</v>
      </c>
      <c r="AS14" s="281">
        <v>81286153175</v>
      </c>
      <c r="AT14" s="281" t="s">
        <v>49</v>
      </c>
      <c r="AU14" s="281" t="s">
        <v>30</v>
      </c>
      <c r="AV14" s="281"/>
      <c r="AW14" s="281" t="str">
        <f>VLOOKUP(B14,Sheet2!A48:I165,9,FALSE)</f>
        <v>Riza Akhsani Setyo Prayoga, S.Kom., M.MT.</v>
      </c>
      <c r="AX14" s="281" t="s">
        <v>861</v>
      </c>
      <c r="AY14" s="281" t="str">
        <f>VLOOKUP(B14,Sheet2!A48:C165,2,FALSE)</f>
        <v>Ponorogo</v>
      </c>
      <c r="AZ14" s="288">
        <f>VLOOKUP(B14,Sheet2!A48:C165,3,FALSE)</f>
        <v>34454</v>
      </c>
      <c r="BA14" s="281">
        <f ca="1">DATEDIF(AZ14, TODAY(),"y")</f>
        <v>31</v>
      </c>
      <c r="BB14" s="281"/>
      <c r="BC14" s="281"/>
      <c r="BD14" s="281"/>
      <c r="BE14" s="281"/>
      <c r="BF14" s="289"/>
      <c r="BG14" s="289"/>
      <c r="BH14" s="289"/>
      <c r="BI14" s="289"/>
      <c r="BJ14" s="289"/>
      <c r="BK14" s="289"/>
      <c r="BL14" s="288" t="str">
        <f>VLOOKUP(B14,Sheet2!A48:D165,4,FALSE)</f>
        <v>Dosen</v>
      </c>
      <c r="BM14" s="281"/>
      <c r="BN14" s="281"/>
      <c r="BO14" s="281"/>
      <c r="BP14" s="281"/>
      <c r="BQ14" s="281"/>
      <c r="BR14" s="288" t="str">
        <f>VLOOKUP(B14,Sheet2!A48:E165,5,FALSE)</f>
        <v>ICT Business Management (IBM)</v>
      </c>
      <c r="BS14" s="288" t="str">
        <f>VLOOKUP(B14,Sheet2!A48:F165,6,FALSE)</f>
        <v>OGA</v>
      </c>
      <c r="BT14" s="288" t="str">
        <f>VLOOKUP(B14,Sheet2!A48:G165,7,FALSE)</f>
        <v>Fakultas Ekonomi dan Bisnis</v>
      </c>
      <c r="BU14" s="288" t="str">
        <f>VLOOKUP(B14,Sheet2!A48:H165,8,FALSE)</f>
        <v>rizayoga@telkomuniversity.ac.id</v>
      </c>
      <c r="BV14" s="280">
        <f>COUNTIFS('Join TPA Dosen'!B:B,'Dosen sorted'!B48)</f>
        <v>0</v>
      </c>
      <c r="BW14" s="273" t="str">
        <f>DATEDIF(AM14,DATE(2026,1,1),"y")&amp;" tahun "&amp;DATEDIF(AM14,DATE(2026,1,1),"ym")&amp;" bulan "</f>
        <v xml:space="preserve">5 tahun 1 bulan </v>
      </c>
      <c r="BX14" s="280" t="str">
        <f>VLOOKUP($B14,Sheet1!$A:$G,2,FALSE)</f>
        <v>Univ. Brawijaya</v>
      </c>
      <c r="BY14" s="280" t="str">
        <f>VLOOKUP($B14,Sheet1!$A:$G,3,FALSE)</f>
        <v>Ilmu Komputer/Sistem Informasi</v>
      </c>
      <c r="BZ14" s="280" t="str">
        <f>VLOOKUP($B14,Sheet1!$A:$G,4,FALSE)</f>
        <v>ITS</v>
      </c>
      <c r="CA14" s="280" t="str">
        <f>VLOOKUP($B14,Sheet1!$A:$G,5,FALSE)</f>
        <v>Bisnis dan Manajemen Teknologi/Manajemen Teknologi</v>
      </c>
      <c r="CB14" s="280" t="str">
        <f>VLOOKUP($B14,Sheet1!$A:$G,6,FALSE)</f>
        <v>-</v>
      </c>
      <c r="CC14" s="280">
        <f>VLOOKUP($B14,Sheet1!$A:$G,7,FALSE)</f>
        <v>0</v>
      </c>
      <c r="CD14" s="280" t="e">
        <v>#N/A</v>
      </c>
      <c r="CE14" s="280" t="e">
        <v>#N/A</v>
      </c>
    </row>
    <row r="15" spans="1:84" ht="19.5" hidden="1">
      <c r="A15" s="281">
        <v>115</v>
      </c>
      <c r="B15" s="281" t="s">
        <v>81</v>
      </c>
      <c r="C15" s="281" t="s">
        <v>46</v>
      </c>
      <c r="D15" s="281" t="s">
        <v>22</v>
      </c>
      <c r="E15" s="281">
        <v>24870001</v>
      </c>
      <c r="F15" s="291" t="s">
        <v>923</v>
      </c>
      <c r="G15" s="291"/>
      <c r="H15" s="291" t="s">
        <v>884</v>
      </c>
      <c r="I15" s="295" t="s">
        <v>30</v>
      </c>
      <c r="J15" s="281" t="s">
        <v>82</v>
      </c>
      <c r="K15" s="281" t="s">
        <v>846</v>
      </c>
      <c r="L15" s="281" t="s">
        <v>847</v>
      </c>
      <c r="M15" s="283" t="str">
        <f>IF(L15="NJAD","AA",IF(L15="AA","L",IF(L15="L","LK","GB")))</f>
        <v>L</v>
      </c>
      <c r="N15" s="282" t="s">
        <v>511</v>
      </c>
      <c r="O15" s="281">
        <v>150</v>
      </c>
      <c r="P15" s="281" t="s">
        <v>924</v>
      </c>
      <c r="Q15" s="284">
        <v>43543</v>
      </c>
      <c r="R15" s="281" t="str">
        <f ca="1">DATEDIF(Q15,TODAY(), "Y") &amp; " Tahun " &amp; DATEDIF(Q15, TODAY(), "YM") &amp; " Bulan"</f>
        <v>6 Tahun 10 Bulan</v>
      </c>
      <c r="S15" s="281" t="s">
        <v>849</v>
      </c>
      <c r="T15" s="285">
        <v>43770</v>
      </c>
      <c r="U15" s="281" t="str">
        <f ca="1">DATEDIF(T15,TODAY(), "Y") &amp; " Tahun " &amp; DATEDIF(T15, TODAY(), "YM") &amp; " Bulan"</f>
        <v>6 Tahun 2 Bulan</v>
      </c>
      <c r="V15" s="281" t="s">
        <v>850</v>
      </c>
      <c r="W15" s="281" t="s">
        <v>851</v>
      </c>
      <c r="X15" s="283" t="str">
        <f ca="1">IF(AND(OR(L15="AA",L15="L"),OR(S15="Penata Muda Tk. I Golongan III/b",S15="Penata Golongan III/c"),DATEDIF(Q15,TODAY(),"m")&gt;=23,ISBLANK(Z15),C15="Aktif"),"Nominasi Serdos","-")</f>
        <v>-</v>
      </c>
      <c r="Y15" s="281"/>
      <c r="Z15" s="297"/>
      <c r="AA15" s="297"/>
      <c r="AB15" s="295" t="s">
        <v>30</v>
      </c>
      <c r="AC15" s="297" t="s">
        <v>511</v>
      </c>
      <c r="AD15" s="281" t="s">
        <v>30</v>
      </c>
      <c r="AE15" s="281" t="s">
        <v>30</v>
      </c>
      <c r="AF15" s="281" t="s">
        <v>30</v>
      </c>
      <c r="AG15" s="281" t="s">
        <v>30</v>
      </c>
      <c r="AH15" s="281" t="s">
        <v>854</v>
      </c>
      <c r="AI15" s="281" t="s">
        <v>855</v>
      </c>
      <c r="AJ15" s="281" t="s">
        <v>897</v>
      </c>
      <c r="AK15" s="281" t="s">
        <v>898</v>
      </c>
      <c r="AL15" s="281" t="s">
        <v>899</v>
      </c>
      <c r="AM15" s="286">
        <v>45505</v>
      </c>
      <c r="AN15" s="287" t="str">
        <f ca="1">DATEDIF(AM15,TODAY(),"y")&amp;" tahun "&amp;DATEDIF(AM15,TODAY(),"ym")&amp;" bulan "</f>
        <v xml:space="preserve">1 tahun 5 bulan </v>
      </c>
      <c r="AO15" s="281" t="s">
        <v>858</v>
      </c>
      <c r="AP15" s="281" t="s">
        <v>859</v>
      </c>
      <c r="AQ15" s="281" t="s">
        <v>30</v>
      </c>
      <c r="AR15" s="281" t="s">
        <v>30</v>
      </c>
      <c r="AS15" s="281">
        <v>82123556785</v>
      </c>
      <c r="AT15" s="281" t="s">
        <v>83</v>
      </c>
      <c r="AU15" s="281" t="s">
        <v>30</v>
      </c>
      <c r="AV15" s="281"/>
      <c r="AW15" s="281" t="str">
        <f>VLOOKUP(B15,Sheet2!A116:I233,9,FALSE)</f>
        <v>Rudi Harianto, S.E., M.A.</v>
      </c>
      <c r="AX15" s="281" t="s">
        <v>861</v>
      </c>
      <c r="AY15" s="281" t="str">
        <f>VLOOKUP(B15,Sheet2!A116:C233,2,FALSE)</f>
        <v>Malang</v>
      </c>
      <c r="AZ15" s="288">
        <f>VLOOKUP(B15,Sheet2!A116:C233,3,FALSE)</f>
        <v>33004</v>
      </c>
      <c r="BA15" s="281">
        <f ca="1">DATEDIF(AZ15, TODAY(),"y")</f>
        <v>35</v>
      </c>
      <c r="BB15" s="281"/>
      <c r="BC15" s="281"/>
      <c r="BD15" s="281"/>
      <c r="BE15" s="281"/>
      <c r="BF15" s="289"/>
      <c r="BG15" s="289"/>
      <c r="BH15" s="289"/>
      <c r="BI15" s="289"/>
      <c r="BJ15" s="289"/>
      <c r="BK15" s="289"/>
      <c r="BL15" s="288" t="str">
        <f>VLOOKUP(B15,Sheet2!A116:D233,4,FALSE)</f>
        <v>Dosen</v>
      </c>
      <c r="BM15" s="281"/>
      <c r="BN15" s="281"/>
      <c r="BO15" s="281"/>
      <c r="BP15" s="281"/>
      <c r="BQ15" s="281"/>
      <c r="BR15" s="288"/>
      <c r="BS15" s="288" t="str">
        <f>VLOOKUP(B15,Sheet2!A116:F233,6,FALSE)</f>
        <v>RHO</v>
      </c>
      <c r="BT15" s="288" t="str">
        <f>VLOOKUP(B15,Sheet2!A116:G233,7,FALSE)</f>
        <v>Fakultas Ekonomi dan Bisnis</v>
      </c>
      <c r="BU15" s="288" t="str">
        <f>VLOOKUP(B15,Sheet2!A116:H233,8,FALSE)</f>
        <v>rudiharianto@telkomuniversity.ac.id</v>
      </c>
      <c r="BV15" s="280">
        <f>COUNTIFS('Join TPA Dosen'!B:B,'Dosen sorted'!B116)</f>
        <v>1</v>
      </c>
      <c r="BW15" s="273" t="str">
        <f>DATEDIF(AM15,DATE(2026,1,1),"y")&amp;" tahun "&amp;DATEDIF(AM15,DATE(2026,1,1),"ym")&amp;" bulan "</f>
        <v xml:space="preserve">1 tahun 5 bulan </v>
      </c>
      <c r="BX15" s="280">
        <f>VLOOKUP($B15,Sheet1!$A:$G,2,FALSE)</f>
        <v>0</v>
      </c>
      <c r="BY15" s="280">
        <f>VLOOKUP($B15,Sheet1!$A:$G,3,FALSE)</f>
        <v>0</v>
      </c>
      <c r="BZ15" s="280">
        <f>VLOOKUP($B15,Sheet1!$A:$G,4,FALSE)</f>
        <v>0</v>
      </c>
      <c r="CA15" s="280">
        <f>VLOOKUP($B15,Sheet1!$A:$G,5,FALSE)</f>
        <v>0</v>
      </c>
      <c r="CB15" s="280">
        <f>VLOOKUP($B15,Sheet1!$A:$G,6,FALSE)</f>
        <v>0</v>
      </c>
      <c r="CC15" s="280">
        <f>VLOOKUP($B15,Sheet1!$A:$G,7,FALSE)</f>
        <v>0</v>
      </c>
      <c r="CD15" s="280" t="s">
        <v>882</v>
      </c>
      <c r="CE15" s="280" t="s">
        <v>863</v>
      </c>
    </row>
    <row r="16" spans="1:84" ht="19.5" hidden="1">
      <c r="A16" s="281">
        <v>46</v>
      </c>
      <c r="B16" s="281" t="s">
        <v>40</v>
      </c>
      <c r="C16" s="281" t="s">
        <v>20</v>
      </c>
      <c r="D16" s="281" t="s">
        <v>22</v>
      </c>
      <c r="E16" s="281">
        <v>24930005</v>
      </c>
      <c r="F16" s="281" t="s">
        <v>1010</v>
      </c>
      <c r="G16" s="282" t="s">
        <v>41</v>
      </c>
      <c r="H16" s="281" t="s">
        <v>845</v>
      </c>
      <c r="I16" s="281" t="s">
        <v>30</v>
      </c>
      <c r="J16" s="281" t="s">
        <v>42</v>
      </c>
      <c r="K16" s="281" t="s">
        <v>846</v>
      </c>
      <c r="L16" s="281" t="s">
        <v>847</v>
      </c>
      <c r="M16" s="283" t="str">
        <f>IF(L16="NJAD","AA",IF(L16="AA","L",IF(L16="L","LK","GB")))</f>
        <v>L</v>
      </c>
      <c r="N16" s="282" t="s">
        <v>511</v>
      </c>
      <c r="O16" s="281">
        <v>150</v>
      </c>
      <c r="P16" s="281" t="s">
        <v>1011</v>
      </c>
      <c r="Q16" s="284">
        <v>44986</v>
      </c>
      <c r="R16" s="281" t="str">
        <f ca="1">DATEDIF(Q16,TODAY(), "Y") &amp; " Tahun " &amp; DATEDIF(Q16, TODAY(), "YM") &amp; " Bulan"</f>
        <v>2 Tahun 10 Bulan</v>
      </c>
      <c r="S16" s="281" t="s">
        <v>849</v>
      </c>
      <c r="T16" s="285">
        <v>45078</v>
      </c>
      <c r="U16" s="281" t="str">
        <f ca="1">DATEDIF(T16,TODAY(), "Y") &amp; " Tahun " &amp; DATEDIF(T16, TODAY(), "YM") &amp; " Bulan"</f>
        <v>2 Tahun 7 Bulan</v>
      </c>
      <c r="V16" s="281" t="s">
        <v>1012</v>
      </c>
      <c r="W16" s="281" t="s">
        <v>851</v>
      </c>
      <c r="X16" s="283" t="str">
        <f ca="1">IF(AND(OR(L16="AA",L16="L"),OR(S16="Penata Muda Tk. I Golongan III/b",S16="Penata Golongan III/c"),DATEDIF(Q16,TODAY(),"m")&gt;=23,ISBLANK(Z16),C16="Aktif"),"Nominasi Serdos","-")</f>
        <v>Nominasi Serdos</v>
      </c>
      <c r="Y16" s="281" t="s">
        <v>1013</v>
      </c>
      <c r="Z16" s="282"/>
      <c r="AA16" s="281"/>
      <c r="AB16" s="281" t="s">
        <v>30</v>
      </c>
      <c r="AC16" s="282" t="s">
        <v>511</v>
      </c>
      <c r="AD16" s="281" t="s">
        <v>30</v>
      </c>
      <c r="AE16" s="281" t="s">
        <v>30</v>
      </c>
      <c r="AF16" s="281" t="s">
        <v>30</v>
      </c>
      <c r="AG16" s="281" t="s">
        <v>30</v>
      </c>
      <c r="AH16" s="281" t="s">
        <v>854</v>
      </c>
      <c r="AI16" s="281" t="s">
        <v>30</v>
      </c>
      <c r="AJ16" s="281" t="s">
        <v>30</v>
      </c>
      <c r="AK16" s="281" t="s">
        <v>30</v>
      </c>
      <c r="AM16" s="286">
        <v>44166</v>
      </c>
      <c r="AN16" s="287" t="str">
        <f ca="1">DATEDIF(AM16,TODAY(),"y")&amp;" tahun "&amp;DATEDIF(AM16,TODAY(),"ym")&amp;" bulan "</f>
        <v xml:space="preserve">5 tahun 1 bulan </v>
      </c>
      <c r="AO16" s="281" t="s">
        <v>858</v>
      </c>
      <c r="AP16" s="281" t="s">
        <v>859</v>
      </c>
      <c r="AQ16" s="281" t="s">
        <v>1014</v>
      </c>
      <c r="AR16" s="281" t="s">
        <v>43</v>
      </c>
      <c r="AS16" s="281">
        <v>81334448548</v>
      </c>
      <c r="AT16" s="281" t="s">
        <v>44</v>
      </c>
      <c r="AU16" s="281" t="s">
        <v>30</v>
      </c>
      <c r="AV16" s="281"/>
      <c r="AW16" s="281" t="str">
        <f>VLOOKUP(B16,Sheet2!A47:I164,9,FALSE)</f>
        <v>Sekar Widyasari Putri, S.A.B., M.Si.</v>
      </c>
      <c r="AX16" s="281" t="s">
        <v>902</v>
      </c>
      <c r="AY16" s="281" t="str">
        <f>VLOOKUP(B16,Sheet2!A47:C164,2,FALSE)</f>
        <v>Semarang</v>
      </c>
      <c r="AZ16" s="288">
        <f>VLOOKUP(B16,Sheet2!A47:C164,3,FALSE)</f>
        <v>34061</v>
      </c>
      <c r="BA16" s="281">
        <f ca="1">DATEDIF(AZ16, TODAY(),"y")</f>
        <v>32</v>
      </c>
      <c r="BB16" s="281"/>
      <c r="BC16" s="281"/>
      <c r="BD16" s="281"/>
      <c r="BE16" s="281"/>
      <c r="BF16" s="289"/>
      <c r="BG16" s="289"/>
      <c r="BH16" s="289"/>
      <c r="BI16" s="289"/>
      <c r="BJ16" s="289"/>
      <c r="BK16" s="289"/>
      <c r="BL16" s="288" t="str">
        <f>VLOOKUP(B16,Sheet2!A47:D164,4,FALSE)</f>
        <v>Kepala Urusan</v>
      </c>
      <c r="BM16" s="281"/>
      <c r="BN16" s="281"/>
      <c r="BO16" s="281"/>
      <c r="BP16" s="281"/>
      <c r="BQ16" s="281"/>
      <c r="BR16" s="288" t="str">
        <f>VLOOKUP(B16,Sheet2!A47:E164,5,FALSE)</f>
        <v>Strategy, Human, Entrepreneurship &amp; Economy (SHEE)</v>
      </c>
      <c r="BS16" s="288" t="str">
        <f>VLOOKUP(B16,Sheet2!A47:F164,6,FALSE)</f>
        <v>SSQ</v>
      </c>
      <c r="BT16" s="288" t="str">
        <f>VLOOKUP(B16,Sheet2!A47:G164,7,FALSE)</f>
        <v>Fakultas Ekonomi dan Bisnis</v>
      </c>
      <c r="BU16" s="288" t="str">
        <f>VLOOKUP(B16,Sheet2!A47:H164,8,FALSE)</f>
        <v>sekarwidyasariputri@telkomuniversity.ac.id</v>
      </c>
      <c r="BV16" s="280">
        <f>COUNTIFS('Join TPA Dosen'!B:B,'Dosen sorted'!B47)</f>
        <v>1</v>
      </c>
      <c r="BW16" s="273" t="str">
        <f>DATEDIF(AM16,DATE(2026,1,1),"y")&amp;" tahun "&amp;DATEDIF(AM16,DATE(2026,1,1),"ym")&amp;" bulan "</f>
        <v xml:space="preserve">5 tahun 1 bulan </v>
      </c>
      <c r="BX16" s="280" t="str">
        <f>VLOOKUP($B16,Sheet1!$A:$G,2,FALSE)</f>
        <v>Undip</v>
      </c>
      <c r="BY16" s="280" t="str">
        <f>VLOOKUP($B16,Sheet1!$A:$G,3,FALSE)</f>
        <v>Administrasi Bisnis</v>
      </c>
      <c r="BZ16" s="280" t="str">
        <f>VLOOKUP($B16,Sheet1!$A:$G,4,FALSE)</f>
        <v>Undip</v>
      </c>
      <c r="CA16" s="280" t="str">
        <f>VLOOKUP($B16,Sheet1!$A:$G,5,FALSE)</f>
        <v>Ilmu Sosial dan Politik/Ilmu Administrasi</v>
      </c>
      <c r="CB16" s="280" t="str">
        <f>VLOOKUP($B16,Sheet1!$A:$G,6,FALSE)</f>
        <v>-</v>
      </c>
      <c r="CC16" s="280">
        <f>VLOOKUP($B16,Sheet1!$A:$G,7,FALSE)</f>
        <v>0</v>
      </c>
      <c r="CD16" s="280" t="s">
        <v>871</v>
      </c>
      <c r="CE16" s="280" t="s">
        <v>863</v>
      </c>
      <c r="CF16" s="336">
        <v>45870</v>
      </c>
    </row>
    <row r="17" spans="1:83" ht="19.5" hidden="1">
      <c r="A17" s="281">
        <v>34</v>
      </c>
      <c r="B17" s="281" t="s">
        <v>55</v>
      </c>
      <c r="C17" s="281" t="s">
        <v>20</v>
      </c>
      <c r="D17" s="281" t="s">
        <v>22</v>
      </c>
      <c r="E17" s="281">
        <v>20860014</v>
      </c>
      <c r="F17" s="281" t="s">
        <v>970</v>
      </c>
      <c r="G17" s="282" t="s">
        <v>56</v>
      </c>
      <c r="H17" s="281" t="s">
        <v>845</v>
      </c>
      <c r="I17" s="281" t="s">
        <v>30</v>
      </c>
      <c r="J17" s="281" t="s">
        <v>57</v>
      </c>
      <c r="K17" s="281" t="s">
        <v>893</v>
      </c>
      <c r="L17" s="281" t="s">
        <v>775</v>
      </c>
      <c r="M17" s="283" t="str">
        <f>IF(L17="NJAD","AA",IF(L17="AA","L",IF(L17="L","LK","GB")))</f>
        <v>LK</v>
      </c>
      <c r="N17" s="282" t="s">
        <v>511</v>
      </c>
      <c r="O17" s="281">
        <v>200</v>
      </c>
      <c r="P17" s="281" t="s">
        <v>971</v>
      </c>
      <c r="Q17" s="284">
        <v>44428</v>
      </c>
      <c r="R17" s="281" t="str">
        <f ca="1">DATEDIF(Q17,TODAY(), "Y") &amp; " Tahun " &amp; DATEDIF(Q17, TODAY(), "YM") &amp; " Bulan"</f>
        <v>4 Tahun 4 Bulan</v>
      </c>
      <c r="S17" s="281" t="s">
        <v>876</v>
      </c>
      <c r="T17" s="285">
        <v>45047</v>
      </c>
      <c r="U17" s="281" t="str">
        <f ca="1">DATEDIF(T17,TODAY(), "Y") &amp; " Tahun " &amp; DATEDIF(T17, TODAY(), "YM") &amp; " Bulan"</f>
        <v>2 Tahun 8 Bulan</v>
      </c>
      <c r="V17" s="281" t="s">
        <v>850</v>
      </c>
      <c r="W17" s="281" t="s">
        <v>851</v>
      </c>
      <c r="X17" s="283" t="str">
        <f ca="1">IF(AND(OR(L17="AA",L17="L"),OR(S17="Penata Muda Tk. I Golongan III/b",S17="Penata Golongan III/c"),DATEDIF(Q17,TODAY(),"m")&gt;=23,ISBLANK(Z17),C17="Aktif"),"Nominasi Serdos","-")</f>
        <v>-</v>
      </c>
      <c r="Y17" s="281"/>
      <c r="Z17" s="281" t="s">
        <v>852</v>
      </c>
      <c r="AA17" s="281">
        <v>18107200206321</v>
      </c>
      <c r="AB17" s="290">
        <v>1800100000000000</v>
      </c>
      <c r="AC17" s="285">
        <v>43224</v>
      </c>
      <c r="AD17" s="281" t="s">
        <v>30</v>
      </c>
      <c r="AE17" s="281" t="s">
        <v>30</v>
      </c>
      <c r="AF17" s="281" t="s">
        <v>30</v>
      </c>
      <c r="AG17" s="281" t="s">
        <v>30</v>
      </c>
      <c r="AH17" s="281" t="s">
        <v>854</v>
      </c>
      <c r="AI17" s="281" t="s">
        <v>855</v>
      </c>
      <c r="AJ17" s="281" t="s">
        <v>897</v>
      </c>
      <c r="AK17" s="281" t="s">
        <v>898</v>
      </c>
      <c r="AL17" s="281" t="s">
        <v>899</v>
      </c>
      <c r="AM17" s="286">
        <v>43282</v>
      </c>
      <c r="AN17" s="287" t="str">
        <f ca="1">DATEDIF(AM17,TODAY(),"y")&amp;" tahun "&amp;DATEDIF(AM17,TODAY(),"ym")&amp;" bulan "</f>
        <v xml:space="preserve">7 tahun 6 bulan </v>
      </c>
      <c r="AO17" s="281" t="s">
        <v>858</v>
      </c>
      <c r="AP17" s="281" t="s">
        <v>859</v>
      </c>
      <c r="AQ17" s="281" t="s">
        <v>972</v>
      </c>
      <c r="AR17" s="281" t="s">
        <v>58</v>
      </c>
      <c r="AS17" s="281">
        <v>81325019978</v>
      </c>
      <c r="AT17" s="281" t="s">
        <v>59</v>
      </c>
      <c r="AU17" s="281" t="s">
        <v>30</v>
      </c>
      <c r="AV17" s="281"/>
      <c r="AW17" s="281" t="str">
        <f>VLOOKUP(B17,Sheet2!A35:I152,9,FALSE)</f>
        <v>Titus Kristanto, S.Kom., M.Kom.</v>
      </c>
      <c r="AX17" s="281" t="s">
        <v>861</v>
      </c>
      <c r="AY17" s="281" t="str">
        <f>VLOOKUP(B17,Sheet2!A35:C152,2,FALSE)</f>
        <v>Surabaya</v>
      </c>
      <c r="AZ17" s="288">
        <f>VLOOKUP(B17,Sheet2!A35:C152,3,FALSE)</f>
        <v>31453</v>
      </c>
      <c r="BA17" s="281">
        <f ca="1">DATEDIF(AZ17, TODAY(),"y")</f>
        <v>39</v>
      </c>
      <c r="BB17" s="281"/>
      <c r="BC17" s="281"/>
      <c r="BD17" s="281"/>
      <c r="BE17" s="281"/>
      <c r="BF17" s="289"/>
      <c r="BG17" s="289"/>
      <c r="BH17" s="289"/>
      <c r="BI17" s="289"/>
      <c r="BJ17" s="289"/>
      <c r="BK17" s="289"/>
      <c r="BL17" s="288" t="str">
        <f>VLOOKUP(B17,Sheet2!A35:D152,4,FALSE)</f>
        <v>Dosen</v>
      </c>
      <c r="BM17" s="281"/>
      <c r="BN17" s="281"/>
      <c r="BO17" s="281"/>
      <c r="BP17" s="281"/>
      <c r="BQ17" s="281"/>
      <c r="BR17" s="288" t="str">
        <f>VLOOKUP(B17,Sheet2!A35:E152,5,FALSE)</f>
        <v>ICT Business Management (IBM)</v>
      </c>
      <c r="BS17" s="288" t="str">
        <f>VLOOKUP(B17,Sheet2!A35:F152,6,FALSE)</f>
        <v>TTK</v>
      </c>
      <c r="BT17" s="288" t="str">
        <f>VLOOKUP(B17,Sheet2!A35:G152,7,FALSE)</f>
        <v>Fakultas Ekonomi dan Bisnis</v>
      </c>
      <c r="BU17" s="288" t="str">
        <f>VLOOKUP(B17,Sheet2!A35:H152,8,FALSE)</f>
        <v>tituskristanto@telkomuniversity.ac.id</v>
      </c>
      <c r="BV17" s="280">
        <f>COUNTIFS('Join TPA Dosen'!B:B,'Dosen sorted'!B76)</f>
        <v>1</v>
      </c>
      <c r="BW17" s="273" t="str">
        <f>DATEDIF(AM17,DATE(2026,1,1),"y")&amp;" tahun "&amp;DATEDIF(AM17,DATE(2026,1,1),"ym")&amp;" bulan "</f>
        <v xml:space="preserve">7 tahun 6 bulan </v>
      </c>
      <c r="BX17" s="280" t="str">
        <f>VLOOKUP($B17,Sheet1!$A:$G,2,FALSE)</f>
        <v>UNTAG</v>
      </c>
      <c r="BY17" s="280" t="str">
        <f>VLOOKUP($B17,Sheet1!$A:$G,3,FALSE)</f>
        <v>Teknik/Teknik Informatika</v>
      </c>
      <c r="BZ17" s="280" t="str">
        <f>VLOOKUP($B17,Sheet1!$A:$G,4,FALSE)</f>
        <v>ITS</v>
      </c>
      <c r="CA17" s="280" t="str">
        <f>VLOOKUP($B17,Sheet1!$A:$G,5,FALSE)</f>
        <v>Teknik Informatika - Sistem Informasi</v>
      </c>
      <c r="CB17" s="280" t="str">
        <f>VLOOKUP($B17,Sheet1!$A:$G,6,FALSE)</f>
        <v>ITS</v>
      </c>
      <c r="CC17" s="280" t="str">
        <f>VLOOKUP($B17,Sheet1!$A:$G,7,FALSE)</f>
        <v>Ilmu Komputer</v>
      </c>
      <c r="CD17" s="280" t="s">
        <v>871</v>
      </c>
      <c r="CE17" s="280" t="s">
        <v>863</v>
      </c>
    </row>
    <row r="18" spans="1:83" ht="19.5" hidden="1">
      <c r="A18" s="281">
        <v>85</v>
      </c>
      <c r="B18" s="281" t="s">
        <v>66</v>
      </c>
      <c r="C18" s="281" t="s">
        <v>20</v>
      </c>
      <c r="D18" s="281" t="s">
        <v>22</v>
      </c>
      <c r="E18" s="281">
        <v>22970043</v>
      </c>
      <c r="F18" s="281" t="s">
        <v>1154</v>
      </c>
      <c r="G18" s="282" t="s">
        <v>67</v>
      </c>
      <c r="H18" s="291" t="s">
        <v>884</v>
      </c>
      <c r="I18" s="281" t="s">
        <v>30</v>
      </c>
      <c r="J18" s="281" t="s">
        <v>68</v>
      </c>
      <c r="K18" s="281" t="s">
        <v>846</v>
      </c>
      <c r="L18" s="281" t="s">
        <v>847</v>
      </c>
      <c r="M18" s="283" t="str">
        <f>IF(L18="NJAD","AA",IF(L18="AA","L",IF(L18="L","LK","GB")))</f>
        <v>L</v>
      </c>
      <c r="N18" s="282" t="s">
        <v>511</v>
      </c>
      <c r="O18" s="281">
        <v>150</v>
      </c>
      <c r="P18" s="281" t="s">
        <v>1155</v>
      </c>
      <c r="Q18" s="284">
        <v>45444</v>
      </c>
      <c r="R18" s="281" t="str">
        <f ca="1">DATEDIF(Q18,TODAY(), "Y") &amp; " Tahun " &amp; DATEDIF(Q18, TODAY(), "YM") &amp; " Bulan"</f>
        <v>1 Tahun 7 Bulan</v>
      </c>
      <c r="S18" s="281" t="s">
        <v>849</v>
      </c>
      <c r="T18" s="285">
        <v>45717</v>
      </c>
      <c r="U18" s="281" t="str">
        <f ca="1">DATEDIF(T18,TODAY(), "Y") &amp; " Tahun " &amp; DATEDIF(T18, TODAY(), "YM") &amp; " Bulan"</f>
        <v>0 Tahun 10 Bulan</v>
      </c>
      <c r="V18" s="281" t="s">
        <v>1156</v>
      </c>
      <c r="W18" s="281" t="s">
        <v>851</v>
      </c>
      <c r="X18" s="283" t="str">
        <f ca="1">IF(AND(OR(L18="AA",L18="L"),OR(S18="Penata Muda Tk. I Golongan III/b",S18="Penata Golongan III/c"),DATEDIF(Q18,TODAY(),"m")&gt;=23,ISBLANK(Z18),C18="Aktif"),"Nominasi Serdos","-")</f>
        <v>-</v>
      </c>
      <c r="Y18" s="281"/>
      <c r="Z18" s="282"/>
      <c r="AA18" s="295"/>
      <c r="AB18" s="281" t="s">
        <v>30</v>
      </c>
      <c r="AC18" s="282" t="s">
        <v>511</v>
      </c>
      <c r="AD18" s="281" t="s">
        <v>30</v>
      </c>
      <c r="AE18" s="281" t="s">
        <v>30</v>
      </c>
      <c r="AF18" s="281" t="s">
        <v>30</v>
      </c>
      <c r="AG18" s="281" t="s">
        <v>30</v>
      </c>
      <c r="AH18" s="281" t="s">
        <v>854</v>
      </c>
      <c r="AI18" s="281" t="s">
        <v>30</v>
      </c>
      <c r="AJ18" s="281" t="s">
        <v>30</v>
      </c>
      <c r="AK18" s="281" t="s">
        <v>30</v>
      </c>
      <c r="AM18" s="286">
        <v>44832</v>
      </c>
      <c r="AN18" s="287" t="str">
        <f ca="1">DATEDIF(AM18,TODAY(),"y")&amp;" tahun "&amp;DATEDIF(AM18,TODAY(),"ym")&amp;" bulan "</f>
        <v xml:space="preserve">3 tahun 3 bulan </v>
      </c>
      <c r="AO18" s="281" t="s">
        <v>858</v>
      </c>
      <c r="AP18" s="281" t="s">
        <v>859</v>
      </c>
      <c r="AQ18" s="281" t="s">
        <v>1157</v>
      </c>
      <c r="AR18" s="281" t="s">
        <v>69</v>
      </c>
      <c r="AS18" s="281">
        <v>82234320272</v>
      </c>
      <c r="AT18" s="281" t="s">
        <v>70</v>
      </c>
      <c r="AU18" s="281" t="s">
        <v>30</v>
      </c>
      <c r="AV18" s="281"/>
      <c r="AW18" s="281" t="str">
        <f>VLOOKUP(B18,Sheet2!A86:I203,9,FALSE)</f>
        <v>Wachda Yuniar Rochmah, S.M., M.M.</v>
      </c>
      <c r="AX18" s="281" t="s">
        <v>902</v>
      </c>
      <c r="AY18" s="281" t="str">
        <f>VLOOKUP(B18,Sheet2!A86:C203,2,FALSE)</f>
        <v>Bojonegoro</v>
      </c>
      <c r="AZ18" s="288">
        <f>VLOOKUP(B18,Sheet2!A86:C203,3,FALSE)</f>
        <v>35582</v>
      </c>
      <c r="BA18" s="281">
        <f ca="1">DATEDIF(AZ18, TODAY(),"y")</f>
        <v>28</v>
      </c>
      <c r="BB18" s="281"/>
      <c r="BC18" s="281"/>
      <c r="BD18" s="281"/>
      <c r="BE18" s="281"/>
      <c r="BF18" s="289"/>
      <c r="BG18" s="289"/>
      <c r="BH18" s="289"/>
      <c r="BI18" s="289"/>
      <c r="BJ18" s="289"/>
      <c r="BK18" s="289"/>
      <c r="BL18" s="288" t="str">
        <f>VLOOKUP(B18,Sheet2!A86:D203,4,FALSE)</f>
        <v>Dosen</v>
      </c>
      <c r="BM18" s="281"/>
      <c r="BN18" s="281"/>
      <c r="BO18" s="281"/>
      <c r="BP18" s="281"/>
      <c r="BQ18" s="281"/>
      <c r="BR18" s="288" t="str">
        <f>VLOOKUP(B18,Sheet2!A86:E203,5,FALSE)</f>
        <v>ICT Business Management (IBM)</v>
      </c>
      <c r="BS18" s="288" t="str">
        <f>VLOOKUP(B18,Sheet2!A86:F203,6,FALSE)</f>
        <v>WYR</v>
      </c>
      <c r="BT18" s="288" t="str">
        <f>VLOOKUP(B18,Sheet2!A86:G203,7,FALSE)</f>
        <v>Fakultas Ekonomi dan Bisnis</v>
      </c>
      <c r="BU18" s="288" t="str">
        <f>VLOOKUP(B18,Sheet2!A86:H203,8,FALSE)</f>
        <v>wachdayuniarr@telkomuniversity.ac.id</v>
      </c>
      <c r="BV18" s="280">
        <f>COUNTIFS('Join TPA Dosen'!B:B,'Dosen sorted'!B86)</f>
        <v>1</v>
      </c>
      <c r="BW18" s="273" t="str">
        <f>DATEDIF(AM18,DATE(2026,1,1),"y")&amp;" tahun "&amp;DATEDIF(AM18,DATE(2026,1,1),"ym")&amp;" bulan "</f>
        <v xml:space="preserve">3 tahun 3 bulan </v>
      </c>
      <c r="BX18" s="280" t="str">
        <f>VLOOKUP($B18,Sheet1!$A:$G,2,FALSE)</f>
        <v>Tel-U</v>
      </c>
      <c r="BY18" s="280" t="str">
        <f>VLOOKUP($B18,Sheet1!$A:$G,3,FALSE)</f>
        <v>Ekonomi dan Bisnis/Manajemen</v>
      </c>
      <c r="BZ18" s="280" t="str">
        <f>VLOOKUP($B18,Sheet1!$A:$G,4,FALSE)</f>
        <v>Tel-U</v>
      </c>
      <c r="CA18" s="280" t="str">
        <f>VLOOKUP($B18,Sheet1!$A:$G,5,FALSE)</f>
        <v>Ekonomi dan Bisnis/Manajemen</v>
      </c>
      <c r="CB18" s="280" t="str">
        <f>VLOOKUP($B18,Sheet1!$A:$G,6,FALSE)</f>
        <v>-</v>
      </c>
      <c r="CC18" s="280">
        <f>VLOOKUP($B18,Sheet1!$A:$G,7,FALSE)</f>
        <v>0</v>
      </c>
      <c r="CD18" s="280" t="s">
        <v>862</v>
      </c>
      <c r="CE18" s="280" t="s">
        <v>863</v>
      </c>
    </row>
    <row r="19" spans="1:83" ht="19.5" hidden="1">
      <c r="A19" s="281">
        <v>123</v>
      </c>
      <c r="B19" s="281" t="s">
        <v>98</v>
      </c>
      <c r="C19" s="281" t="s">
        <v>20</v>
      </c>
      <c r="D19" s="281" t="s">
        <v>22</v>
      </c>
      <c r="E19" s="281">
        <v>25010008</v>
      </c>
      <c r="F19" s="291"/>
      <c r="G19" s="291" t="s">
        <v>99</v>
      </c>
      <c r="H19" s="291" t="s">
        <v>884</v>
      </c>
      <c r="I19" s="281"/>
      <c r="J19" s="281" t="s">
        <v>68</v>
      </c>
      <c r="K19" s="281" t="s">
        <v>917</v>
      </c>
      <c r="L19" s="281" t="s">
        <v>918</v>
      </c>
      <c r="M19" s="283" t="str">
        <f>IF(L19="NJAD","AA",IF(L19="AA","L",IF(L19="L","LK","GB")))</f>
        <v>AA</v>
      </c>
      <c r="N19" s="282" t="s">
        <v>511</v>
      </c>
      <c r="O19" s="281">
        <v>0</v>
      </c>
      <c r="P19" s="281"/>
      <c r="Q19" s="284">
        <v>45689</v>
      </c>
      <c r="R19" s="281" t="str">
        <f ca="1">DATEDIF(Q19,TODAY(), "Y") &amp; " Tahun " &amp; DATEDIF(Q19, TODAY(), "YM") &amp; " Bulan"</f>
        <v>0 Tahun 11 Bulan</v>
      </c>
      <c r="S19" s="282" t="s">
        <v>511</v>
      </c>
      <c r="T19" s="282" t="s">
        <v>511</v>
      </c>
      <c r="U19" s="281" t="e">
        <f ca="1">DATEDIF(T19,TODAY(), "Y") &amp; " Tahun " &amp; DATEDIF(T19, TODAY(), "YM") &amp; " Bulan"</f>
        <v>#VALUE!</v>
      </c>
      <c r="V19" s="281" t="s">
        <v>850</v>
      </c>
      <c r="W19" s="281" t="s">
        <v>851</v>
      </c>
      <c r="X19" s="283" t="str">
        <f ca="1">IF(AND(OR(L19="AA",L19="L"),OR(S19="Penata Muda Tk. I Golongan III/b",S19="Penata Golongan III/c"),DATEDIF(Q19,TODAY(),"m")&gt;=23,ISBLANK(Z19),C19="Aktif"),"Nominasi Serdos","-")</f>
        <v>-</v>
      </c>
      <c r="Y19" s="281"/>
      <c r="Z19" s="295"/>
      <c r="AA19" s="295"/>
      <c r="AB19" s="295"/>
      <c r="AC19" s="295"/>
      <c r="AD19" s="281"/>
      <c r="AE19" s="281"/>
      <c r="AF19" s="281"/>
      <c r="AG19" s="281"/>
      <c r="AH19" s="281" t="s">
        <v>854</v>
      </c>
      <c r="AI19" s="281"/>
      <c r="AJ19" s="281"/>
      <c r="AK19" s="281"/>
      <c r="AM19" s="286">
        <v>45689</v>
      </c>
      <c r="AN19" s="287" t="str">
        <f ca="1">DATEDIF(AM19,TODAY(),"y")&amp;" tahun "&amp;DATEDIF(AM19,TODAY(),"ym")&amp;" bulan "</f>
        <v xml:space="preserve">0 tahun 11 bulan </v>
      </c>
      <c r="AO19" s="281" t="s">
        <v>858</v>
      </c>
      <c r="AP19" s="281" t="s">
        <v>859</v>
      </c>
      <c r="AQ19" s="281" t="s">
        <v>1314</v>
      </c>
      <c r="AR19" s="281" t="s">
        <v>100</v>
      </c>
      <c r="AS19" s="281">
        <v>81222871863</v>
      </c>
      <c r="AT19" s="281" t="s">
        <v>101</v>
      </c>
      <c r="AU19" s="281"/>
      <c r="AV19" s="281"/>
      <c r="AW19" s="281" t="s">
        <v>1315</v>
      </c>
      <c r="AX19" s="281" t="s">
        <v>902</v>
      </c>
      <c r="AY19" s="281" t="s">
        <v>1316</v>
      </c>
      <c r="AZ19" s="288">
        <v>36911</v>
      </c>
      <c r="BA19" s="281">
        <f ca="1">DATEDIF(AZ19, TODAY(),"y")</f>
        <v>24</v>
      </c>
      <c r="BB19" s="281"/>
      <c r="BC19" s="281"/>
      <c r="BD19" s="281"/>
      <c r="BE19" s="295"/>
      <c r="BF19" s="289"/>
      <c r="BG19" s="289"/>
      <c r="BH19" s="289"/>
      <c r="BI19" s="289"/>
      <c r="BJ19" s="289"/>
      <c r="BK19" s="289"/>
      <c r="BL19" s="288" t="s">
        <v>21</v>
      </c>
      <c r="BM19" s="281"/>
      <c r="BN19" s="286"/>
      <c r="BO19" s="281"/>
      <c r="BP19" s="281"/>
      <c r="BQ19" s="281"/>
      <c r="BR19" s="288" t="e">
        <f>VLOOKUP(B19,Sheet2!A124:E241,5,FALSE)</f>
        <v>#N/A</v>
      </c>
      <c r="BS19" s="288" t="s">
        <v>1314</v>
      </c>
      <c r="BT19" s="288" t="s">
        <v>944</v>
      </c>
      <c r="BU19" s="288" t="s">
        <v>1317</v>
      </c>
      <c r="BV19" s="280">
        <f>COUNTIFS('Join TPA Dosen'!B:B,'Dosen sorted'!B124)</f>
        <v>1</v>
      </c>
      <c r="BW19" s="273" t="str">
        <f>DATEDIF(AM19,DATE(2026,1,1),"y")&amp;" tahun "&amp;DATEDIF(AM19,DATE(2026,1,1),"ym")&amp;" bulan "</f>
        <v xml:space="preserve">0 tahun 11 bulan </v>
      </c>
      <c r="BX19" s="280" t="e">
        <f>VLOOKUP($B19,Sheet1!$A:$G,2,FALSE)</f>
        <v>#N/A</v>
      </c>
      <c r="BY19" s="280" t="e">
        <f>VLOOKUP($B19,Sheet1!$A:$G,3,FALSE)</f>
        <v>#N/A</v>
      </c>
      <c r="BZ19" s="280" t="e">
        <f>VLOOKUP($B19,Sheet1!$A:$G,4,FALSE)</f>
        <v>#N/A</v>
      </c>
      <c r="CA19" s="280" t="e">
        <f>VLOOKUP($B19,Sheet1!$A:$G,5,FALSE)</f>
        <v>#N/A</v>
      </c>
      <c r="CB19" s="280" t="e">
        <f>VLOOKUP($B19,Sheet1!$A:$G,6,FALSE)</f>
        <v>#N/A</v>
      </c>
      <c r="CC19" s="280" t="e">
        <f>VLOOKUP($B19,Sheet1!$A:$G,7,FALSE)</f>
        <v>#N/A</v>
      </c>
      <c r="CD19" s="280" t="s">
        <v>871</v>
      </c>
      <c r="CE19" s="280" t="s">
        <v>863</v>
      </c>
    </row>
    <row r="20" spans="1:83" ht="23.25" hidden="1" customHeight="1">
      <c r="A20" s="281">
        <v>135</v>
      </c>
      <c r="B20" s="281" t="s">
        <v>1387</v>
      </c>
      <c r="C20" s="281" t="s">
        <v>20</v>
      </c>
      <c r="D20" s="281" t="s">
        <v>107</v>
      </c>
      <c r="E20" s="281">
        <v>25950039</v>
      </c>
      <c r="H20" s="291" t="s">
        <v>884</v>
      </c>
      <c r="J20" s="281" t="s">
        <v>118</v>
      </c>
      <c r="K20" s="281" t="s">
        <v>917</v>
      </c>
      <c r="L20" s="281" t="s">
        <v>918</v>
      </c>
      <c r="M20" s="283" t="str">
        <f>IF(L20="NJAD","AA",IF(L20="AA","L",IF(L20="L","LK","GB")))</f>
        <v>AA</v>
      </c>
      <c r="Q20" s="284">
        <v>45915</v>
      </c>
      <c r="R20" s="281" t="str">
        <f ca="1">DATEDIF(Q20,TODAY(), "Y") &amp; " Tahun " &amp; DATEDIF(Q20, TODAY(), "YM") &amp; " Bulan"</f>
        <v>0 Tahun 4 Bulan</v>
      </c>
      <c r="V20" s="281" t="s">
        <v>1026</v>
      </c>
      <c r="W20" s="281" t="s">
        <v>851</v>
      </c>
      <c r="AH20" s="281" t="s">
        <v>854</v>
      </c>
      <c r="AM20" s="286">
        <v>45915</v>
      </c>
      <c r="AN20" s="287" t="str">
        <f ca="1">DATEDIF(AM20,TODAY(),"y")&amp;" tahun "&amp;DATEDIF(AM20,TODAY(),"ym")&amp;" bulan "</f>
        <v xml:space="preserve">0 tahun 4 bulan </v>
      </c>
      <c r="AP20" s="281" t="s">
        <v>962</v>
      </c>
      <c r="AQ20" s="281" t="s">
        <v>1388</v>
      </c>
      <c r="AS20" s="281">
        <v>81241520135</v>
      </c>
      <c r="AT20" s="281" t="s">
        <v>1389</v>
      </c>
      <c r="AW20" s="281" t="str">
        <f>VLOOKUP(B20,Sheet2!A120:I237,9,FALSE)</f>
        <v>Affifah Mutiara Pertiwi, S.Kom., M.Cs.</v>
      </c>
      <c r="AX20" s="281" t="s">
        <v>902</v>
      </c>
      <c r="AY20" s="281" t="str">
        <f>VLOOKUP(B20,Sheet2!A118:C235,2,FALSE)</f>
        <v>Kulon Progo</v>
      </c>
      <c r="AZ20" s="288">
        <f>VLOOKUP(B20,Sheet2!A120:C237,3,FALSE)</f>
        <v>34928</v>
      </c>
      <c r="BA20" s="281">
        <f ca="1">DATEDIF(AZ20, TODAY(),"y")</f>
        <v>30</v>
      </c>
      <c r="BL20" s="288" t="s">
        <v>21</v>
      </c>
      <c r="BS20" s="288" t="str">
        <f>VLOOKUP(B20,Sheet2!A120:F237,6,FALSE)</f>
        <v>FFM</v>
      </c>
      <c r="BT20" s="288" t="str">
        <f>VLOOKUP(B20,Sheet2!A120:G237,7,FALSE)</f>
        <v>Fakultas Informatika</v>
      </c>
      <c r="BU20" s="288" t="str">
        <f>VLOOKUP(B20,Sheet2!A120:H237,8,FALSE)</f>
        <v>affifahmutiara@telkomuniversity.ac.id</v>
      </c>
      <c r="BV20" s="280">
        <f>COUNTIFS('Join TPA Dosen'!B:B,'Dosen sorted'!B127)</f>
        <v>1</v>
      </c>
      <c r="BW20" s="273" t="str">
        <f>DATEDIF(AM20,DATE(2026,1,1),"y")&amp;" tahun "&amp;DATEDIF(AM20,DATE(2026,1,1),"ym")&amp;" bulan "</f>
        <v xml:space="preserve">0 tahun 3 bulan </v>
      </c>
    </row>
    <row r="21" spans="1:83" ht="21.75" hidden="1" customHeight="1">
      <c r="A21" s="281">
        <v>48</v>
      </c>
      <c r="B21" s="281" t="s">
        <v>111</v>
      </c>
      <c r="C21" s="281" t="s">
        <v>20</v>
      </c>
      <c r="D21" s="281" t="s">
        <v>107</v>
      </c>
      <c r="E21" s="281">
        <v>25950031</v>
      </c>
      <c r="F21" s="281" t="s">
        <v>1015</v>
      </c>
      <c r="G21" s="282" t="s">
        <v>112</v>
      </c>
      <c r="H21" s="301" t="s">
        <v>845</v>
      </c>
      <c r="I21" s="281" t="s">
        <v>30</v>
      </c>
      <c r="J21" s="281" t="s">
        <v>113</v>
      </c>
      <c r="K21" s="281" t="s">
        <v>893</v>
      </c>
      <c r="L21" s="281" t="s">
        <v>775</v>
      </c>
      <c r="M21" s="283" t="s">
        <v>776</v>
      </c>
      <c r="N21" s="292" t="s">
        <v>511</v>
      </c>
      <c r="O21" s="281">
        <v>200</v>
      </c>
      <c r="P21" s="281" t="s">
        <v>1016</v>
      </c>
      <c r="Q21" s="284">
        <v>45901</v>
      </c>
      <c r="R21" s="281" t="str">
        <f ca="1">DATEDIF(Q21,TODAY(), "Y") &amp; " Tahun " &amp; DATEDIF(Q21, TODAY(), "YM") &amp; " Bulan"</f>
        <v>0 Tahun 4 Bulan</v>
      </c>
      <c r="S21" s="281" t="s">
        <v>849</v>
      </c>
      <c r="T21" s="285">
        <v>45078</v>
      </c>
      <c r="U21" s="281" t="str">
        <f ca="1">DATEDIF(T21,TODAY(), "Y") &amp; " Tahun " &amp; DATEDIF(T21, TODAY(), "YM") &amp; " Bulan"</f>
        <v>2 Tahun 7 Bulan</v>
      </c>
      <c r="V21" s="281" t="s">
        <v>1017</v>
      </c>
      <c r="W21" s="281" t="s">
        <v>851</v>
      </c>
      <c r="X21" s="283" t="str">
        <f ca="1">IF(AND(OR(L21="AA",L21="L"),OR(S21="Penata Muda Tk. I Golongan III/b",S21="Penata Golongan III/c"),DATEDIF(Q21,TODAY(),"m")&gt;=23,ISBLANK(Z21),C21="Aktif"),"Nominasi Serdos","-")</f>
        <v>-</v>
      </c>
      <c r="Y21" s="281" t="s">
        <v>1013</v>
      </c>
      <c r="Z21" s="282"/>
      <c r="AA21" s="281"/>
      <c r="AB21" s="281" t="s">
        <v>30</v>
      </c>
      <c r="AC21" s="282" t="s">
        <v>511</v>
      </c>
      <c r="AD21" s="281" t="s">
        <v>30</v>
      </c>
      <c r="AE21" s="281" t="s">
        <v>30</v>
      </c>
      <c r="AF21" s="281" t="s">
        <v>30</v>
      </c>
      <c r="AG21" s="281" t="s">
        <v>30</v>
      </c>
      <c r="AH21" s="281" t="s">
        <v>854</v>
      </c>
      <c r="AI21" s="281" t="s">
        <v>30</v>
      </c>
      <c r="AJ21" s="281" t="s">
        <v>30</v>
      </c>
      <c r="AK21" s="281" t="s">
        <v>30</v>
      </c>
      <c r="AM21" s="286">
        <v>44166</v>
      </c>
      <c r="AN21" s="287" t="str">
        <f ca="1">DATEDIF(AM21,TODAY(),"y")&amp;" tahun "&amp;DATEDIF(AM21,TODAY(),"ym")&amp;" bulan "</f>
        <v xml:space="preserve">5 tahun 1 bulan </v>
      </c>
      <c r="AO21" s="281" t="s">
        <v>858</v>
      </c>
      <c r="AP21" s="281" t="s">
        <v>962</v>
      </c>
      <c r="AQ21" s="281" t="s">
        <v>1018</v>
      </c>
      <c r="AR21" s="281" t="s">
        <v>114</v>
      </c>
      <c r="AS21" s="281">
        <v>82132194465</v>
      </c>
      <c r="AT21" s="281" t="s">
        <v>115</v>
      </c>
      <c r="AU21" s="281" t="s">
        <v>30</v>
      </c>
      <c r="AV21" s="281"/>
      <c r="AW21" s="281" t="str">
        <f>VLOOKUP(B21,Sheet2!A49:I166,9,FALSE)</f>
        <v>Ahmad Wali Satria Bahari Johan, S.ST., M.Kom.</v>
      </c>
      <c r="AX21" s="281" t="s">
        <v>861</v>
      </c>
      <c r="AY21" s="281" t="str">
        <f>VLOOKUP(B21,Sheet2!A49:C166,2,FALSE)</f>
        <v>Bojonegoro</v>
      </c>
      <c r="AZ21" s="288">
        <f>VLOOKUP(B21,Sheet2!A49:C166,3,FALSE)</f>
        <v>34832</v>
      </c>
      <c r="BA21" s="281">
        <f ca="1">DATEDIF(AZ21, TODAY(),"y")</f>
        <v>30</v>
      </c>
      <c r="BB21" s="281"/>
      <c r="BC21" s="281"/>
      <c r="BD21" s="281"/>
      <c r="BE21" s="281"/>
      <c r="BF21" s="289"/>
      <c r="BG21" s="289"/>
      <c r="BH21" s="289"/>
      <c r="BI21" s="289"/>
      <c r="BJ21" s="289"/>
      <c r="BK21" s="289"/>
      <c r="BL21" s="288" t="s">
        <v>1019</v>
      </c>
      <c r="BM21" s="281"/>
      <c r="BN21" s="281"/>
      <c r="BO21" s="281"/>
      <c r="BP21" s="281"/>
      <c r="BQ21" s="281"/>
      <c r="BR21" s="288" t="str">
        <f>VLOOKUP(B21,Sheet2!A49:E166,5,FALSE)</f>
        <v>Data Science and Intelligent Systems (DSIS)</v>
      </c>
      <c r="BS21" s="288" t="str">
        <f>VLOOKUP(B21,Sheet2!A49:F166,6,FALSE)</f>
        <v>AWQ</v>
      </c>
      <c r="BT21" s="288" t="str">
        <f>VLOOKUP(B21,Sheet2!A49:G166,7,FALSE)</f>
        <v>Fakultas Informatika</v>
      </c>
      <c r="BU21" s="288" t="str">
        <f>VLOOKUP(B21,Sheet2!A49:H166,8,FALSE)</f>
        <v>ahmadsatria@telkomuniversity.ac.id</v>
      </c>
      <c r="BV21" s="280">
        <f>COUNTIFS('Join TPA Dosen'!B:B,'Dosen sorted'!B49)</f>
        <v>0</v>
      </c>
      <c r="BW21" s="273" t="str">
        <f>DATEDIF(AM21,DATE(2026,1,1),"y")&amp;" tahun "&amp;DATEDIF(AM21,DATE(2026,1,1),"ym")&amp;" bulan "</f>
        <v xml:space="preserve">5 tahun 1 bulan </v>
      </c>
      <c r="BX21" s="280" t="str">
        <f>VLOOKUP($B21,Sheet1!$A:$G,2,FALSE)</f>
        <v>POLINEMA</v>
      </c>
      <c r="BY21" s="280" t="str">
        <f>VLOOKUP($B21,Sheet1!$A:$G,3,FALSE)</f>
        <v>Teknologi Informasi/Teknik Informatika</v>
      </c>
      <c r="BZ21" s="280" t="str">
        <f>VLOOKUP($B21,Sheet1!$A:$G,4,FALSE)</f>
        <v>Univ. Brawijaya</v>
      </c>
      <c r="CA21" s="280" t="str">
        <f>VLOOKUP($B21,Sheet1!$A:$G,5,FALSE)</f>
        <v>Ilmu Komputer/Ilmu Komputer</v>
      </c>
      <c r="CB21" s="280" t="str">
        <f>VLOOKUP($B21,Sheet1!$A:$G,6,FALSE)</f>
        <v>-</v>
      </c>
      <c r="CC21" s="280">
        <f>VLOOKUP($B21,Sheet1!$A:$G,7,FALSE)</f>
        <v>0</v>
      </c>
      <c r="CD21" s="280" t="s">
        <v>862</v>
      </c>
      <c r="CE21" s="280" t="s">
        <v>903</v>
      </c>
    </row>
    <row r="22" spans="1:83" ht="19.5" hidden="1">
      <c r="A22" s="281">
        <v>90</v>
      </c>
      <c r="B22" s="281" t="s">
        <v>133</v>
      </c>
      <c r="C22" s="281" t="s">
        <v>20</v>
      </c>
      <c r="D22" s="281" t="s">
        <v>107</v>
      </c>
      <c r="E22" s="281">
        <v>22960060</v>
      </c>
      <c r="F22" s="281" t="s">
        <v>1170</v>
      </c>
      <c r="G22" s="282" t="s">
        <v>134</v>
      </c>
      <c r="H22" s="291" t="s">
        <v>884</v>
      </c>
      <c r="I22" s="281" t="s">
        <v>30</v>
      </c>
      <c r="J22" s="281" t="s">
        <v>57</v>
      </c>
      <c r="K22" s="281" t="s">
        <v>846</v>
      </c>
      <c r="L22" s="281" t="s">
        <v>847</v>
      </c>
      <c r="M22" s="283" t="str">
        <f>IF(L22="NJAD","AA",IF(L22="AA","L",IF(L22="L","LK","GB")))</f>
        <v>L</v>
      </c>
      <c r="N22" s="282" t="s">
        <v>511</v>
      </c>
      <c r="O22" s="281">
        <v>150</v>
      </c>
      <c r="P22" s="281" t="s">
        <v>1171</v>
      </c>
      <c r="Q22" s="284">
        <v>45444</v>
      </c>
      <c r="R22" s="281" t="str">
        <f ca="1">DATEDIF(Q22,TODAY(), "Y") &amp; " Tahun " &amp; DATEDIF(Q22, TODAY(), "YM") &amp; " Bulan"</f>
        <v>1 Tahun 7 Bulan</v>
      </c>
      <c r="S22" s="281" t="s">
        <v>849</v>
      </c>
      <c r="T22" s="285">
        <v>45717</v>
      </c>
      <c r="U22" s="281" t="str">
        <f ca="1">DATEDIF(T22,TODAY(), "Y") &amp; " Tahun " &amp; DATEDIF(T22, TODAY(), "YM") &amp; " Bulan"</f>
        <v>0 Tahun 10 Bulan</v>
      </c>
      <c r="V22" s="281" t="s">
        <v>1026</v>
      </c>
      <c r="W22" s="281" t="s">
        <v>851</v>
      </c>
      <c r="X22" s="283" t="str">
        <f ca="1">IF(AND(OR(L22="AA",L22="L"),OR(S22="Penata Muda Tk. I Golongan III/b",S22="Penata Golongan III/c"),DATEDIF(Q22,TODAY(),"m")&gt;=23,ISBLANK(Z22),C22="Aktif"),"Nominasi Serdos","-")</f>
        <v>-</v>
      </c>
      <c r="Y22" s="281"/>
      <c r="Z22" s="282"/>
      <c r="AA22" s="295"/>
      <c r="AB22" s="281" t="s">
        <v>30</v>
      </c>
      <c r="AC22" s="282" t="s">
        <v>511</v>
      </c>
      <c r="AD22" s="281" t="s">
        <v>30</v>
      </c>
      <c r="AE22" s="281" t="s">
        <v>30</v>
      </c>
      <c r="AF22" s="281" t="s">
        <v>30</v>
      </c>
      <c r="AG22" s="281" t="s">
        <v>30</v>
      </c>
      <c r="AH22" s="281" t="s">
        <v>854</v>
      </c>
      <c r="AI22" s="281" t="s">
        <v>30</v>
      </c>
      <c r="AJ22" s="281" t="s">
        <v>30</v>
      </c>
      <c r="AK22" s="281" t="s">
        <v>30</v>
      </c>
      <c r="AM22" s="286">
        <v>44832</v>
      </c>
      <c r="AN22" s="287" t="str">
        <f ca="1">DATEDIF(AM22,TODAY(),"y")&amp;" tahun "&amp;DATEDIF(AM22,TODAY(),"ym")&amp;" bulan "</f>
        <v xml:space="preserve">3 tahun 3 bulan </v>
      </c>
      <c r="AO22" s="281" t="s">
        <v>858</v>
      </c>
      <c r="AP22" s="281" t="s">
        <v>962</v>
      </c>
      <c r="AQ22" s="281" t="s">
        <v>1172</v>
      </c>
      <c r="AR22" s="281" t="s">
        <v>135</v>
      </c>
      <c r="AS22" s="281">
        <v>82143463645</v>
      </c>
      <c r="AT22" s="281" t="s">
        <v>136</v>
      </c>
      <c r="AU22" s="281" t="s">
        <v>30</v>
      </c>
      <c r="AV22" s="281"/>
      <c r="AW22" s="281" t="str">
        <f>VLOOKUP(B22,Sheet2!A91:I208,9,FALSE)</f>
        <v>Alqis Rausanfita, S.Kom., M.Kom.</v>
      </c>
      <c r="AX22" s="281" t="s">
        <v>902</v>
      </c>
      <c r="AY22" s="281" t="str">
        <f>VLOOKUP(B22,Sheet2!A91:C208,2,FALSE)</f>
        <v>Surabaya</v>
      </c>
      <c r="AZ22" s="288">
        <f>VLOOKUP(B22,Sheet2!A91:C208,3,FALSE)</f>
        <v>35105</v>
      </c>
      <c r="BA22" s="281">
        <f ca="1">DATEDIF(AZ22, TODAY(),"y")</f>
        <v>29</v>
      </c>
      <c r="BB22" s="281"/>
      <c r="BC22" s="281"/>
      <c r="BD22" s="281"/>
      <c r="BE22" s="281"/>
      <c r="BF22" s="289"/>
      <c r="BG22" s="289"/>
      <c r="BH22" s="289"/>
      <c r="BI22" s="289"/>
      <c r="BJ22" s="289"/>
      <c r="BK22" s="289"/>
      <c r="BL22" s="288" t="str">
        <f>VLOOKUP(B22,Sheet2!A91:D208,4,FALSE)</f>
        <v>Dosen</v>
      </c>
      <c r="BM22" s="281"/>
      <c r="BN22" s="281"/>
      <c r="BO22" s="281"/>
      <c r="BP22" s="281"/>
      <c r="BQ22" s="281"/>
      <c r="BR22" s="288" t="str">
        <f>VLOOKUP(B22,Sheet2!A91:E208,5,FALSE)</f>
        <v>Data Science and Intelligent Systems (DSIS)</v>
      </c>
      <c r="BS22" s="288" t="str">
        <f>VLOOKUP(B22,Sheet2!A91:F208,6,FALSE)</f>
        <v>ALQ</v>
      </c>
      <c r="BT22" s="288" t="str">
        <f>VLOOKUP(B22,Sheet2!A91:G208,7,FALSE)</f>
        <v>Fakultas Informatika</v>
      </c>
      <c r="BU22" s="288" t="str">
        <f>VLOOKUP(B22,Sheet2!A91:H208,8,FALSE)</f>
        <v>alqisfita@telkomuniversity.ac.id</v>
      </c>
      <c r="BV22" s="280">
        <f>COUNTIFS('Join TPA Dosen'!B:B,'Dosen sorted'!B91)</f>
        <v>1</v>
      </c>
      <c r="BW22" s="273" t="str">
        <f>DATEDIF(AM22,DATE(2026,1,1),"y")&amp;" tahun "&amp;DATEDIF(AM22,DATE(2026,1,1),"ym")&amp;" bulan "</f>
        <v xml:space="preserve">3 tahun 3 bulan </v>
      </c>
      <c r="BX22" s="280" t="str">
        <f>VLOOKUP($B22,Sheet1!$A:$G,2,FALSE)</f>
        <v>Univ. Brawijaya</v>
      </c>
      <c r="BY22" s="280" t="str">
        <f>VLOOKUP($B22,Sheet1!$A:$G,3,FALSE)</f>
        <v>Ilmu Komputer/Teknik Informatika</v>
      </c>
      <c r="BZ22" s="280" t="str">
        <f>VLOOKUP($B22,Sheet1!$A:$G,4,FALSE)</f>
        <v>ITS</v>
      </c>
      <c r="CA22" s="280" t="str">
        <f>VLOOKUP($B22,Sheet1!$A:$G,5,FALSE)</f>
        <v>Teknologi Elektro dan Informatika Cerdas/Teknik Informatika</v>
      </c>
      <c r="CB22" s="280" t="str">
        <f>VLOOKUP($B22,Sheet1!$A:$G,6,FALSE)</f>
        <v>-</v>
      </c>
      <c r="CC22" s="280">
        <f>VLOOKUP($B22,Sheet1!$A:$G,7,FALSE)</f>
        <v>0</v>
      </c>
      <c r="CD22" s="280" t="s">
        <v>882</v>
      </c>
      <c r="CE22" s="280" t="s">
        <v>903</v>
      </c>
    </row>
    <row r="23" spans="1:83" ht="19.5" hidden="1">
      <c r="A23" s="281">
        <v>31</v>
      </c>
      <c r="B23" s="281" t="s">
        <v>106</v>
      </c>
      <c r="C23" s="281" t="s">
        <v>20</v>
      </c>
      <c r="D23" s="281" t="s">
        <v>107</v>
      </c>
      <c r="E23" s="281">
        <v>25920026</v>
      </c>
      <c r="F23" s="281" t="s">
        <v>958</v>
      </c>
      <c r="G23" s="282" t="s">
        <v>108</v>
      </c>
      <c r="H23" s="301" t="s">
        <v>845</v>
      </c>
      <c r="I23" s="281" t="s">
        <v>30</v>
      </c>
      <c r="J23" s="281" t="s">
        <v>57</v>
      </c>
      <c r="K23" s="281" t="s">
        <v>846</v>
      </c>
      <c r="L23" s="281" t="s">
        <v>847</v>
      </c>
      <c r="M23" s="283" t="str">
        <f>IF(L23="NJAD","AA",IF(L23="AA","L",IF(L23="L","LK","GB")))</f>
        <v>L</v>
      </c>
      <c r="N23" s="282" t="s">
        <v>511</v>
      </c>
      <c r="O23" s="281">
        <v>150</v>
      </c>
      <c r="P23" s="281" t="s">
        <v>959</v>
      </c>
      <c r="Q23" s="284">
        <v>43999</v>
      </c>
      <c r="R23" s="281" t="str">
        <f ca="1">DATEDIF(Q23,TODAY(), "Y") &amp; " Tahun " &amp; DATEDIF(Q23, TODAY(), "YM") &amp; " Bulan"</f>
        <v>5 Tahun 7 Bulan</v>
      </c>
      <c r="S23" s="281" t="s">
        <v>849</v>
      </c>
      <c r="T23" s="285">
        <v>44044</v>
      </c>
      <c r="U23" s="281" t="str">
        <f ca="1">DATEDIF(T23,TODAY(), "Y") &amp; " Tahun " &amp; DATEDIF(T23, TODAY(), "YM") &amp; " Bulan"</f>
        <v>5 Tahun 5 Bulan</v>
      </c>
      <c r="V23" s="281" t="s">
        <v>960</v>
      </c>
      <c r="W23" s="281" t="s">
        <v>851</v>
      </c>
      <c r="X23" s="283" t="str">
        <f ca="1">IF(AND(OR(L23="AA",L23="L"),OR(S23="Penata Muda Tk. I Golongan III/b",S23="Penata Golongan III/c"),DATEDIF(Q23,TODAY(),"m")&gt;=23,ISBLANK(Z23),C23="Aktif"),"Nominasi Serdos","-")</f>
        <v>-</v>
      </c>
      <c r="Y23" s="281"/>
      <c r="Z23" s="281" t="s">
        <v>852</v>
      </c>
      <c r="AA23" s="281">
        <v>22107201905491</v>
      </c>
      <c r="AB23" s="281" t="s">
        <v>961</v>
      </c>
      <c r="AC23" s="285">
        <v>44846</v>
      </c>
      <c r="AD23" s="281" t="s">
        <v>30</v>
      </c>
      <c r="AE23" s="281" t="s">
        <v>30</v>
      </c>
      <c r="AF23" s="281" t="s">
        <v>30</v>
      </c>
      <c r="AG23" s="281" t="s">
        <v>30</v>
      </c>
      <c r="AH23" s="281" t="s">
        <v>854</v>
      </c>
      <c r="AI23" s="281" t="s">
        <v>30</v>
      </c>
      <c r="AJ23" s="281" t="s">
        <v>30</v>
      </c>
      <c r="AK23" s="281" t="s">
        <v>30</v>
      </c>
      <c r="AM23" s="286">
        <v>43282</v>
      </c>
      <c r="AN23" s="287" t="str">
        <f ca="1">DATEDIF(AM23,TODAY(),"y")&amp;" tahun "&amp;DATEDIF(AM23,TODAY(),"ym")&amp;" bulan "</f>
        <v xml:space="preserve">7 tahun 6 bulan </v>
      </c>
      <c r="AO23" s="281" t="s">
        <v>858</v>
      </c>
      <c r="AP23" s="281" t="s">
        <v>962</v>
      </c>
      <c r="AQ23" s="281" t="s">
        <v>963</v>
      </c>
      <c r="AR23" s="281" t="s">
        <v>109</v>
      </c>
      <c r="AS23" s="281">
        <v>82245510526</v>
      </c>
      <c r="AT23" s="281" t="s">
        <v>110</v>
      </c>
      <c r="AU23" s="281" t="s">
        <v>30</v>
      </c>
      <c r="AV23" s="281"/>
      <c r="AW23" s="281" t="str">
        <f>VLOOKUP(B23,Sheet2!A32:I149,9,FALSE)</f>
        <v>Ardian Yusuf Wicaksono, S.Kom., M.Kom.</v>
      </c>
      <c r="AX23" s="281" t="s">
        <v>861</v>
      </c>
      <c r="AY23" s="281" t="str">
        <f>VLOOKUP(B23,Sheet2!A32:C149,2,FALSE)</f>
        <v>Nganjuk</v>
      </c>
      <c r="AZ23" s="288">
        <f>VLOOKUP(B23,Sheet2!A32:C149,3,FALSE)</f>
        <v>33874</v>
      </c>
      <c r="BA23" s="281">
        <f ca="1">DATEDIF(AZ23, TODAY(),"y")</f>
        <v>33</v>
      </c>
      <c r="BB23" s="281"/>
      <c r="BC23" s="281"/>
      <c r="BD23" s="281"/>
      <c r="BE23" s="281"/>
      <c r="BF23" s="289"/>
      <c r="BG23" s="289"/>
      <c r="BH23" s="289"/>
      <c r="BI23" s="289"/>
      <c r="BJ23" s="289"/>
      <c r="BK23" s="289"/>
      <c r="BL23" s="288" t="str">
        <f>VLOOKUP(B23,Sheet2!A32:D149,4,FALSE)</f>
        <v>Kabag</v>
      </c>
      <c r="BM23" s="281"/>
      <c r="BN23" s="281"/>
      <c r="BO23" s="281"/>
      <c r="BP23" s="281"/>
      <c r="BQ23" s="281"/>
      <c r="BR23" s="288" t="str">
        <f>VLOOKUP(B23,Sheet2!A32:E149,5,FALSE)</f>
        <v>Data Science and Intelligent Systems (DSIS)</v>
      </c>
      <c r="BS23" s="288" t="str">
        <f>VLOOKUP(B23,Sheet2!A32:F149,6,FALSE)</f>
        <v>CAK</v>
      </c>
      <c r="BT23" s="288" t="str">
        <f>VLOOKUP(B23,Sheet2!A32:G149,7,FALSE)</f>
        <v>Fakultas Informatika</v>
      </c>
      <c r="BU23" s="288" t="str">
        <f>VLOOKUP(B23,Sheet2!A32:H149,8,FALSE)</f>
        <v>ardianyw@telkomuniversity.ac.id</v>
      </c>
      <c r="BV23" s="280">
        <f>COUNTIFS('Join TPA Dosen'!B:B,'Dosen sorted'!B4)</f>
        <v>1</v>
      </c>
      <c r="BW23" s="273" t="str">
        <f>DATEDIF(AM23,DATE(2026,1,1),"y")&amp;" tahun "&amp;DATEDIF(AM23,DATE(2026,1,1),"ym")&amp;" bulan "</f>
        <v xml:space="preserve">7 tahun 6 bulan </v>
      </c>
      <c r="BX23" s="280" t="str">
        <f>VLOOKUP($B23,Sheet1!$A:$G,2,FALSE)</f>
        <v>ITS</v>
      </c>
      <c r="BY23" s="280" t="str">
        <f>VLOOKUP($B23,Sheet1!$A:$G,3,FALSE)</f>
        <v>Teknologi Informasi/Teknik Informatika</v>
      </c>
      <c r="BZ23" s="280" t="str">
        <f>VLOOKUP($B23,Sheet1!$A:$G,4,FALSE)</f>
        <v>ITS</v>
      </c>
      <c r="CA23" s="280" t="str">
        <f>VLOOKUP($B23,Sheet1!$A:$G,5,FALSE)</f>
        <v>Teknologi Informasi/Teknik Informatika</v>
      </c>
      <c r="CB23" s="280" t="str">
        <f>VLOOKUP($B23,Sheet1!$A:$G,6,FALSE)</f>
        <v>-</v>
      </c>
      <c r="CC23" s="280">
        <f>VLOOKUP($B23,Sheet1!$A:$G,7,FALSE)</f>
        <v>0</v>
      </c>
      <c r="CD23" s="280" t="s">
        <v>862</v>
      </c>
      <c r="CE23" s="280" t="s">
        <v>903</v>
      </c>
    </row>
    <row r="24" spans="1:83" ht="19.5" hidden="1">
      <c r="A24" s="281">
        <v>103</v>
      </c>
      <c r="B24" s="281" t="s">
        <v>137</v>
      </c>
      <c r="C24" s="281" t="s">
        <v>20</v>
      </c>
      <c r="D24" s="281" t="s">
        <v>107</v>
      </c>
      <c r="E24" s="281">
        <v>23970024</v>
      </c>
      <c r="F24" s="296" t="s">
        <v>1244</v>
      </c>
      <c r="G24" s="296" t="s">
        <v>138</v>
      </c>
      <c r="H24" s="291" t="s">
        <v>884</v>
      </c>
      <c r="I24" s="295" t="s">
        <v>30</v>
      </c>
      <c r="J24" s="281" t="s">
        <v>57</v>
      </c>
      <c r="K24" s="281" t="s">
        <v>846</v>
      </c>
      <c r="L24" s="281" t="s">
        <v>847</v>
      </c>
      <c r="M24" s="283" t="str">
        <f>IF(L24="NJAD","AA",IF(L24="AA","L",IF(L24="L","LK","GB")))</f>
        <v>L</v>
      </c>
      <c r="N24" s="292"/>
      <c r="O24" s="281">
        <v>150</v>
      </c>
      <c r="P24" s="281" t="s">
        <v>1245</v>
      </c>
      <c r="Q24" s="284">
        <v>45870</v>
      </c>
      <c r="R24" s="281" t="str">
        <f ca="1">DATEDIF(Q24,TODAY(), "Y") &amp; " Tahun " &amp; DATEDIF(Q24, TODAY(), "YM") &amp; " Bulan"</f>
        <v>0 Tahun 5 Bulan</v>
      </c>
      <c r="S24" s="281" t="s">
        <v>849</v>
      </c>
      <c r="T24" s="285">
        <v>45931</v>
      </c>
      <c r="U24" s="281" t="str">
        <f ca="1">DATEDIF(T24,TODAY(), "Y") &amp; " Tahun " &amp; DATEDIF(T24, TODAY(), "YM") &amp; " Bulan"</f>
        <v>0 Tahun 3 Bulan</v>
      </c>
      <c r="V24" s="281" t="s">
        <v>1026</v>
      </c>
      <c r="W24" s="281" t="s">
        <v>851</v>
      </c>
      <c r="X24" s="283" t="str">
        <f ca="1">IF(AND(OR(L24="AA",L24="L"),OR(S24="Penata Muda Tk. I Golongan III/b",S24="Penata Golongan III/c"),DATEDIF(Q24,TODAY(),"m")&gt;=23,ISBLANK(Z24),C24="Aktif"),"Nominasi Serdos","-")</f>
        <v>-</v>
      </c>
      <c r="Y24" s="281"/>
      <c r="Z24" s="297"/>
      <c r="AA24" s="297"/>
      <c r="AB24" s="295" t="s">
        <v>30</v>
      </c>
      <c r="AC24" s="297" t="s">
        <v>511</v>
      </c>
      <c r="AD24" s="281" t="s">
        <v>30</v>
      </c>
      <c r="AE24" s="281" t="s">
        <v>30</v>
      </c>
      <c r="AF24" s="281" t="s">
        <v>30</v>
      </c>
      <c r="AG24" s="281" t="s">
        <v>30</v>
      </c>
      <c r="AH24" s="281" t="s">
        <v>854</v>
      </c>
      <c r="AI24" s="293" t="s">
        <v>855</v>
      </c>
      <c r="AJ24" s="293" t="s">
        <v>897</v>
      </c>
      <c r="AK24" s="281" t="s">
        <v>898</v>
      </c>
      <c r="AL24" s="293" t="s">
        <v>899</v>
      </c>
      <c r="AM24" s="286">
        <v>45170</v>
      </c>
      <c r="AN24" s="287" t="str">
        <f ca="1">DATEDIF(AM24,TODAY(),"y")&amp;" tahun "&amp;DATEDIF(AM24,TODAY(),"ym")&amp;" bulan "</f>
        <v xml:space="preserve">2 tahun 4 bulan </v>
      </c>
      <c r="AO24" s="281" t="s">
        <v>858</v>
      </c>
      <c r="AP24" s="281" t="s">
        <v>962</v>
      </c>
      <c r="AQ24" s="281" t="s">
        <v>1246</v>
      </c>
      <c r="AR24" s="281" t="s">
        <v>139</v>
      </c>
      <c r="AS24" s="281">
        <v>81227926332</v>
      </c>
      <c r="AT24" s="281" t="s">
        <v>140</v>
      </c>
      <c r="AU24" s="281" t="s">
        <v>30</v>
      </c>
      <c r="AV24" s="281"/>
      <c r="AW24" s="281" t="str">
        <f>VLOOKUP(B24,Sheet2!A104:I221,9,FALSE)</f>
        <v>Daud Muhajir, S.Kom., M.Kom.</v>
      </c>
      <c r="AX24" s="281" t="s">
        <v>861</v>
      </c>
      <c r="AY24" s="281" t="str">
        <f>VLOOKUP(B24,Sheet2!A104:C221,2,FALSE)</f>
        <v>Sidoarjo</v>
      </c>
      <c r="AZ24" s="288">
        <f>VLOOKUP(B24,Sheet2!A104:C221,3,FALSE)</f>
        <v>35622</v>
      </c>
      <c r="BA24" s="281">
        <f ca="1">DATEDIF(AZ24, TODAY(),"y")</f>
        <v>28</v>
      </c>
      <c r="BB24" s="281"/>
      <c r="BC24" s="281"/>
      <c r="BD24" s="281"/>
      <c r="BE24" s="281"/>
      <c r="BF24" s="289"/>
      <c r="BG24" s="289"/>
      <c r="BH24" s="289"/>
      <c r="BI24" s="289"/>
      <c r="BJ24" s="289"/>
      <c r="BK24" s="289"/>
      <c r="BL24" s="288" t="str">
        <f>VLOOKUP(B24,Sheet2!A104:D221,4,FALSE)</f>
        <v>Dosen</v>
      </c>
      <c r="BM24" s="281"/>
      <c r="BN24" s="281"/>
      <c r="BO24" s="281"/>
      <c r="BP24" s="281"/>
      <c r="BQ24" s="281"/>
      <c r="BR24" s="288" t="str">
        <f>VLOOKUP(B24,Sheet2!A104:E221,5,FALSE)</f>
        <v>Software Engineering and Algorithm (SEAL)</v>
      </c>
      <c r="BS24" s="288" t="str">
        <f>VLOOKUP(B24,Sheet2!A104:F221,6,FALSE)</f>
        <v>MHJ</v>
      </c>
      <c r="BT24" s="288" t="str">
        <f>VLOOKUP(B24,Sheet2!A104:G221,7,FALSE)</f>
        <v>Fakultas Informatika</v>
      </c>
      <c r="BU24" s="288" t="str">
        <f>VLOOKUP(B24,Sheet2!A104:H221,8,FALSE)</f>
        <v>daudmuhajir@telkomuniversity.ac.id</v>
      </c>
      <c r="BV24" s="280">
        <f>COUNTIFS('Join TPA Dosen'!B:B,'Dosen sorted'!B104)</f>
        <v>1</v>
      </c>
      <c r="BW24" s="273" t="str">
        <f>DATEDIF(AM24,DATE(2026,1,1),"y")&amp;" tahun "&amp;DATEDIF(AM24,DATE(2026,1,1),"ym")&amp;" bulan "</f>
        <v xml:space="preserve">2 tahun 4 bulan </v>
      </c>
      <c r="BX24" s="280" t="str">
        <f>VLOOKUP($B24,Sheet1!$A:$G,2,FALSE)</f>
        <v>ITS</v>
      </c>
      <c r="BY24" s="280" t="str">
        <f>VLOOKUP($B24,Sheet1!$A:$G,3,FALSE)</f>
        <v>Sistem Informasi</v>
      </c>
      <c r="BZ24" s="280" t="str">
        <f>VLOOKUP($B24,Sheet1!$A:$G,4,FALSE)</f>
        <v>ITS</v>
      </c>
      <c r="CA24" s="280" t="str">
        <f>VLOOKUP($B24,Sheet1!$A:$G,5,FALSE)</f>
        <v>Sistem Informasi</v>
      </c>
      <c r="CB24" s="280" t="str">
        <f>VLOOKUP($B24,Sheet1!$A:$G,6,FALSE)</f>
        <v>ITS</v>
      </c>
      <c r="CC24" s="280" t="str">
        <f>VLOOKUP($B24,Sheet1!$A:$G,7,FALSE)</f>
        <v>Sistem Informasi</v>
      </c>
      <c r="CD24" s="280" t="s">
        <v>882</v>
      </c>
      <c r="CE24" s="280" t="s">
        <v>903</v>
      </c>
    </row>
    <row r="25" spans="1:83" ht="39.75" hidden="1">
      <c r="A25" s="281">
        <v>117</v>
      </c>
      <c r="B25" s="281" t="s">
        <v>160</v>
      </c>
      <c r="C25" s="281" t="s">
        <v>20</v>
      </c>
      <c r="D25" s="281" t="s">
        <v>107</v>
      </c>
      <c r="E25" s="281">
        <v>24980018</v>
      </c>
      <c r="F25" s="291"/>
      <c r="G25" s="291" t="s">
        <v>161</v>
      </c>
      <c r="H25" s="291" t="s">
        <v>884</v>
      </c>
      <c r="I25" s="295" t="s">
        <v>30</v>
      </c>
      <c r="J25" s="281" t="s">
        <v>1287</v>
      </c>
      <c r="K25" s="283" t="s">
        <v>937</v>
      </c>
      <c r="L25" s="281" t="s">
        <v>918</v>
      </c>
      <c r="M25" s="283" t="str">
        <f>IF(L25="NJAD","AA",IF(L25="AA","L",IF(L25="L","LK","GB")))</f>
        <v>AA</v>
      </c>
      <c r="N25" s="282" t="s">
        <v>511</v>
      </c>
      <c r="O25" s="281">
        <v>0</v>
      </c>
      <c r="P25" s="281" t="s">
        <v>30</v>
      </c>
      <c r="Q25" s="284">
        <v>45536</v>
      </c>
      <c r="R25" s="281" t="str">
        <f ca="1">DATEDIF(Q25,TODAY(), "Y") &amp; " Tahun " &amp; DATEDIF(Q25, TODAY(), "YM") &amp; " Bulan"</f>
        <v>1 Tahun 4 Bulan</v>
      </c>
      <c r="S25" s="282" t="s">
        <v>511</v>
      </c>
      <c r="T25" s="282" t="s">
        <v>511</v>
      </c>
      <c r="U25" s="281" t="e">
        <f ca="1">DATEDIF(T25,TODAY(), "Y") &amp; " Tahun " &amp; DATEDIF(T25, TODAY(), "YM") &amp; " Bulan"</f>
        <v>#VALUE!</v>
      </c>
      <c r="V25" s="281" t="s">
        <v>1026</v>
      </c>
      <c r="W25" s="281" t="s">
        <v>851</v>
      </c>
      <c r="X25" s="283" t="str">
        <f ca="1">IF(AND(OR(L25="AA",L25="L"),OR(S25="Penata Muda Tk. I Golongan III/b",S25="Penata Golongan III/c"),DATEDIF(Q25,TODAY(),"m")&gt;=23,ISBLANK(Z25),C25="Aktif"),"Nominasi Serdos","-")</f>
        <v>-</v>
      </c>
      <c r="Y25" s="281"/>
      <c r="Z25" s="297"/>
      <c r="AA25" s="297"/>
      <c r="AB25" s="295" t="s">
        <v>30</v>
      </c>
      <c r="AC25" s="297" t="s">
        <v>511</v>
      </c>
      <c r="AD25" s="281" t="s">
        <v>30</v>
      </c>
      <c r="AE25" s="281" t="s">
        <v>30</v>
      </c>
      <c r="AF25" s="281" t="s">
        <v>30</v>
      </c>
      <c r="AG25" s="281" t="s">
        <v>30</v>
      </c>
      <c r="AH25" s="281" t="s">
        <v>879</v>
      </c>
      <c r="AI25" s="281"/>
      <c r="AJ25" s="281"/>
      <c r="AK25" s="281"/>
      <c r="AL25" s="281"/>
      <c r="AM25" s="286">
        <v>45536</v>
      </c>
      <c r="AN25" s="287" t="str">
        <f ca="1">DATEDIF(AM25,TODAY(),"y")&amp;" tahun "&amp;DATEDIF(AM25,TODAY(),"ym")&amp;" bulan "</f>
        <v xml:space="preserve">1 tahun 4 bulan </v>
      </c>
      <c r="AO25" s="281" t="s">
        <v>858</v>
      </c>
      <c r="AP25" s="281" t="s">
        <v>962</v>
      </c>
      <c r="AQ25" s="281" t="s">
        <v>30</v>
      </c>
      <c r="AR25" s="281" t="s">
        <v>163</v>
      </c>
      <c r="AS25" s="281">
        <v>81225763073</v>
      </c>
      <c r="AT25" s="281" t="s">
        <v>164</v>
      </c>
      <c r="AU25" s="281" t="s">
        <v>30</v>
      </c>
      <c r="AV25" s="281"/>
      <c r="AW25" s="281" t="str">
        <f>VLOOKUP(B25,Sheet2!A118:I235,9,FALSE)</f>
        <v>Dimas Chaerul Ekty Saputra, S.Kom., M.Sc.</v>
      </c>
      <c r="AX25" s="281" t="s">
        <v>861</v>
      </c>
      <c r="AY25" s="281" t="str">
        <f>VLOOKUP(B25,Sheet2!A118:C235,2,FALSE)</f>
        <v>Yogyakarta</v>
      </c>
      <c r="AZ25" s="288">
        <f>VLOOKUP(B25,Sheet2!A118:C235,3,FALSE)</f>
        <v>35975</v>
      </c>
      <c r="BA25" s="281">
        <f ca="1">DATEDIF(AZ25, TODAY(),"y")</f>
        <v>27</v>
      </c>
      <c r="BB25" s="281"/>
      <c r="BC25" s="281"/>
      <c r="BD25" s="281"/>
      <c r="BE25" s="281"/>
      <c r="BF25" s="289"/>
      <c r="BG25" s="289"/>
      <c r="BH25" s="289"/>
      <c r="BI25" s="289"/>
      <c r="BJ25" s="289"/>
      <c r="BK25" s="289"/>
      <c r="BL25" s="288" t="str">
        <f>VLOOKUP(B25,Sheet2!A118:D235,4,FALSE)</f>
        <v>Dosen</v>
      </c>
      <c r="BM25" s="281"/>
      <c r="BN25" s="286"/>
      <c r="BO25" s="281"/>
      <c r="BP25" s="281"/>
      <c r="BQ25" s="281"/>
      <c r="BR25" s="288"/>
      <c r="BS25" s="288" t="str">
        <f>VLOOKUP(B25,Sheet2!A118:F235,6,FALSE)</f>
        <v>DCE</v>
      </c>
      <c r="BT25" s="288" t="str">
        <f>VLOOKUP(B25,Sheet2!A118:G235,7,FALSE)</f>
        <v>Fakultas Informatika</v>
      </c>
      <c r="BU25" s="288" t="str">
        <f>VLOOKUP(B25,Sheet2!A118:H235,8,FALSE)</f>
        <v>dimaschaerulekty@telkomuniversity.ac.id</v>
      </c>
      <c r="BV25" s="280">
        <f>COUNTIFS('Join TPA Dosen'!B:B,'Dosen sorted'!B118)</f>
        <v>1</v>
      </c>
      <c r="BW25" s="273" t="str">
        <f>DATEDIF(AM25,DATE(2026,1,1),"y")&amp;" tahun "&amp;DATEDIF(AM25,DATE(2026,1,1),"ym")&amp;" bulan "</f>
        <v xml:space="preserve">1 tahun 4 bulan </v>
      </c>
      <c r="BX25" s="280">
        <f>VLOOKUP($B25,Sheet1!$A:$G,2,FALSE)</f>
        <v>0</v>
      </c>
      <c r="BY25" s="280">
        <f>VLOOKUP($B25,Sheet1!$A:$G,3,FALSE)</f>
        <v>0</v>
      </c>
      <c r="BZ25" s="280">
        <f>VLOOKUP($B25,Sheet1!$A:$G,4,FALSE)</f>
        <v>0</v>
      </c>
      <c r="CA25" s="280">
        <f>VLOOKUP($B25,Sheet1!$A:$G,5,FALSE)</f>
        <v>0</v>
      </c>
      <c r="CB25" s="280">
        <f>VLOOKUP($B25,Sheet1!$A:$G,6,FALSE)</f>
        <v>0</v>
      </c>
      <c r="CC25" s="280">
        <f>VLOOKUP($B25,Sheet1!$A:$G,7,FALSE)</f>
        <v>0</v>
      </c>
      <c r="CD25" s="280" t="s">
        <v>882</v>
      </c>
      <c r="CE25" s="280" t="s">
        <v>903</v>
      </c>
    </row>
    <row r="26" spans="1:83" ht="19.5" hidden="1">
      <c r="A26" s="281">
        <v>104</v>
      </c>
      <c r="B26" s="281" t="s">
        <v>141</v>
      </c>
      <c r="C26" s="281" t="s">
        <v>20</v>
      </c>
      <c r="D26" s="281" t="s">
        <v>107</v>
      </c>
      <c r="E26" s="281">
        <v>23960023</v>
      </c>
      <c r="F26" s="296" t="s">
        <v>1249</v>
      </c>
      <c r="G26" s="296" t="s">
        <v>142</v>
      </c>
      <c r="H26" s="291" t="s">
        <v>884</v>
      </c>
      <c r="I26" s="281" t="s">
        <v>143</v>
      </c>
      <c r="J26" s="281" t="s">
        <v>144</v>
      </c>
      <c r="K26" s="281" t="s">
        <v>874</v>
      </c>
      <c r="L26" s="281" t="s">
        <v>775</v>
      </c>
      <c r="M26" s="283" t="str">
        <f>IF(L26="NJAD","AA",IF(L26="AA","L",IF(L26="L","LK","GB")))</f>
        <v>LK</v>
      </c>
      <c r="N26" s="292"/>
      <c r="O26" s="281">
        <v>200</v>
      </c>
      <c r="P26" s="281" t="s">
        <v>1250</v>
      </c>
      <c r="Q26" s="284">
        <v>45870</v>
      </c>
      <c r="R26" s="281" t="str">
        <f ca="1">DATEDIF(Q26,TODAY(), "Y") &amp; " Tahun " &amp; DATEDIF(Q26, TODAY(), "YM") &amp; " Bulan"</f>
        <v>0 Tahun 5 Bulan</v>
      </c>
      <c r="S26" s="281" t="s">
        <v>876</v>
      </c>
      <c r="T26" s="285">
        <v>45931</v>
      </c>
      <c r="U26" s="281" t="str">
        <f ca="1">DATEDIF(T26,TODAY(), "Y") &amp; " Tahun " &amp; DATEDIF(T26, TODAY(), "YM") &amp; " Bulan"</f>
        <v>0 Tahun 3 Bulan</v>
      </c>
      <c r="V26" s="281" t="s">
        <v>1026</v>
      </c>
      <c r="W26" s="281" t="s">
        <v>851</v>
      </c>
      <c r="X26" s="283" t="str">
        <f ca="1">IF(AND(OR(L26="AA",L26="L"),OR(S26="Penata Muda Tk. I Golongan III/b",S26="Penata Golongan III/c"),DATEDIF(Q26,TODAY(),"m")&gt;=23,ISBLANK(Z26),C26="Aktif"),"Nominasi Serdos","-")</f>
        <v>-</v>
      </c>
      <c r="Y26" s="281"/>
      <c r="Z26" s="297"/>
      <c r="AA26" s="297"/>
      <c r="AB26" s="295" t="s">
        <v>30</v>
      </c>
      <c r="AC26" s="297" t="s">
        <v>511</v>
      </c>
      <c r="AD26" s="281" t="s">
        <v>30</v>
      </c>
      <c r="AE26" s="281" t="s">
        <v>30</v>
      </c>
      <c r="AF26" s="281" t="s">
        <v>30</v>
      </c>
      <c r="AG26" s="281" t="s">
        <v>30</v>
      </c>
      <c r="AH26" s="281" t="s">
        <v>879</v>
      </c>
      <c r="AI26" s="295" t="s">
        <v>30</v>
      </c>
      <c r="AJ26" s="295" t="s">
        <v>30</v>
      </c>
      <c r="AK26" s="295" t="s">
        <v>30</v>
      </c>
      <c r="AM26" s="286">
        <v>45170</v>
      </c>
      <c r="AN26" s="287" t="str">
        <f ca="1">DATEDIF(AM26,TODAY(),"y")&amp;" tahun "&amp;DATEDIF(AM26,TODAY(),"ym")&amp;" bulan "</f>
        <v xml:space="preserve">2 tahun 4 bulan </v>
      </c>
      <c r="AO26" s="281" t="s">
        <v>858</v>
      </c>
      <c r="AP26" s="281" t="s">
        <v>962</v>
      </c>
      <c r="AQ26" s="281" t="s">
        <v>1251</v>
      </c>
      <c r="AR26" s="281" t="s">
        <v>145</v>
      </c>
      <c r="AS26" s="281">
        <v>82131803152</v>
      </c>
      <c r="AT26" s="281" t="s">
        <v>146</v>
      </c>
      <c r="AU26" s="281" t="s">
        <v>30</v>
      </c>
      <c r="AV26" s="281"/>
      <c r="AW26" s="281" t="str">
        <f>VLOOKUP(B26,Sheet2!A105:I222,9,FALSE)</f>
        <v>Dr. Dyah Putri Rahmawati, S.Stat.</v>
      </c>
      <c r="AX26" s="281" t="s">
        <v>861</v>
      </c>
      <c r="AY26" s="281" t="str">
        <f>VLOOKUP(B26,Sheet2!A105:C222,2,FALSE)</f>
        <v>Jombang</v>
      </c>
      <c r="AZ26" s="288">
        <f>VLOOKUP(B26,Sheet2!A105:C222,3,FALSE)</f>
        <v>35143</v>
      </c>
      <c r="BA26" s="281">
        <f ca="1">DATEDIF(AZ26, TODAY(),"y")</f>
        <v>29</v>
      </c>
      <c r="BB26" s="281"/>
      <c r="BC26" s="281"/>
      <c r="BD26" s="281"/>
      <c r="BE26" s="295"/>
      <c r="BF26" s="289"/>
      <c r="BG26" s="289"/>
      <c r="BH26" s="289"/>
      <c r="BI26" s="289"/>
      <c r="BJ26" s="289"/>
      <c r="BK26" s="289"/>
      <c r="BL26" s="288" t="str">
        <f>VLOOKUP(B26,Sheet2!A105:D222,4,FALSE)</f>
        <v>Dosen</v>
      </c>
      <c r="BM26" s="281"/>
      <c r="BN26" s="281"/>
      <c r="BO26" s="281"/>
      <c r="BP26" s="281"/>
      <c r="BQ26" s="281"/>
      <c r="BR26" s="288" t="str">
        <f>VLOOKUP(B26,Sheet2!A105:E222,5,FALSE)</f>
        <v>Data Science and Intelligent Systems (DSIS)</v>
      </c>
      <c r="BS26" s="288" t="str">
        <f>VLOOKUP(B26,Sheet2!A105:F222,6,FALSE)</f>
        <v>DPH</v>
      </c>
      <c r="BT26" s="288" t="str">
        <f>VLOOKUP(B26,Sheet2!A105:G222,7,FALSE)</f>
        <v>Fakultas Informatika</v>
      </c>
      <c r="BU26" s="288" t="str">
        <f>VLOOKUP(B26,Sheet2!A105:H222,8,FALSE)</f>
        <v>dyahputri@telkomuniversity.ac.id</v>
      </c>
      <c r="BV26" s="280">
        <f>COUNTIFS('Join TPA Dosen'!B:B,'Dosen sorted'!B105)</f>
        <v>0</v>
      </c>
      <c r="BW26" s="273" t="str">
        <f>DATEDIF(AM26,DATE(2026,1,1),"y")&amp;" tahun "&amp;DATEDIF(AM26,DATE(2026,1,1),"ym")&amp;" bulan "</f>
        <v xml:space="preserve">2 tahun 4 bulan </v>
      </c>
      <c r="BX26" s="280" t="str">
        <f>VLOOKUP($B26,Sheet1!$A:$G,2,FALSE)</f>
        <v>UNAIR</v>
      </c>
      <c r="BY26" s="280" t="str">
        <f>VLOOKUP($B26,Sheet1!$A:$G,3,FALSE)</f>
        <v>Statistika</v>
      </c>
      <c r="BZ26" s="280" t="str">
        <f>VLOOKUP($B26,Sheet1!$A:$G,4,FALSE)</f>
        <v>ITS</v>
      </c>
      <c r="CA26" s="280" t="str">
        <f>VLOOKUP($B26,Sheet1!$A:$G,5,FALSE)</f>
        <v>Statistika</v>
      </c>
      <c r="CB26" s="280" t="str">
        <f>VLOOKUP($B26,Sheet1!$A:$G,6,FALSE)</f>
        <v>ITS</v>
      </c>
      <c r="CC26" s="280" t="str">
        <f>VLOOKUP($B26,Sheet1!$A:$G,7,FALSE)</f>
        <v>Ilmu Statistika</v>
      </c>
      <c r="CD26" s="280" t="s">
        <v>882</v>
      </c>
      <c r="CE26" s="280" t="s">
        <v>903</v>
      </c>
    </row>
    <row r="27" spans="1:83" ht="19.5" hidden="1">
      <c r="A27" s="281">
        <v>114</v>
      </c>
      <c r="B27" s="281" t="s">
        <v>155</v>
      </c>
      <c r="C27" s="281" t="s">
        <v>20</v>
      </c>
      <c r="D27" s="281" t="s">
        <v>107</v>
      </c>
      <c r="E27" s="281">
        <v>23900006</v>
      </c>
      <c r="F27" s="291" t="s">
        <v>156</v>
      </c>
      <c r="G27" s="291" t="s">
        <v>157</v>
      </c>
      <c r="H27" s="291" t="s">
        <v>884</v>
      </c>
      <c r="I27" s="295" t="s">
        <v>30</v>
      </c>
      <c r="J27" s="281" t="s">
        <v>57</v>
      </c>
      <c r="K27" s="281" t="s">
        <v>917</v>
      </c>
      <c r="L27" s="281" t="s">
        <v>918</v>
      </c>
      <c r="M27" s="283" t="str">
        <f>IF(L27="NJAD","AA",IF(L27="AA","L",IF(L27="L","LK","GB")))</f>
        <v>AA</v>
      </c>
      <c r="N27" s="282" t="s">
        <v>511</v>
      </c>
      <c r="O27" s="281">
        <v>0</v>
      </c>
      <c r="P27" s="281" t="s">
        <v>30</v>
      </c>
      <c r="Q27" s="284">
        <v>45170</v>
      </c>
      <c r="R27" s="281" t="str">
        <f ca="1">DATEDIF(Q27,TODAY(), "Y") &amp; " Tahun " &amp; DATEDIF(Q27, TODAY(), "YM") &amp; " Bulan"</f>
        <v>2 Tahun 4 Bulan</v>
      </c>
      <c r="S27" s="282" t="s">
        <v>511</v>
      </c>
      <c r="T27" s="282" t="s">
        <v>511</v>
      </c>
      <c r="U27" s="281" t="e">
        <f ca="1">DATEDIF(T27,TODAY(), "Y") &amp; " Tahun " &amp; DATEDIF(T27, TODAY(), "YM") &amp; " Bulan"</f>
        <v>#VALUE!</v>
      </c>
      <c r="V27" s="281" t="s">
        <v>1026</v>
      </c>
      <c r="W27" s="281" t="s">
        <v>851</v>
      </c>
      <c r="X27" s="283" t="str">
        <f ca="1">IF(AND(OR(L27="AA",L27="L"),OR(S27="Penata Muda Tk. I Golongan III/b",S27="Penata Golongan III/c"),DATEDIF(Q27,TODAY(),"m")&gt;=23,ISBLANK(Z27),C27="Aktif"),"Nominasi Serdos","-")</f>
        <v>-</v>
      </c>
      <c r="Y27" s="281"/>
      <c r="Z27" s="297"/>
      <c r="AA27" s="297"/>
      <c r="AB27" s="295" t="s">
        <v>30</v>
      </c>
      <c r="AC27" s="297" t="s">
        <v>511</v>
      </c>
      <c r="AD27" s="281" t="s">
        <v>30</v>
      </c>
      <c r="AE27" s="281" t="s">
        <v>30</v>
      </c>
      <c r="AF27" s="281" t="s">
        <v>30</v>
      </c>
      <c r="AG27" s="281" t="s">
        <v>30</v>
      </c>
      <c r="AH27" s="281" t="s">
        <v>854</v>
      </c>
      <c r="AI27" s="281" t="s">
        <v>855</v>
      </c>
      <c r="AJ27" s="281" t="s">
        <v>897</v>
      </c>
      <c r="AK27" s="281" t="s">
        <v>898</v>
      </c>
      <c r="AL27" s="281" t="s">
        <v>899</v>
      </c>
      <c r="AM27" s="286">
        <v>45170</v>
      </c>
      <c r="AN27" s="287" t="str">
        <f ca="1">DATEDIF(AM27,TODAY(),"y")&amp;" tahun "&amp;DATEDIF(AM27,TODAY(),"ym")&amp;" bulan "</f>
        <v xml:space="preserve">2 tahun 4 bulan </v>
      </c>
      <c r="AO27" s="281" t="s">
        <v>858</v>
      </c>
      <c r="AP27" s="281" t="s">
        <v>962</v>
      </c>
      <c r="AQ27" s="281" t="s">
        <v>1286</v>
      </c>
      <c r="AR27" s="281" t="s">
        <v>158</v>
      </c>
      <c r="AS27" s="281">
        <v>85175442445</v>
      </c>
      <c r="AT27" s="281" t="s">
        <v>159</v>
      </c>
      <c r="AU27" s="281" t="s">
        <v>30</v>
      </c>
      <c r="AV27" s="281"/>
      <c r="AW27" s="281" t="str">
        <f>VLOOKUP(B27,Sheet2!A115:I232,9,FALSE)</f>
        <v>Fandisya Rahman, S.Kom., M.Kom.</v>
      </c>
      <c r="AX27" s="281" t="s">
        <v>861</v>
      </c>
      <c r="AY27" s="281" t="str">
        <f>VLOOKUP(B27,Sheet2!A115:C232,2,FALSE)</f>
        <v>Malang</v>
      </c>
      <c r="AZ27" s="288">
        <f>VLOOKUP(B27,Sheet2!A115:C232,3,FALSE)</f>
        <v>33004</v>
      </c>
      <c r="BA27" s="281">
        <f ca="1">DATEDIF(AZ27, TODAY(),"y")</f>
        <v>35</v>
      </c>
      <c r="BB27" s="281"/>
      <c r="BC27" s="281"/>
      <c r="BD27" s="281"/>
      <c r="BE27" s="281"/>
      <c r="BF27" s="289"/>
      <c r="BG27" s="289"/>
      <c r="BH27" s="289"/>
      <c r="BI27" s="289"/>
      <c r="BJ27" s="304"/>
      <c r="BK27" s="304"/>
      <c r="BL27" s="288" t="str">
        <f>VLOOKUP(B27,Sheet2!A115:D232,4,FALSE)</f>
        <v>Dosen</v>
      </c>
      <c r="BM27" s="281"/>
      <c r="BN27" s="286"/>
      <c r="BO27" s="281"/>
      <c r="BP27" s="281"/>
      <c r="BQ27" s="281"/>
      <c r="BR27" s="288" t="str">
        <f>VLOOKUP(B27,Sheet2!A115:E232,5,FALSE)</f>
        <v>Communication and Information Technology Infrastructure (CITI)</v>
      </c>
      <c r="BS27" s="288" t="str">
        <f>VLOOKUP(B27,Sheet2!A115:F232,6,FALSE)</f>
        <v>FND</v>
      </c>
      <c r="BT27" s="288" t="str">
        <f>VLOOKUP(B27,Sheet2!A115:G232,7,FALSE)</f>
        <v>Fakultas Informatika</v>
      </c>
      <c r="BU27" s="288" t="str">
        <f>VLOOKUP(B27,Sheet2!A115:H232,8,FALSE)</f>
        <v>fandisya@telkomuniversity.ac.id</v>
      </c>
      <c r="BV27" s="280">
        <f>COUNTIFS('Join TPA Dosen'!B:B,'Dosen sorted'!B115)</f>
        <v>1</v>
      </c>
      <c r="BW27" s="273" t="str">
        <f>DATEDIF(AM27,DATE(2026,1,1),"y")&amp;" tahun "&amp;DATEDIF(AM27,DATE(2026,1,1),"ym")&amp;" bulan "</f>
        <v xml:space="preserve">2 tahun 4 bulan </v>
      </c>
      <c r="BX27" s="280" t="str">
        <f>VLOOKUP($B27,Sheet1!$A:$G,2,FALSE)</f>
        <v>UB</v>
      </c>
      <c r="BY27" s="280" t="str">
        <f>VLOOKUP($B27,Sheet1!$A:$G,3,FALSE)</f>
        <v>Teknik Informatika</v>
      </c>
      <c r="BZ27" s="280" t="str">
        <f>VLOOKUP($B27,Sheet1!$A:$G,4,FALSE)</f>
        <v>UB</v>
      </c>
      <c r="CA27" s="280" t="str">
        <f>VLOOKUP($B27,Sheet1!$A:$G,5,FALSE)</f>
        <v>Ilmu Komputer</v>
      </c>
      <c r="CB27" s="280" t="str">
        <f>VLOOKUP($B27,Sheet1!$A:$G,6,FALSE)</f>
        <v>ITS</v>
      </c>
      <c r="CC27" s="280" t="str">
        <f>VLOOKUP($B27,Sheet1!$A:$G,7,FALSE)</f>
        <v>Ilmu Komputer</v>
      </c>
      <c r="CD27" s="280" t="s">
        <v>882</v>
      </c>
      <c r="CE27" s="280" t="s">
        <v>903</v>
      </c>
    </row>
    <row r="28" spans="1:83" ht="19.5" hidden="1">
      <c r="A28" s="281">
        <v>136</v>
      </c>
      <c r="B28" s="281" t="s">
        <v>1390</v>
      </c>
      <c r="C28" s="281" t="s">
        <v>20</v>
      </c>
      <c r="D28" s="281" t="s">
        <v>107</v>
      </c>
      <c r="E28" s="281">
        <v>25000029</v>
      </c>
      <c r="H28" s="291" t="s">
        <v>884</v>
      </c>
      <c r="J28" s="281" t="s">
        <v>57</v>
      </c>
      <c r="K28" s="281" t="s">
        <v>917</v>
      </c>
      <c r="L28" s="281" t="s">
        <v>918</v>
      </c>
      <c r="M28" s="283" t="str">
        <f>IF(L28="NJAD","AA",IF(L28="AA","L",IF(L28="L","LK","GB")))</f>
        <v>AA</v>
      </c>
      <c r="Q28" s="284">
        <v>45915</v>
      </c>
      <c r="R28" s="281" t="str">
        <f ca="1">DATEDIF(Q28,TODAY(), "Y") &amp; " Tahun " &amp; DATEDIF(Q28, TODAY(), "YM") &amp; " Bulan"</f>
        <v>0 Tahun 4 Bulan</v>
      </c>
      <c r="V28" s="281" t="s">
        <v>1026</v>
      </c>
      <c r="W28" s="281" t="s">
        <v>851</v>
      </c>
      <c r="AH28" s="281" t="s">
        <v>854</v>
      </c>
      <c r="AM28" s="286">
        <v>45915</v>
      </c>
      <c r="AN28" s="287" t="str">
        <f ca="1">DATEDIF(AM28,TODAY(),"y")&amp;" tahun "&amp;DATEDIF(AM28,TODAY(),"ym")&amp;" bulan "</f>
        <v xml:space="preserve">0 tahun 4 bulan </v>
      </c>
      <c r="AP28" s="281" t="s">
        <v>962</v>
      </c>
      <c r="AQ28" s="281" t="s">
        <v>1391</v>
      </c>
      <c r="AW28" s="281" t="str">
        <f>VLOOKUP(B28,Sheet2!A121:I238,9,FALSE)</f>
        <v>Karina Fitriwulandari Ilham, S.Kom., M.Kom.</v>
      </c>
      <c r="AX28" s="281" t="s">
        <v>902</v>
      </c>
      <c r="AY28" s="281" t="str">
        <f>VLOOKUP(B28,Sheet2!A119:C236,2,FALSE)</f>
        <v>Bone</v>
      </c>
      <c r="AZ28" s="288">
        <f>VLOOKUP(B28,Sheet2!A121:C238,3,FALSE)</f>
        <v>36888</v>
      </c>
      <c r="BA28" s="281">
        <f ca="1">DATEDIF(AZ28, TODAY(),"y")</f>
        <v>25</v>
      </c>
      <c r="BL28" s="288" t="s">
        <v>21</v>
      </c>
      <c r="BS28" s="288" t="str">
        <f>VLOOKUP(B28,Sheet2!A121:F238,6,FALSE)</f>
        <v>KFI</v>
      </c>
      <c r="BT28" s="288" t="str">
        <f>VLOOKUP(B28,Sheet2!A121:G238,7,FALSE)</f>
        <v>Fakultas Informatika</v>
      </c>
      <c r="BU28" s="288" t="str">
        <f>VLOOKUP(B28,Sheet2!A121:H238,8,FALSE)</f>
        <v>karinafitriwulandari@telkomuniversity.ac.id</v>
      </c>
      <c r="BV28" s="280">
        <f>COUNTIFS('Join TPA Dosen'!B:B,'Dosen sorted'!B128)</f>
        <v>1</v>
      </c>
      <c r="BW28" s="273" t="str">
        <f>DATEDIF(AM28,DATE(2026,1,1),"y")&amp;" tahun "&amp;DATEDIF(AM28,DATE(2026,1,1),"ym")&amp;" bulan "</f>
        <v xml:space="preserve">0 tahun 3 bulan </v>
      </c>
    </row>
    <row r="29" spans="1:83" ht="19.5" hidden="1">
      <c r="A29" s="281">
        <v>50</v>
      </c>
      <c r="B29" s="281" t="s">
        <v>121</v>
      </c>
      <c r="C29" s="281" t="s">
        <v>20</v>
      </c>
      <c r="D29" s="281" t="s">
        <v>107</v>
      </c>
      <c r="E29" s="281">
        <v>23950024</v>
      </c>
      <c r="F29" s="281" t="s">
        <v>1024</v>
      </c>
      <c r="G29" s="282" t="s">
        <v>122</v>
      </c>
      <c r="H29" s="281" t="s">
        <v>845</v>
      </c>
      <c r="I29" s="281" t="s">
        <v>30</v>
      </c>
      <c r="J29" s="281" t="s">
        <v>57</v>
      </c>
      <c r="K29" s="281" t="s">
        <v>846</v>
      </c>
      <c r="L29" s="281" t="s">
        <v>847</v>
      </c>
      <c r="M29" s="283" t="str">
        <f>IF(L29="NJAD","AA",IF(L29="AA","L",IF(L29="L","LK","GB")))</f>
        <v>L</v>
      </c>
      <c r="N29" s="282" t="s">
        <v>511</v>
      </c>
      <c r="O29" s="281">
        <v>150</v>
      </c>
      <c r="P29" s="281" t="s">
        <v>1025</v>
      </c>
      <c r="Q29" s="284">
        <v>45047</v>
      </c>
      <c r="R29" s="281" t="str">
        <f ca="1">DATEDIF(Q29,TODAY(), "Y") &amp; " Tahun " &amp; DATEDIF(Q29, TODAY(), "YM") &amp; " Bulan"</f>
        <v>2 Tahun 8 Bulan</v>
      </c>
      <c r="S29" s="281" t="s">
        <v>849</v>
      </c>
      <c r="T29" s="285">
        <v>45170</v>
      </c>
      <c r="U29" s="281" t="str">
        <f ca="1">DATEDIF(T29,TODAY(), "Y") &amp; " Tahun " &amp; DATEDIF(T29, TODAY(), "YM") &amp; " Bulan"</f>
        <v>2 Tahun 4 Bulan</v>
      </c>
      <c r="V29" s="281" t="s">
        <v>1026</v>
      </c>
      <c r="W29" s="281" t="s">
        <v>851</v>
      </c>
      <c r="X29" s="283" t="str">
        <f ca="1">IF(AND(OR(L29="AA",L29="L"),OR(S29="Penata Muda Tk. I Golongan III/b",S29="Penata Golongan III/c"),DATEDIF(Q29,TODAY(),"m")&gt;=23,ISBLANK(Z29),C29="Aktif"),"Nominasi Serdos","-")</f>
        <v>Nominasi Serdos</v>
      </c>
      <c r="Y29" s="281" t="s">
        <v>1013</v>
      </c>
      <c r="Z29" s="282"/>
      <c r="AA29" s="281"/>
      <c r="AB29" s="281" t="s">
        <v>30</v>
      </c>
      <c r="AC29" s="282" t="s">
        <v>511</v>
      </c>
      <c r="AD29" s="281" t="s">
        <v>30</v>
      </c>
      <c r="AE29" s="281" t="s">
        <v>30</v>
      </c>
      <c r="AF29" s="281" t="s">
        <v>30</v>
      </c>
      <c r="AG29" s="281" t="s">
        <v>30</v>
      </c>
      <c r="AH29" s="281" t="s">
        <v>854</v>
      </c>
      <c r="AI29" s="281" t="s">
        <v>30</v>
      </c>
      <c r="AJ29" s="281" t="s">
        <v>30</v>
      </c>
      <c r="AK29" s="281" t="s">
        <v>30</v>
      </c>
      <c r="AM29" s="286">
        <v>44166</v>
      </c>
      <c r="AN29" s="287" t="str">
        <f ca="1">DATEDIF(AM29,TODAY(),"y")&amp;" tahun "&amp;DATEDIF(AM29,TODAY(),"ym")&amp;" bulan "</f>
        <v xml:space="preserve">5 tahun 1 bulan </v>
      </c>
      <c r="AO29" s="281" t="s">
        <v>858</v>
      </c>
      <c r="AP29" s="281" t="s">
        <v>962</v>
      </c>
      <c r="AQ29" s="281" t="s">
        <v>1027</v>
      </c>
      <c r="AR29" s="281" t="s">
        <v>123</v>
      </c>
      <c r="AS29" s="281">
        <v>81233777404</v>
      </c>
      <c r="AT29" s="281" t="s">
        <v>124</v>
      </c>
      <c r="AU29" s="281" t="s">
        <v>30</v>
      </c>
      <c r="AV29" s="302"/>
      <c r="AW29" s="281" t="str">
        <f>VLOOKUP(B29,Sheet2!A51:I168,9,FALSE)</f>
        <v>Kharisma Monika Dian Pertiwi, S.Kom., M.Kom.</v>
      </c>
      <c r="AX29" s="281" t="s">
        <v>902</v>
      </c>
      <c r="AY29" s="281" t="str">
        <f>VLOOKUP(B29,Sheet2!A51:C168,2,FALSE)</f>
        <v>Madiun</v>
      </c>
      <c r="AZ29" s="288">
        <f>VLOOKUP(B29,Sheet2!A51:C168,3,FALSE)</f>
        <v>34858</v>
      </c>
      <c r="BA29" s="281">
        <f ca="1">DATEDIF(AZ29, TODAY(),"y")</f>
        <v>30</v>
      </c>
      <c r="BB29" s="281"/>
      <c r="BC29" s="281"/>
      <c r="BD29" s="281"/>
      <c r="BE29" s="281"/>
      <c r="BF29" s="289"/>
      <c r="BG29" s="289"/>
      <c r="BH29" s="289"/>
      <c r="BI29" s="289"/>
      <c r="BJ29" s="289"/>
      <c r="BK29" s="289"/>
      <c r="BL29" s="288" t="str">
        <f>VLOOKUP(B29,Sheet2!A51:D168,4,FALSE)</f>
        <v>Dosen</v>
      </c>
      <c r="BM29" s="303"/>
      <c r="BN29" s="302"/>
      <c r="BO29" s="281"/>
      <c r="BP29" s="281"/>
      <c r="BQ29" s="302"/>
      <c r="BR29" s="288" t="str">
        <f>VLOOKUP(B29,Sheet2!A51:E168,5,FALSE)</f>
        <v>Communication and Information Technology Infrastructure (CITI)</v>
      </c>
      <c r="BS29" s="288" t="str">
        <f>VLOOKUP(B29,Sheet2!A51:F168,6,FALSE)</f>
        <v>KMP</v>
      </c>
      <c r="BT29" s="288" t="str">
        <f>VLOOKUP(B29,Sheet2!A51:G168,7,FALSE)</f>
        <v>Fakultas Informatika</v>
      </c>
      <c r="BU29" s="288" t="str">
        <f>VLOOKUP(B29,Sheet2!A51:H168,8,FALSE)</f>
        <v>kharismamonikadp@telkomuniversity.ac.id</v>
      </c>
      <c r="BV29" s="280">
        <f>COUNTIFS('Join TPA Dosen'!B:B,'Dosen sorted'!B51)</f>
        <v>1</v>
      </c>
      <c r="BW29" s="273" t="str">
        <f>DATEDIF(AM29,DATE(2026,1,1),"y")&amp;" tahun "&amp;DATEDIF(AM29,DATE(2026,1,1),"ym")&amp;" bulan "</f>
        <v xml:space="preserve">5 tahun 1 bulan </v>
      </c>
      <c r="BX29" s="280" t="str">
        <f>VLOOKUP($B29,Sheet1!$A:$G,2,FALSE)</f>
        <v>ITS</v>
      </c>
      <c r="BY29" s="280" t="str">
        <f>VLOOKUP($B29,Sheet1!$A:$G,3,FALSE)</f>
        <v>Teknologi Informasi dan Komunikasi/Teknik Informatika</v>
      </c>
      <c r="BZ29" s="280" t="str">
        <f>VLOOKUP($B29,Sheet1!$A:$G,4,FALSE)</f>
        <v>ITS</v>
      </c>
      <c r="CA29" s="280" t="str">
        <f>VLOOKUP($B29,Sheet1!$A:$G,5,FALSE)</f>
        <v>Teknologi Elektro dan Informatika Cerdas/Teknik Informatika</v>
      </c>
      <c r="CB29" s="280" t="str">
        <f>VLOOKUP($B29,Sheet1!$A:$G,6,FALSE)</f>
        <v>-</v>
      </c>
      <c r="CC29" s="280">
        <f>VLOOKUP($B29,Sheet1!$A:$G,7,FALSE)</f>
        <v>0</v>
      </c>
      <c r="CD29" s="280" t="s">
        <v>882</v>
      </c>
      <c r="CE29" s="280" t="s">
        <v>903</v>
      </c>
    </row>
    <row r="30" spans="1:83" ht="19.5" hidden="1">
      <c r="A30" s="281">
        <v>49</v>
      </c>
      <c r="B30" s="281" t="s">
        <v>116</v>
      </c>
      <c r="C30" s="281" t="s">
        <v>20</v>
      </c>
      <c r="D30" s="281" t="s">
        <v>107</v>
      </c>
      <c r="E30" s="281">
        <v>25940031</v>
      </c>
      <c r="F30" s="281" t="s">
        <v>1020</v>
      </c>
      <c r="G30" s="282" t="s">
        <v>117</v>
      </c>
      <c r="H30" s="301" t="s">
        <v>845</v>
      </c>
      <c r="I30" s="281" t="s">
        <v>30</v>
      </c>
      <c r="J30" s="281" t="s">
        <v>118</v>
      </c>
      <c r="K30" s="281" t="s">
        <v>893</v>
      </c>
      <c r="L30" s="281" t="s">
        <v>775</v>
      </c>
      <c r="M30" s="283" t="str">
        <f>IF(L30="NJAD","AA",IF(L30="AA","L",IF(L30="L","LK","GB")))</f>
        <v>LK</v>
      </c>
      <c r="N30" s="282" t="s">
        <v>511</v>
      </c>
      <c r="O30" s="281">
        <v>200</v>
      </c>
      <c r="P30" s="281" t="s">
        <v>1021</v>
      </c>
      <c r="Q30" s="284">
        <v>46023</v>
      </c>
      <c r="R30" s="281" t="str">
        <f ca="1">DATEDIF(Q30,TODAY(), "Y") &amp; " Tahun " &amp; DATEDIF(Q30, TODAY(), "YM") &amp; " Bulan"</f>
        <v>0 Tahun 0 Bulan</v>
      </c>
      <c r="S30" s="281" t="s">
        <v>849</v>
      </c>
      <c r="T30" s="285">
        <v>45505</v>
      </c>
      <c r="U30" s="281" t="str">
        <f ca="1">DATEDIF(T30,TODAY(), "Y") &amp; " Tahun " &amp; DATEDIF(T30, TODAY(), "YM") &amp; " Bulan"</f>
        <v>1 Tahun 5 Bulan</v>
      </c>
      <c r="V30" s="281" t="s">
        <v>1022</v>
      </c>
      <c r="W30" s="281" t="s">
        <v>851</v>
      </c>
      <c r="X30" s="283" t="str">
        <f ca="1">IF(AND(OR(L30="AA",L30="L"),OR(S30="Penata Muda Tk. I Golongan III/b",S30="Penata Golongan III/c"),DATEDIF(Q30,TODAY(),"m")&gt;=23,ISBLANK(Z30),C30="Aktif"),"Nominasi Serdos","-")</f>
        <v>-</v>
      </c>
      <c r="Y30" s="281"/>
      <c r="Z30" s="282"/>
      <c r="AA30" s="281"/>
      <c r="AB30" s="281" t="s">
        <v>30</v>
      </c>
      <c r="AC30" s="282" t="s">
        <v>511</v>
      </c>
      <c r="AD30" s="281" t="s">
        <v>30</v>
      </c>
      <c r="AE30" s="281" t="s">
        <v>30</v>
      </c>
      <c r="AF30" s="281" t="s">
        <v>30</v>
      </c>
      <c r="AG30" s="281" t="s">
        <v>30</v>
      </c>
      <c r="AH30" s="281" t="s">
        <v>854</v>
      </c>
      <c r="AI30" s="281" t="s">
        <v>30</v>
      </c>
      <c r="AJ30" s="281" t="s">
        <v>30</v>
      </c>
      <c r="AK30" s="281" t="s">
        <v>30</v>
      </c>
      <c r="AM30" s="286">
        <v>44166</v>
      </c>
      <c r="AN30" s="287" t="str">
        <f ca="1">DATEDIF(AM30,TODAY(),"y")&amp;" tahun "&amp;DATEDIF(AM30,TODAY(),"ym")&amp;" bulan "</f>
        <v xml:space="preserve">5 tahun 1 bulan </v>
      </c>
      <c r="AO30" s="281" t="s">
        <v>858</v>
      </c>
      <c r="AP30" s="281" t="s">
        <v>962</v>
      </c>
      <c r="AQ30" s="281" t="s">
        <v>1023</v>
      </c>
      <c r="AR30" s="281" t="s">
        <v>119</v>
      </c>
      <c r="AS30" s="281">
        <v>85323076783</v>
      </c>
      <c r="AT30" s="281" t="s">
        <v>120</v>
      </c>
      <c r="AU30" s="281" t="s">
        <v>30</v>
      </c>
      <c r="AV30" s="281"/>
      <c r="AW30" s="281" t="str">
        <f>VLOOKUP(B30,Sheet2!A50:I167,9,FALSE)</f>
        <v>Muhammad Dzulfikar Fauzi, S.Kom., M.Cs.</v>
      </c>
      <c r="AX30" s="281" t="s">
        <v>861</v>
      </c>
      <c r="AY30" s="281" t="str">
        <f>VLOOKUP(B30,Sheet2!A50:C167,2,FALSE)</f>
        <v>Jombang</v>
      </c>
      <c r="AZ30" s="288">
        <f>VLOOKUP(B30,Sheet2!A50:C167,3,FALSE)</f>
        <v>34641</v>
      </c>
      <c r="BA30" s="281">
        <f ca="1">DATEDIF(AZ30, TODAY(),"y")</f>
        <v>31</v>
      </c>
      <c r="BB30" s="281"/>
      <c r="BC30" s="281"/>
      <c r="BD30" s="281"/>
      <c r="BE30" s="281"/>
      <c r="BF30" s="289"/>
      <c r="BG30" s="289"/>
      <c r="BH30" s="289"/>
      <c r="BI30" s="289"/>
      <c r="BJ30" s="289"/>
      <c r="BK30" s="289"/>
      <c r="BL30" s="288" t="str">
        <f>VLOOKUP(B30,Sheet2!A50:D167,4,FALSE)</f>
        <v>Kaprodi</v>
      </c>
      <c r="BM30" s="281"/>
      <c r="BN30" s="281"/>
      <c r="BO30" s="281"/>
      <c r="BP30" s="281"/>
      <c r="BQ30" s="281"/>
      <c r="BR30" s="288" t="str">
        <f>VLOOKUP(B30,Sheet2!A50:E167,5,FALSE)</f>
        <v>Data Science and Intelligent Systems (DSIS)</v>
      </c>
      <c r="BS30" s="288" t="str">
        <f>VLOOKUP(B30,Sheet2!A50:F167,6,FALSE)</f>
        <v>MDX</v>
      </c>
      <c r="BT30" s="288" t="str">
        <f>VLOOKUP(B30,Sheet2!A50:G167,7,FALSE)</f>
        <v>Fakultas Informatika</v>
      </c>
      <c r="BU30" s="288" t="str">
        <f>VLOOKUP(B30,Sheet2!A50:H167,8,FALSE)</f>
        <v>dzulfikarf@telkomuniversity.ac.id</v>
      </c>
      <c r="BV30" s="280">
        <f>COUNTIFS('Join TPA Dosen'!B:B,'Dosen sorted'!B50)</f>
        <v>1</v>
      </c>
      <c r="BW30" s="273" t="str">
        <f>DATEDIF(AM30,DATE(2026,1,1),"y")&amp;" tahun "&amp;DATEDIF(AM30,DATE(2026,1,1),"ym")&amp;" bulan "</f>
        <v xml:space="preserve">5 tahun 1 bulan </v>
      </c>
      <c r="BX30" s="280" t="str">
        <f>VLOOKUP($B30,Sheet1!$A:$G,2,FALSE)</f>
        <v>UIN JOGJA</v>
      </c>
      <c r="BY30" s="280" t="str">
        <f>VLOOKUP($B30,Sheet1!$A:$G,3,FALSE)</f>
        <v>Teknik Informatika</v>
      </c>
      <c r="BZ30" s="280" t="str">
        <f>VLOOKUP($B30,Sheet1!$A:$G,4,FALSE)</f>
        <v>UGM</v>
      </c>
      <c r="CA30" s="280" t="str">
        <f>VLOOKUP($B30,Sheet1!$A:$G,5,FALSE)</f>
        <v>Matematika dan Ilmu Pengatahuan Alam/Ilmu Komputer</v>
      </c>
      <c r="CB30" s="280" t="str">
        <f>VLOOKUP($B30,Sheet1!$A:$G,6,FALSE)</f>
        <v>-</v>
      </c>
      <c r="CC30" s="280">
        <f>VLOOKUP($B30,Sheet1!$A:$G,7,FALSE)</f>
        <v>0</v>
      </c>
      <c r="CD30" s="280" t="s">
        <v>882</v>
      </c>
      <c r="CE30" s="280" t="s">
        <v>903</v>
      </c>
    </row>
    <row r="31" spans="1:83" ht="19.5" hidden="1">
      <c r="A31" s="281">
        <v>107</v>
      </c>
      <c r="B31" s="281" t="s">
        <v>147</v>
      </c>
      <c r="C31" s="281" t="s">
        <v>20</v>
      </c>
      <c r="D31" s="281" t="s">
        <v>107</v>
      </c>
      <c r="E31" s="281">
        <v>23950016</v>
      </c>
      <c r="F31" s="291" t="s">
        <v>1268</v>
      </c>
      <c r="G31" s="296" t="s">
        <v>148</v>
      </c>
      <c r="H31" s="291" t="s">
        <v>884</v>
      </c>
      <c r="I31" s="295" t="s">
        <v>30</v>
      </c>
      <c r="J31" s="281" t="s">
        <v>57</v>
      </c>
      <c r="K31" s="281" t="s">
        <v>917</v>
      </c>
      <c r="L31" s="281" t="s">
        <v>918</v>
      </c>
      <c r="M31" s="283" t="str">
        <f>IF(L31="NJAD","AA",IF(L31="AA","L",IF(L31="L","LK","GB")))</f>
        <v>AA</v>
      </c>
      <c r="N31" s="282" t="s">
        <v>511</v>
      </c>
      <c r="O31" s="281">
        <v>0</v>
      </c>
      <c r="P31" s="281" t="s">
        <v>30</v>
      </c>
      <c r="Q31" s="284">
        <v>45170</v>
      </c>
      <c r="R31" s="281" t="str">
        <f ca="1">DATEDIF(Q31,TODAY(), "Y") &amp; " Tahun " &amp; DATEDIF(Q31, TODAY(), "YM") &amp; " Bulan"</f>
        <v>2 Tahun 4 Bulan</v>
      </c>
      <c r="S31" s="282" t="s">
        <v>511</v>
      </c>
      <c r="T31" s="282" t="s">
        <v>511</v>
      </c>
      <c r="U31" s="281" t="e">
        <f ca="1">DATEDIF(T31,TODAY(), "Y") &amp; " Tahun " &amp; DATEDIF(T31, TODAY(), "YM") &amp; " Bulan"</f>
        <v>#VALUE!</v>
      </c>
      <c r="V31" s="281" t="s">
        <v>1026</v>
      </c>
      <c r="W31" s="281" t="s">
        <v>851</v>
      </c>
      <c r="X31" s="283" t="str">
        <f ca="1">IF(AND(OR(L31="AA",L31="L"),OR(S31="Penata Muda Tk. I Golongan III/b",S31="Penata Golongan III/c"),DATEDIF(Q31,TODAY(),"m")&gt;=23,ISBLANK(Z31),C31="Aktif"),"Nominasi Serdos","-")</f>
        <v>-</v>
      </c>
      <c r="Y31" s="281"/>
      <c r="Z31" s="297"/>
      <c r="AA31" s="297"/>
      <c r="AB31" s="295" t="s">
        <v>30</v>
      </c>
      <c r="AC31" s="297" t="s">
        <v>511</v>
      </c>
      <c r="AD31" s="281" t="s">
        <v>30</v>
      </c>
      <c r="AE31" s="281" t="s">
        <v>30</v>
      </c>
      <c r="AF31" s="281" t="s">
        <v>30</v>
      </c>
      <c r="AG31" s="281" t="s">
        <v>30</v>
      </c>
      <c r="AH31" s="281" t="s">
        <v>854</v>
      </c>
      <c r="AI31" s="295" t="s">
        <v>30</v>
      </c>
      <c r="AJ31" s="295" t="s">
        <v>30</v>
      </c>
      <c r="AK31" s="295" t="s">
        <v>30</v>
      </c>
      <c r="AM31" s="286">
        <v>45170</v>
      </c>
      <c r="AN31" s="287" t="str">
        <f ca="1">DATEDIF(AM31,TODAY(),"y")&amp;" tahun "&amp;DATEDIF(AM31,TODAY(),"ym")&amp;" bulan "</f>
        <v xml:space="preserve">2 tahun 4 bulan </v>
      </c>
      <c r="AO31" s="281" t="s">
        <v>858</v>
      </c>
      <c r="AP31" s="281" t="s">
        <v>962</v>
      </c>
      <c r="AQ31" s="281" t="s">
        <v>1269</v>
      </c>
      <c r="AR31" s="281" t="s">
        <v>149</v>
      </c>
      <c r="AS31" s="281">
        <v>85236699663</v>
      </c>
      <c r="AT31" s="281" t="s">
        <v>150</v>
      </c>
      <c r="AU31" s="281" t="s">
        <v>30</v>
      </c>
      <c r="AV31" s="281"/>
      <c r="AW31" s="281" t="str">
        <f>VLOOKUP(B31,Sheet2!A108:I225,9,FALSE)</f>
        <v>Pima Hani Safitri, S.Kom., M.Kom.</v>
      </c>
      <c r="AX31" s="281" t="s">
        <v>902</v>
      </c>
      <c r="AY31" s="281" t="str">
        <f>VLOOKUP(B31,Sheet2!A108:C225,2,FALSE)</f>
        <v>Madiun</v>
      </c>
      <c r="AZ31" s="288">
        <f>VLOOKUP(B31,Sheet2!A108:C225,3,FALSE)</f>
        <v>34761</v>
      </c>
      <c r="BA31" s="281">
        <f ca="1">DATEDIF(AZ31, TODAY(),"y")</f>
        <v>30</v>
      </c>
      <c r="BB31" s="281"/>
      <c r="BC31" s="281"/>
      <c r="BD31" s="281"/>
      <c r="BE31" s="295"/>
      <c r="BF31" s="289"/>
      <c r="BG31" s="289"/>
      <c r="BH31" s="289"/>
      <c r="BI31" s="289"/>
      <c r="BJ31" s="289"/>
      <c r="BK31" s="289"/>
      <c r="BL31" s="288" t="str">
        <f>VLOOKUP(B31,Sheet2!A108:D225,4,FALSE)</f>
        <v>Dosen</v>
      </c>
      <c r="BM31" s="281"/>
      <c r="BN31" s="281"/>
      <c r="BO31" s="281"/>
      <c r="BP31" s="281"/>
      <c r="BQ31" s="281"/>
      <c r="BR31" s="288" t="str">
        <f>VLOOKUP(B31,Sheet2!A108:E225,5,FALSE)</f>
        <v>Data Science and Intelligent Systems (DSIS)</v>
      </c>
      <c r="BS31" s="288" t="str">
        <f>VLOOKUP(B31,Sheet2!A108:F225,6,FALSE)</f>
        <v>PIM</v>
      </c>
      <c r="BT31" s="288" t="str">
        <f>VLOOKUP(B31,Sheet2!A108:G225,7,FALSE)</f>
        <v>Fakultas Informatika</v>
      </c>
      <c r="BU31" s="288" t="str">
        <f>VLOOKUP(B31,Sheet2!A108:H225,8,FALSE)</f>
        <v>phanisafitri@telkomuniversity.ac.id</v>
      </c>
      <c r="BV31" s="280">
        <f>COUNTIFS('Join TPA Dosen'!B:B,'Dosen sorted'!B108)</f>
        <v>1</v>
      </c>
      <c r="BW31" s="273" t="str">
        <f>DATEDIF(AM31,DATE(2026,1,1),"y")&amp;" tahun "&amp;DATEDIF(AM31,DATE(2026,1,1),"ym")&amp;" bulan "</f>
        <v xml:space="preserve">2 tahun 4 bulan </v>
      </c>
      <c r="BX31" s="280" t="str">
        <f>VLOOKUP($B31,Sheet1!$A:$G,2,FALSE)</f>
        <v>Tel-U</v>
      </c>
      <c r="BY31" s="280" t="str">
        <f>VLOOKUP($B31,Sheet1!$A:$G,3,FALSE)</f>
        <v>Teknik Informatika</v>
      </c>
      <c r="BZ31" s="280" t="str">
        <f>VLOOKUP($B31,Sheet1!$A:$G,4,FALSE)</f>
        <v>ITS</v>
      </c>
      <c r="CA31" s="280" t="str">
        <f>VLOOKUP($B31,Sheet1!$A:$G,5,FALSE)</f>
        <v>Teknik Informatika</v>
      </c>
      <c r="CB31" s="280">
        <f>VLOOKUP($B31,Sheet1!$A:$G,6,FALSE)</f>
        <v>0</v>
      </c>
      <c r="CC31" s="280">
        <f>VLOOKUP($B31,Sheet1!$A:$G,7,FALSE)</f>
        <v>0</v>
      </c>
      <c r="CD31" s="280" t="s">
        <v>882</v>
      </c>
      <c r="CE31" s="280" t="s">
        <v>903</v>
      </c>
    </row>
    <row r="32" spans="1:83" ht="19.5" hidden="1">
      <c r="A32" s="281">
        <v>51</v>
      </c>
      <c r="B32" s="281" t="s">
        <v>125</v>
      </c>
      <c r="C32" s="281" t="s">
        <v>20</v>
      </c>
      <c r="D32" s="281" t="s">
        <v>107</v>
      </c>
      <c r="E32" s="281">
        <v>25970012</v>
      </c>
      <c r="F32" s="281" t="s">
        <v>1028</v>
      </c>
      <c r="G32" s="282" t="s">
        <v>126</v>
      </c>
      <c r="H32" s="301" t="s">
        <v>845</v>
      </c>
      <c r="I32" s="281" t="s">
        <v>30</v>
      </c>
      <c r="J32" s="281" t="s">
        <v>57</v>
      </c>
      <c r="K32" s="281" t="s">
        <v>846</v>
      </c>
      <c r="L32" s="281" t="s">
        <v>847</v>
      </c>
      <c r="M32" s="283" t="str">
        <f>IF(L32="NJAD","AA",IF(L32="AA","L",IF(L32="L","LK","GB")))</f>
        <v>L</v>
      </c>
      <c r="N32" s="282" t="s">
        <v>511</v>
      </c>
      <c r="O32" s="281">
        <v>150</v>
      </c>
      <c r="P32" s="281" t="s">
        <v>1029</v>
      </c>
      <c r="Q32" s="284">
        <v>45108</v>
      </c>
      <c r="R32" s="281" t="str">
        <f ca="1">DATEDIF(Q32,TODAY(), "Y") &amp; " Tahun " &amp; DATEDIF(Q32, TODAY(), "YM") &amp; " Bulan"</f>
        <v>2 Tahun 6 Bulan</v>
      </c>
      <c r="S32" s="281" t="s">
        <v>849</v>
      </c>
      <c r="T32" s="285">
        <v>45505</v>
      </c>
      <c r="U32" s="281" t="str">
        <f ca="1">DATEDIF(T32,TODAY(), "Y") &amp; " Tahun " &amp; DATEDIF(T32, TODAY(), "YM") &amp; " Bulan"</f>
        <v>1 Tahun 5 Bulan</v>
      </c>
      <c r="V32" s="281" t="s">
        <v>1030</v>
      </c>
      <c r="W32" s="281" t="s">
        <v>851</v>
      </c>
      <c r="X32" s="283" t="str">
        <f ca="1">IF(AND(OR(L32="AA",L32="L"),OR(S32="Penata Muda Tk. I Golongan III/b",S32="Penata Golongan III/c"),DATEDIF(Q32,TODAY(),"m")&gt;=23,ISBLANK(Z32),C32="Aktif"),"Nominasi Serdos","-")</f>
        <v>Nominasi Serdos</v>
      </c>
      <c r="Y32" s="281"/>
      <c r="Z32" s="282"/>
      <c r="AA32" s="281"/>
      <c r="AB32" s="281" t="s">
        <v>30</v>
      </c>
      <c r="AC32" s="282" t="s">
        <v>511</v>
      </c>
      <c r="AD32" s="281" t="s">
        <v>30</v>
      </c>
      <c r="AE32" s="281" t="s">
        <v>30</v>
      </c>
      <c r="AF32" s="281" t="s">
        <v>30</v>
      </c>
      <c r="AG32" s="281" t="s">
        <v>30</v>
      </c>
      <c r="AH32" s="281" t="s">
        <v>854</v>
      </c>
      <c r="AI32" s="281" t="s">
        <v>30</v>
      </c>
      <c r="AJ32" s="281" t="s">
        <v>30</v>
      </c>
      <c r="AK32" s="281" t="s">
        <v>30</v>
      </c>
      <c r="AM32" s="286">
        <v>44166</v>
      </c>
      <c r="AN32" s="287" t="str">
        <f ca="1">DATEDIF(AM32,TODAY(),"y")&amp;" tahun "&amp;DATEDIF(AM32,TODAY(),"ym")&amp;" bulan "</f>
        <v xml:space="preserve">5 tahun 1 bulan </v>
      </c>
      <c r="AO32" s="281" t="s">
        <v>858</v>
      </c>
      <c r="AP32" s="281" t="s">
        <v>962</v>
      </c>
      <c r="AQ32" s="281" t="s">
        <v>1031</v>
      </c>
      <c r="AR32" s="281" t="s">
        <v>127</v>
      </c>
      <c r="AS32" s="281">
        <v>81230777099</v>
      </c>
      <c r="AT32" s="281" t="s">
        <v>128</v>
      </c>
      <c r="AU32" s="281" t="s">
        <v>30</v>
      </c>
      <c r="AV32" s="281"/>
      <c r="AW32" s="281" t="str">
        <f>VLOOKUP(B32,Sheet2!A52:I169,9,FALSE)</f>
        <v>Rizky Fenaldo Maulana, S.Kom., M.Kom.</v>
      </c>
      <c r="AX32" s="281" t="s">
        <v>861</v>
      </c>
      <c r="AY32" s="281" t="str">
        <f>VLOOKUP(B32,Sheet2!A52:C169,2,FALSE)</f>
        <v>Denpasar</v>
      </c>
      <c r="AZ32" s="288">
        <f>VLOOKUP(B32,Sheet2!A52:C169,3,FALSE)</f>
        <v>35625</v>
      </c>
      <c r="BA32" s="281">
        <f ca="1">DATEDIF(AZ32, TODAY(),"y")</f>
        <v>28</v>
      </c>
      <c r="BB32" s="281"/>
      <c r="BC32" s="281"/>
      <c r="BD32" s="281"/>
      <c r="BE32" s="281"/>
      <c r="BF32" s="289"/>
      <c r="BG32" s="289"/>
      <c r="BH32" s="289"/>
      <c r="BI32" s="289"/>
      <c r="BJ32" s="289"/>
      <c r="BK32" s="289"/>
      <c r="BL32" s="288" t="str">
        <f>VLOOKUP(B32,Sheet2!A52:D169,4,FALSE)</f>
        <v>Kabag</v>
      </c>
      <c r="BM32" s="281"/>
      <c r="BN32" s="281"/>
      <c r="BO32" s="281"/>
      <c r="BP32" s="281"/>
      <c r="BQ32" s="281"/>
      <c r="BR32" s="288" t="str">
        <f>VLOOKUP(B32,Sheet2!A52:E169,5,FALSE)</f>
        <v>Communication and Information Technology Infrastructure (CITI)</v>
      </c>
      <c r="BS32" s="288" t="str">
        <f>VLOOKUP(B32,Sheet2!A52:F169,6,FALSE)</f>
        <v>RZO</v>
      </c>
      <c r="BT32" s="288" t="str">
        <f>VLOOKUP(B32,Sheet2!A52:G169,7,FALSE)</f>
        <v>Fakultas Informatika</v>
      </c>
      <c r="BU32" s="288" t="str">
        <f>VLOOKUP(B32,Sheet2!A52:H169,8,FALSE)</f>
        <v>rizkyfenaldo@telkomuniversity.ac.id</v>
      </c>
      <c r="BV32" s="280">
        <f>COUNTIFS('Join TPA Dosen'!B:B,'Dosen sorted'!B52)</f>
        <v>1</v>
      </c>
      <c r="BW32" s="273" t="str">
        <f>DATEDIF(AM32,DATE(2026,1,1),"y")&amp;" tahun "&amp;DATEDIF(AM32,DATE(2026,1,1),"ym")&amp;" bulan "</f>
        <v xml:space="preserve">5 tahun 1 bulan </v>
      </c>
      <c r="BX32" s="280" t="str">
        <f>VLOOKUP($B32,Sheet1!$A:$G,2,FALSE)</f>
        <v>ITS</v>
      </c>
      <c r="BY32" s="280" t="str">
        <f>VLOOKUP($B32,Sheet1!$A:$G,3,FALSE)</f>
        <v>Teknologi Informasi dan Komunikasi/Teknik Informatika</v>
      </c>
      <c r="BZ32" s="280" t="str">
        <f>VLOOKUP($B32,Sheet1!$A:$G,4,FALSE)</f>
        <v>ITS</v>
      </c>
      <c r="CA32" s="280" t="str">
        <f>VLOOKUP($B32,Sheet1!$A:$G,5,FALSE)</f>
        <v>Teknologi Elektro dan Informatika Cerdas/Teknik Informatika</v>
      </c>
      <c r="CB32" s="280" t="str">
        <f>VLOOKUP($B32,Sheet1!$A:$G,6,FALSE)</f>
        <v>-</v>
      </c>
      <c r="CC32" s="280">
        <f>VLOOKUP($B32,Sheet1!$A:$G,7,FALSE)</f>
        <v>0</v>
      </c>
      <c r="CD32" s="280" t="s">
        <v>862</v>
      </c>
      <c r="CE32" s="280" t="s">
        <v>903</v>
      </c>
    </row>
    <row r="33" spans="1:84" ht="39.75" hidden="1">
      <c r="A33" s="281">
        <v>108</v>
      </c>
      <c r="B33" s="281" t="s">
        <v>151</v>
      </c>
      <c r="C33" s="281" t="s">
        <v>20</v>
      </c>
      <c r="D33" s="281" t="s">
        <v>107</v>
      </c>
      <c r="E33" s="281">
        <v>23980024</v>
      </c>
      <c r="F33" s="291" t="s">
        <v>1276</v>
      </c>
      <c r="G33" s="296" t="s">
        <v>152</v>
      </c>
      <c r="H33" s="291" t="s">
        <v>884</v>
      </c>
      <c r="I33" s="281" t="s">
        <v>189</v>
      </c>
      <c r="J33" s="281" t="s">
        <v>57</v>
      </c>
      <c r="K33" s="283" t="s">
        <v>937</v>
      </c>
      <c r="L33" s="281" t="s">
        <v>918</v>
      </c>
      <c r="M33" s="283" t="str">
        <f>IF(L33="NJAD","AA",IF(L33="AA","L",IF(L33="L","LK","GB")))</f>
        <v>AA</v>
      </c>
      <c r="N33" s="282" t="s">
        <v>511</v>
      </c>
      <c r="O33" s="281">
        <v>0</v>
      </c>
      <c r="P33" s="281" t="s">
        <v>30</v>
      </c>
      <c r="Q33" s="284">
        <v>45170</v>
      </c>
      <c r="R33" s="281" t="str">
        <f ca="1">DATEDIF(Q33,TODAY(), "Y") &amp; " Tahun " &amp; DATEDIF(Q33, TODAY(), "YM") &amp; " Bulan"</f>
        <v>2 Tahun 4 Bulan</v>
      </c>
      <c r="S33" s="282" t="s">
        <v>511</v>
      </c>
      <c r="T33" s="282" t="s">
        <v>511</v>
      </c>
      <c r="U33" s="281" t="e">
        <f ca="1">DATEDIF(T33,TODAY(), "Y") &amp; " Tahun " &amp; DATEDIF(T33, TODAY(), "YM") &amp; " Bulan"</f>
        <v>#VALUE!</v>
      </c>
      <c r="V33" s="281" t="s">
        <v>1026</v>
      </c>
      <c r="W33" s="281" t="s">
        <v>851</v>
      </c>
      <c r="X33" s="283" t="str">
        <f ca="1">IF(AND(OR(L33="AA",L33="L"),OR(S33="Penata Muda Tk. I Golongan III/b",S33="Penata Golongan III/c"),DATEDIF(Q33,TODAY(),"m")&gt;=23,ISBLANK(Z33),C33="Aktif"),"Nominasi Serdos","-")</f>
        <v>-</v>
      </c>
      <c r="Y33" s="281"/>
      <c r="Z33" s="297"/>
      <c r="AA33" s="297"/>
      <c r="AB33" s="295" t="s">
        <v>30</v>
      </c>
      <c r="AC33" s="297" t="s">
        <v>511</v>
      </c>
      <c r="AD33" s="281" t="s">
        <v>30</v>
      </c>
      <c r="AE33" s="281" t="s">
        <v>30</v>
      </c>
      <c r="AF33" s="281" t="s">
        <v>30</v>
      </c>
      <c r="AG33" s="281" t="s">
        <v>30</v>
      </c>
      <c r="AH33" s="281" t="s">
        <v>879</v>
      </c>
      <c r="AI33" s="295" t="s">
        <v>30</v>
      </c>
      <c r="AJ33" s="295" t="s">
        <v>30</v>
      </c>
      <c r="AK33" s="295" t="s">
        <v>30</v>
      </c>
      <c r="AM33" s="286">
        <v>45170</v>
      </c>
      <c r="AN33" s="287" t="str">
        <f ca="1">DATEDIF(AM33,TODAY(),"y")&amp;" tahun "&amp;DATEDIF(AM33,TODAY(),"ym")&amp;" bulan "</f>
        <v xml:space="preserve">2 tahun 4 bulan </v>
      </c>
      <c r="AO33" s="281" t="s">
        <v>858</v>
      </c>
      <c r="AP33" s="281" t="s">
        <v>962</v>
      </c>
      <c r="AQ33" s="281" t="s">
        <v>1277</v>
      </c>
      <c r="AR33" s="281" t="s">
        <v>153</v>
      </c>
      <c r="AS33" s="281">
        <v>85171711408</v>
      </c>
      <c r="AT33" s="281" t="s">
        <v>154</v>
      </c>
      <c r="AU33" s="281" t="s">
        <v>30</v>
      </c>
      <c r="AV33" s="281"/>
      <c r="AW33" s="281" t="str">
        <f>VLOOKUP(B33,Sheet2!A109:I226,9,FALSE)</f>
        <v>Tanzilal Mustaqim, S.Kom., M.Kom.</v>
      </c>
      <c r="AX33" s="281" t="s">
        <v>861</v>
      </c>
      <c r="AY33" s="281" t="str">
        <f>VLOOKUP(B33,Sheet2!A109:C226,2,FALSE)</f>
        <v>Sragen</v>
      </c>
      <c r="AZ33" s="288">
        <f>VLOOKUP(B33,Sheet2!A109:C226,3,FALSE)</f>
        <v>36021</v>
      </c>
      <c r="BA33" s="281">
        <f ca="1">DATEDIF(AZ33, TODAY(),"y")</f>
        <v>27</v>
      </c>
      <c r="BB33" s="281"/>
      <c r="BC33" s="281"/>
      <c r="BD33" s="281"/>
      <c r="BE33" s="281"/>
      <c r="BF33" s="289"/>
      <c r="BG33" s="289"/>
      <c r="BH33" s="289"/>
      <c r="BI33" s="289"/>
      <c r="BJ33" s="289"/>
      <c r="BK33" s="289"/>
      <c r="BL33" s="288" t="str">
        <f>VLOOKUP(B33,Sheet2!A109:D226,4,FALSE)</f>
        <v>Dosen</v>
      </c>
      <c r="BM33" s="281"/>
      <c r="BN33" s="281"/>
      <c r="BO33" s="281"/>
      <c r="BP33" s="281"/>
      <c r="BQ33" s="281"/>
      <c r="BR33" s="288" t="str">
        <f>VLOOKUP(B33,Sheet2!A109:E226,5,FALSE)</f>
        <v>Data Science and Intelligent Systems (DSIS)</v>
      </c>
      <c r="BS33" s="288" t="str">
        <f>VLOOKUP(B33,Sheet2!A109:F226,6,FALSE)</f>
        <v>TZL</v>
      </c>
      <c r="BT33" s="288" t="str">
        <f>VLOOKUP(B33,Sheet2!A109:G226,7,FALSE)</f>
        <v>Fakultas Informatika</v>
      </c>
      <c r="BU33" s="288" t="str">
        <f>VLOOKUP(B33,Sheet2!A109:H226,8,FALSE)</f>
        <v>tanzilal@telkomuniversity.ac.id</v>
      </c>
      <c r="BV33" s="280">
        <f>COUNTIFS('Join TPA Dosen'!B:B,'Dosen sorted'!B109)</f>
        <v>1</v>
      </c>
      <c r="BW33" s="273" t="str">
        <f>DATEDIF(AM33,DATE(2026,1,1),"y")&amp;" tahun "&amp;DATEDIF(AM33,DATE(2026,1,1),"ym")&amp;" bulan "</f>
        <v xml:space="preserve">2 tahun 4 bulan </v>
      </c>
      <c r="BX33" s="280" t="str">
        <f>VLOOKUP($B33,Sheet1!$A:$G,2,FALSE)</f>
        <v>UNNES</v>
      </c>
      <c r="BY33" s="280" t="str">
        <f>VLOOKUP($B33,Sheet1!$A:$G,3,FALSE)</f>
        <v>Teknik Informatika</v>
      </c>
      <c r="BZ33" s="280" t="str">
        <f>VLOOKUP($B33,Sheet1!$A:$G,4,FALSE)</f>
        <v>ITS</v>
      </c>
      <c r="CA33" s="280" t="str">
        <f>VLOOKUP($B33,Sheet1!$A:$G,5,FALSE)</f>
        <v>Teknik Informatika</v>
      </c>
      <c r="CB33" s="280" t="str">
        <f>VLOOKUP($B33,Sheet1!$A:$G,6,FALSE)</f>
        <v>ITS</v>
      </c>
      <c r="CC33" s="280" t="str">
        <f>VLOOKUP($B33,Sheet1!$A:$G,7,FALSE)</f>
        <v>Ilmu Komputer</v>
      </c>
      <c r="CD33" s="280" t="s">
        <v>882</v>
      </c>
      <c r="CE33" s="280" t="s">
        <v>903</v>
      </c>
    </row>
    <row r="34" spans="1:84" ht="29.25" hidden="1">
      <c r="A34" s="281">
        <v>89</v>
      </c>
      <c r="B34" s="281" t="s">
        <v>129</v>
      </c>
      <c r="C34" s="281" t="s">
        <v>20</v>
      </c>
      <c r="D34" s="281" t="s">
        <v>107</v>
      </c>
      <c r="E34" s="281">
        <v>22950051</v>
      </c>
      <c r="F34" s="281" t="s">
        <v>1167</v>
      </c>
      <c r="G34" s="282" t="s">
        <v>130</v>
      </c>
      <c r="H34" s="291" t="s">
        <v>884</v>
      </c>
      <c r="I34" s="281" t="s">
        <v>30</v>
      </c>
      <c r="J34" s="281" t="s">
        <v>57</v>
      </c>
      <c r="K34" s="281" t="s">
        <v>846</v>
      </c>
      <c r="L34" s="281" t="s">
        <v>847</v>
      </c>
      <c r="M34" s="283" t="str">
        <f>IF(L34="NJAD","AA",IF(L34="AA","L",IF(L34="L","LK","GB")))</f>
        <v>L</v>
      </c>
      <c r="N34" s="282" t="s">
        <v>511</v>
      </c>
      <c r="O34" s="281">
        <v>150</v>
      </c>
      <c r="P34" s="281" t="s">
        <v>1168</v>
      </c>
      <c r="Q34" s="284">
        <v>45444</v>
      </c>
      <c r="R34" s="281" t="str">
        <f ca="1">DATEDIF(Q34,TODAY(), "Y") &amp; " Tahun " &amp; DATEDIF(Q34, TODAY(), "YM") &amp; " Bulan"</f>
        <v>1 Tahun 7 Bulan</v>
      </c>
      <c r="S34" s="281" t="s">
        <v>849</v>
      </c>
      <c r="T34" s="285">
        <v>45717</v>
      </c>
      <c r="U34" s="281" t="str">
        <f ca="1">DATEDIF(T34,TODAY(), "Y") &amp; " Tahun " &amp; DATEDIF(T34, TODAY(), "YM") &amp; " Bulan"</f>
        <v>0 Tahun 10 Bulan</v>
      </c>
      <c r="V34" s="281" t="s">
        <v>1026</v>
      </c>
      <c r="W34" s="281" t="s">
        <v>851</v>
      </c>
      <c r="X34" s="283" t="str">
        <f ca="1">IF(AND(OR(L34="AA",L34="L"),OR(S34="Penata Muda Tk. I Golongan III/b",S34="Penata Golongan III/c"),DATEDIF(Q34,TODAY(),"m")&gt;=23,ISBLANK(Z34),C34="Aktif"),"Nominasi Serdos","-")</f>
        <v>-</v>
      </c>
      <c r="Y34" s="281"/>
      <c r="Z34" s="282"/>
      <c r="AA34" s="295"/>
      <c r="AB34" s="281" t="s">
        <v>30</v>
      </c>
      <c r="AC34" s="282" t="s">
        <v>511</v>
      </c>
      <c r="AD34" s="281" t="s">
        <v>30</v>
      </c>
      <c r="AE34" s="281" t="s">
        <v>30</v>
      </c>
      <c r="AF34" s="281" t="s">
        <v>30</v>
      </c>
      <c r="AG34" s="281" t="s">
        <v>30</v>
      </c>
      <c r="AH34" s="281" t="s">
        <v>854</v>
      </c>
      <c r="AI34" s="281" t="s">
        <v>30</v>
      </c>
      <c r="AJ34" s="281" t="s">
        <v>30</v>
      </c>
      <c r="AK34" s="281" t="s">
        <v>30</v>
      </c>
      <c r="AM34" s="286">
        <v>44832</v>
      </c>
      <c r="AN34" s="287" t="str">
        <f ca="1">DATEDIF(AM34,TODAY(),"y")&amp;" tahun "&amp;DATEDIF(AM34,TODAY(),"ym")&amp;" bulan "</f>
        <v xml:space="preserve">3 tahun 3 bulan </v>
      </c>
      <c r="AO34" s="281" t="s">
        <v>858</v>
      </c>
      <c r="AP34" s="281" t="s">
        <v>962</v>
      </c>
      <c r="AQ34" s="281" t="s">
        <v>1169</v>
      </c>
      <c r="AR34" s="281" t="s">
        <v>131</v>
      </c>
      <c r="AS34" s="281">
        <v>82139322002</v>
      </c>
      <c r="AT34" s="281" t="s">
        <v>132</v>
      </c>
      <c r="AU34" s="281" t="s">
        <v>30</v>
      </c>
      <c r="AV34" s="281"/>
      <c r="AW34" s="281" t="str">
        <f>VLOOKUP(B34,Sheet2!A90:I207,9,FALSE)</f>
        <v>Vessa Rizky Oktavia, S.Kom., M.Kom.</v>
      </c>
      <c r="AX34" s="281" t="s">
        <v>902</v>
      </c>
      <c r="AY34" s="281" t="str">
        <f>VLOOKUP(B34,Sheet2!A90:C207,2,FALSE)</f>
        <v>Surabaya</v>
      </c>
      <c r="AZ34" s="288">
        <f>VLOOKUP(B34,Sheet2!A90:C207,3,FALSE)</f>
        <v>34977</v>
      </c>
      <c r="BA34" s="281">
        <f ca="1">DATEDIF(AZ34, TODAY(),"y")</f>
        <v>30</v>
      </c>
      <c r="BB34" s="281"/>
      <c r="BC34" s="281"/>
      <c r="BD34" s="281"/>
      <c r="BE34" s="281"/>
      <c r="BF34" s="289"/>
      <c r="BG34" s="289"/>
      <c r="BH34" s="289"/>
      <c r="BI34" s="289"/>
      <c r="BJ34" s="289"/>
      <c r="BK34" s="289"/>
      <c r="BL34" s="288" t="str">
        <f>VLOOKUP(B34,Sheet2!A90:D207,4,FALSE)</f>
        <v>Dosen</v>
      </c>
      <c r="BM34" s="281"/>
      <c r="BN34" s="281"/>
      <c r="BO34" s="281"/>
      <c r="BP34" s="281"/>
      <c r="BQ34" s="281"/>
      <c r="BR34" s="288" t="str">
        <f>VLOOKUP(B34,Sheet2!A90:E207,5,FALSE)</f>
        <v>Data Science and Intelligent Systems (DSIS)</v>
      </c>
      <c r="BS34" s="288" t="str">
        <f>VLOOKUP(B34,Sheet2!A90:F207,6,FALSE)</f>
        <v>VRO</v>
      </c>
      <c r="BT34" s="288" t="str">
        <f>VLOOKUP(B34,Sheet2!A90:G207,7,FALSE)</f>
        <v>Fakultas Informatika</v>
      </c>
      <c r="BU34" s="288" t="str">
        <f>VLOOKUP(B34,Sheet2!A90:H207,8,FALSE)</f>
        <v>vessarizky@telkomuniversity.ac.id</v>
      </c>
      <c r="BV34" s="280">
        <f>COUNTIFS('Join TPA Dosen'!B:B,'Dosen sorted'!B90)</f>
        <v>1</v>
      </c>
      <c r="BW34" s="273" t="str">
        <f>DATEDIF(AM34,DATE(2026,1,1),"y")&amp;" tahun "&amp;DATEDIF(AM34,DATE(2026,1,1),"ym")&amp;" bulan "</f>
        <v xml:space="preserve">3 tahun 3 bulan </v>
      </c>
      <c r="BX34" s="280" t="str">
        <f>VLOOKUP($B34,Sheet1!$A:$G,2,FALSE)</f>
        <v>ITS</v>
      </c>
      <c r="BY34" s="280" t="str">
        <f>VLOOKUP($B34,Sheet1!$A:$G,3,FALSE)</f>
        <v>Teknologi Informasi dan Komunikasi/Teknik Informatika</v>
      </c>
      <c r="BZ34" s="280" t="str">
        <f>VLOOKUP($B34,Sheet1!$A:$G,4,FALSE)</f>
        <v>ITS</v>
      </c>
      <c r="CA34" s="280" t="str">
        <f>VLOOKUP($B34,Sheet1!$A:$G,5,FALSE)</f>
        <v>Teknologi Elektro dan Informatika Cerdas/Teknik Informatika</v>
      </c>
      <c r="CB34" s="280" t="str">
        <f>VLOOKUP($B34,Sheet1!$A:$G,6,FALSE)</f>
        <v>-</v>
      </c>
      <c r="CC34" s="280">
        <f>VLOOKUP($B34,Sheet1!$A:$G,7,FALSE)</f>
        <v>0</v>
      </c>
      <c r="CD34" s="273" t="s">
        <v>882</v>
      </c>
      <c r="CE34" s="280" t="s">
        <v>903</v>
      </c>
    </row>
    <row r="35" spans="1:84" ht="19.5" hidden="1">
      <c r="A35" s="281">
        <v>125</v>
      </c>
      <c r="B35" s="281" t="s">
        <v>165</v>
      </c>
      <c r="C35" s="281" t="s">
        <v>20</v>
      </c>
      <c r="D35" s="281" t="s">
        <v>107</v>
      </c>
      <c r="E35" s="281">
        <v>25989002</v>
      </c>
      <c r="F35" s="299"/>
      <c r="G35" s="291" t="s">
        <v>166</v>
      </c>
      <c r="H35" s="291" t="s">
        <v>884</v>
      </c>
      <c r="J35" s="281" t="s">
        <v>57</v>
      </c>
      <c r="K35" s="281" t="s">
        <v>917</v>
      </c>
      <c r="L35" s="281" t="s">
        <v>918</v>
      </c>
      <c r="M35" s="283" t="str">
        <f>IF(L35="NJAD","AA",IF(L35="AA","L",IF(L35="L","LK","GB")))</f>
        <v>AA</v>
      </c>
      <c r="N35" s="282" t="s">
        <v>511</v>
      </c>
      <c r="O35" s="281">
        <v>0</v>
      </c>
      <c r="Q35" s="284">
        <v>45717</v>
      </c>
      <c r="R35" s="281" t="str">
        <f ca="1">DATEDIF(Q35,TODAY(), "Y") &amp; " Tahun " &amp; DATEDIF(Q35, TODAY(), "YM") &amp; " Bulan"</f>
        <v>0 Tahun 10 Bulan</v>
      </c>
      <c r="S35" s="282" t="s">
        <v>511</v>
      </c>
      <c r="T35" s="282" t="s">
        <v>511</v>
      </c>
      <c r="U35" s="281" t="e">
        <f ca="1">DATEDIF(T35,TODAY(), "Y") &amp; " Tahun " &amp; DATEDIF(T35, TODAY(), "YM") &amp; " Bulan"</f>
        <v>#VALUE!</v>
      </c>
      <c r="V35" s="281" t="s">
        <v>1026</v>
      </c>
      <c r="W35" s="281" t="s">
        <v>851</v>
      </c>
      <c r="X35" s="283" t="str">
        <f ca="1">IF(AND(OR(L35="AA",L35="L"),OR(S35="Penata Muda Tk. I Golongan III/b",S35="Penata Golongan III/c"),DATEDIF(Q35,TODAY(),"m")&gt;=23,ISBLANK(Z35),C35="Aktif"),"Nominasi Serdos","-")</f>
        <v>-</v>
      </c>
      <c r="Y35" s="281"/>
      <c r="Z35" s="281"/>
      <c r="AA35" s="281"/>
      <c r="AB35" s="281"/>
      <c r="AC35" s="281"/>
      <c r="AD35" s="281"/>
      <c r="AE35" s="281"/>
      <c r="AF35" s="281"/>
      <c r="AG35" s="281"/>
      <c r="AH35" s="281" t="s">
        <v>854</v>
      </c>
      <c r="AI35" s="281"/>
      <c r="AJ35" s="281"/>
      <c r="AK35" s="281"/>
      <c r="AL35" s="281"/>
      <c r="AM35" s="286">
        <v>45717</v>
      </c>
      <c r="AN35" s="281" t="str">
        <f ca="1">DATEDIF(AM35,TODAY(),"y")&amp;" tahun "&amp;DATEDIF(AM35,TODAY(),"ym")&amp;" bulan "</f>
        <v xml:space="preserve">0 tahun 10 bulan </v>
      </c>
      <c r="AO35" s="281" t="s">
        <v>858</v>
      </c>
      <c r="AP35" s="281" t="s">
        <v>962</v>
      </c>
      <c r="AQ35" s="281"/>
      <c r="AR35" s="281" t="s">
        <v>167</v>
      </c>
      <c r="AS35" s="281">
        <v>82225333154</v>
      </c>
      <c r="AT35" s="281" t="s">
        <v>168</v>
      </c>
      <c r="AW35" s="281" t="s">
        <v>1323</v>
      </c>
      <c r="AX35" s="281" t="s">
        <v>902</v>
      </c>
      <c r="AY35" s="281" t="s">
        <v>1324</v>
      </c>
      <c r="AZ35" s="288">
        <v>35801</v>
      </c>
      <c r="BA35" s="281">
        <f ca="1">DATEDIF(AZ35, TODAY(),"y")</f>
        <v>28</v>
      </c>
      <c r="BL35" s="288" t="s">
        <v>21</v>
      </c>
      <c r="BS35" s="288" t="s">
        <v>1325</v>
      </c>
      <c r="BT35" s="288" t="s">
        <v>1096</v>
      </c>
      <c r="BU35" s="288" t="s">
        <v>1326</v>
      </c>
      <c r="BV35" s="280">
        <f>COUNTIFS('Join TPA Dosen'!B:B,'Dosen sorted'!B126)</f>
        <v>1</v>
      </c>
      <c r="BW35" s="273" t="str">
        <f>DATEDIF(AM35,DATE(2026,1,1),"y")&amp;" tahun "&amp;DATEDIF(AM35,DATE(2026,1,1),"ym")&amp;" bulan "</f>
        <v xml:space="preserve">0 tahun 10 bulan </v>
      </c>
      <c r="BX35" s="280" t="e">
        <f>VLOOKUP($B35,Sheet1!$A:$G,2,FALSE)</f>
        <v>#N/A</v>
      </c>
      <c r="BY35" s="280" t="e">
        <f>VLOOKUP($B35,Sheet1!$A:$G,3,FALSE)</f>
        <v>#N/A</v>
      </c>
      <c r="BZ35" s="280" t="e">
        <f>VLOOKUP($B35,Sheet1!$A:$G,4,FALSE)</f>
        <v>#N/A</v>
      </c>
      <c r="CA35" s="280" t="e">
        <f>VLOOKUP($B35,Sheet1!$A:$G,5,FALSE)</f>
        <v>#N/A</v>
      </c>
      <c r="CB35" s="280" t="e">
        <f>VLOOKUP($B35,Sheet1!$A:$G,6,FALSE)</f>
        <v>#N/A</v>
      </c>
      <c r="CC35" s="280" t="e">
        <f>VLOOKUP($B35,Sheet1!$A:$G,7,FALSE)</f>
        <v>#N/A</v>
      </c>
      <c r="CD35" s="280" t="s">
        <v>862</v>
      </c>
      <c r="CE35" s="280" t="s">
        <v>903</v>
      </c>
    </row>
    <row r="36" spans="1:84" ht="19.5" hidden="1">
      <c r="A36" s="281">
        <v>73</v>
      </c>
      <c r="B36" s="281" t="s">
        <v>192</v>
      </c>
      <c r="C36" s="281" t="s">
        <v>20</v>
      </c>
      <c r="D36" s="281" t="s">
        <v>170</v>
      </c>
      <c r="E36" s="281">
        <v>23850011</v>
      </c>
      <c r="F36" s="281" t="s">
        <v>1124</v>
      </c>
      <c r="G36" s="282" t="s">
        <v>193</v>
      </c>
      <c r="H36" s="281" t="s">
        <v>845</v>
      </c>
      <c r="I36" s="281" t="s">
        <v>30</v>
      </c>
      <c r="J36" s="281" t="s">
        <v>57</v>
      </c>
      <c r="K36" s="281" t="s">
        <v>893</v>
      </c>
      <c r="L36" s="281" t="s">
        <v>775</v>
      </c>
      <c r="M36" s="283" t="str">
        <f>IF(L36="NJAD","AA",IF(L36="AA","L",IF(L36="L","LK","GB")))</f>
        <v>LK</v>
      </c>
      <c r="N36" s="282" t="s">
        <v>511</v>
      </c>
      <c r="O36" s="281">
        <v>200</v>
      </c>
      <c r="P36" s="281" t="s">
        <v>911</v>
      </c>
      <c r="Q36" s="284">
        <v>45901</v>
      </c>
      <c r="R36" s="281" t="str">
        <f ca="1">DATEDIF(Q36,TODAY(), "Y") &amp; " Tahun " &amp; DATEDIF(Q36, TODAY(), "YM") &amp; " Bulan"</f>
        <v>0 Tahun 4 Bulan</v>
      </c>
      <c r="S36" s="281" t="s">
        <v>849</v>
      </c>
      <c r="T36" s="285">
        <v>45017</v>
      </c>
      <c r="U36" s="281" t="str">
        <f ca="1">DATEDIF(T36,TODAY(), "Y") &amp; " Tahun " &amp; DATEDIF(T36, TODAY(), "YM") &amp; " Bulan"</f>
        <v>2 Tahun 9 Bulan</v>
      </c>
      <c r="V36" s="281" t="s">
        <v>955</v>
      </c>
      <c r="W36" s="281" t="s">
        <v>851</v>
      </c>
      <c r="X36" s="283" t="str">
        <f ca="1">IF(AND(OR(L36="AA",L36="L"),OR(S36="Penata Muda Tk. I Golongan III/b",S36="Penata Golongan III/c"),DATEDIF(Q36,TODAY(),"m")&gt;=23,ISBLANK(Z36),C36="Aktif"),"Nominasi Serdos","-")</f>
        <v>-</v>
      </c>
      <c r="Y36" s="281"/>
      <c r="Z36" s="282" t="s">
        <v>852</v>
      </c>
      <c r="AA36" s="281">
        <v>25104105709756</v>
      </c>
      <c r="AB36" s="281" t="s">
        <v>1125</v>
      </c>
      <c r="AC36" s="285">
        <v>45917</v>
      </c>
      <c r="AD36" s="281" t="s">
        <v>30</v>
      </c>
      <c r="AE36" s="281" t="s">
        <v>30</v>
      </c>
      <c r="AF36" s="281" t="s">
        <v>30</v>
      </c>
      <c r="AG36" s="281" t="s">
        <v>30</v>
      </c>
      <c r="AH36" s="281" t="s">
        <v>854</v>
      </c>
      <c r="AI36" s="281" t="s">
        <v>30</v>
      </c>
      <c r="AJ36" s="281" t="s">
        <v>30</v>
      </c>
      <c r="AK36" s="281" t="s">
        <v>30</v>
      </c>
      <c r="AM36" s="286">
        <v>44627</v>
      </c>
      <c r="AN36" s="287" t="str">
        <f ca="1">DATEDIF(AM36,TODAY(),"y")&amp;" tahun "&amp;DATEDIF(AM36,TODAY(),"ym")&amp;" bulan "</f>
        <v xml:space="preserve">3 tahun 10 bulan </v>
      </c>
      <c r="AO36" s="281" t="s">
        <v>858</v>
      </c>
      <c r="AP36" s="281" t="s">
        <v>914</v>
      </c>
      <c r="AQ36" s="281" t="s">
        <v>1126</v>
      </c>
      <c r="AR36" s="305" t="s">
        <v>194</v>
      </c>
      <c r="AS36" s="281">
        <v>81216473232</v>
      </c>
      <c r="AT36" s="281" t="s">
        <v>195</v>
      </c>
      <c r="AU36" s="281" t="s">
        <v>30</v>
      </c>
      <c r="AV36" s="281"/>
      <c r="AW36" s="281" t="str">
        <f>VLOOKUP(B36,Sheet2!A74:I191,9,FALSE)</f>
        <v>Achmad Muzakki, S.Kom., M.Kom.</v>
      </c>
      <c r="AX36" s="281" t="s">
        <v>861</v>
      </c>
      <c r="AY36" s="281" t="str">
        <f>VLOOKUP(B36,Sheet2!A74:C191,2,FALSE)</f>
        <v>Surabaya</v>
      </c>
      <c r="AZ36" s="288">
        <f>VLOOKUP(B36,Sheet2!A74:C191,3,FALSE)</f>
        <v>31195</v>
      </c>
      <c r="BA36" s="281">
        <f ca="1">DATEDIF(AZ36, TODAY(),"y")</f>
        <v>40</v>
      </c>
      <c r="BB36" s="281"/>
      <c r="BC36" s="281"/>
      <c r="BD36" s="281"/>
      <c r="BE36" s="281"/>
      <c r="BF36" s="289"/>
      <c r="BG36" s="289"/>
      <c r="BH36" s="289"/>
      <c r="BI36" s="289"/>
      <c r="BJ36" s="289"/>
      <c r="BK36" s="289"/>
      <c r="BL36" s="288" t="str">
        <f>VLOOKUP(B36,Sheet2!A74:D191,4,FALSE)</f>
        <v>Dosen</v>
      </c>
      <c r="BM36" s="281"/>
      <c r="BN36" s="286"/>
      <c r="BO36" s="281"/>
      <c r="BP36" s="281"/>
      <c r="BQ36" s="281"/>
      <c r="BR36" s="288" t="str">
        <f>VLOOKUP(B36,Sheet2!A74:E191,5,FALSE)</f>
        <v>Software Engineering and Algorithm (SEAL)</v>
      </c>
      <c r="BS36" s="288" t="str">
        <f>VLOOKUP(B36,Sheet2!A74:F191,6,FALSE)</f>
        <v>ZAC</v>
      </c>
      <c r="BT36" s="288" t="str">
        <f>VLOOKUP(B36,Sheet2!A74:G191,7,FALSE)</f>
        <v>Fakultas Informatika</v>
      </c>
      <c r="BU36" s="288" t="str">
        <f>VLOOKUP(B36,Sheet2!A74:H191,8,FALSE)</f>
        <v>achmadmuzakki@telkomuniversity.ac.id</v>
      </c>
      <c r="BV36" s="280">
        <f>COUNTIFS('Join TPA Dosen'!B:B,'Dosen sorted'!B74)</f>
        <v>1</v>
      </c>
      <c r="BW36" s="273" t="str">
        <f>DATEDIF(AM36,DATE(2026,1,1),"y")&amp;" tahun "&amp;DATEDIF(AM36,DATE(2026,1,1),"ym")&amp;" bulan "</f>
        <v xml:space="preserve">3 tahun 9 bulan </v>
      </c>
      <c r="BX36" s="280" t="str">
        <f>VLOOKUP($B36,Sheet1!$A:$G,2,FALSE)</f>
        <v>ITS</v>
      </c>
      <c r="BY36" s="280" t="str">
        <f>VLOOKUP($B36,Sheet1!$A:$G,3,FALSE)</f>
        <v>Sistem Informasi</v>
      </c>
      <c r="BZ36" s="280" t="str">
        <f>VLOOKUP($B36,Sheet1!$A:$G,4,FALSE)</f>
        <v>ITS</v>
      </c>
      <c r="CA36" s="280" t="str">
        <f>VLOOKUP($B36,Sheet1!$A:$G,5,FALSE)</f>
        <v>Teknik Informatika</v>
      </c>
      <c r="CB36" s="280" t="str">
        <f>VLOOKUP($B36,Sheet1!$A:$G,6,FALSE)</f>
        <v>-</v>
      </c>
      <c r="CC36" s="280">
        <f>VLOOKUP($B36,Sheet1!$A:$G,7,FALSE)</f>
        <v>0</v>
      </c>
      <c r="CD36" s="280" t="s">
        <v>862</v>
      </c>
      <c r="CE36" s="280" t="s">
        <v>863</v>
      </c>
    </row>
    <row r="37" spans="1:84" ht="19.5" hidden="1">
      <c r="A37" s="281">
        <v>126</v>
      </c>
      <c r="B37" s="281" t="s">
        <v>753</v>
      </c>
      <c r="C37" s="281" t="s">
        <v>20</v>
      </c>
      <c r="D37" s="281" t="s">
        <v>170</v>
      </c>
      <c r="E37" s="281">
        <v>23920006</v>
      </c>
      <c r="F37" s="281" t="s">
        <v>1328</v>
      </c>
      <c r="G37" s="282" t="s">
        <v>1329</v>
      </c>
      <c r="H37" s="291" t="s">
        <v>845</v>
      </c>
      <c r="I37" s="281"/>
      <c r="J37" s="281" t="s">
        <v>57</v>
      </c>
      <c r="K37" s="281" t="s">
        <v>893</v>
      </c>
      <c r="L37" s="281" t="s">
        <v>775</v>
      </c>
      <c r="M37" s="283" t="str">
        <f>IF(L37="NJAD","AA",IF(L37="AA","L",IF(L37="L","LK","GB")))</f>
        <v>LK</v>
      </c>
      <c r="N37" s="282" t="s">
        <v>511</v>
      </c>
      <c r="O37" s="281">
        <v>200</v>
      </c>
      <c r="P37" s="281" t="s">
        <v>1330</v>
      </c>
      <c r="Q37" s="284">
        <v>45261</v>
      </c>
      <c r="R37" s="281" t="str">
        <f ca="1">DATEDIF(Q37,TODAY(), "Y") &amp; " Tahun " &amp; DATEDIF(Q37, TODAY(), "YM") &amp; " Bulan"</f>
        <v>2 Tahun 1 Bulan</v>
      </c>
      <c r="S37" s="281"/>
      <c r="T37" s="282" t="s">
        <v>511</v>
      </c>
      <c r="U37" s="281" t="e">
        <f ca="1">DATEDIF(T37,TODAY(), "Y") &amp; " Tahun " &amp; DATEDIF(T37, TODAY(), "YM") &amp; " Bulan"</f>
        <v>#VALUE!</v>
      </c>
      <c r="V37" s="281" t="s">
        <v>955</v>
      </c>
      <c r="W37" s="281" t="s">
        <v>851</v>
      </c>
      <c r="X37" s="283" t="str">
        <f ca="1">IF(AND(OR(L37="AA",L37="L"),OR(S37="Penata Muda Tk. I Golongan III/b",S37="Penata Golongan III/c"),DATEDIF(Q37,TODAY(),"m")&gt;=23,ISBLANK(Z37),C37="Aktif"),"Nominasi Serdos","-")</f>
        <v>-</v>
      </c>
      <c r="Y37" s="281"/>
      <c r="Z37" s="282" t="s">
        <v>852</v>
      </c>
      <c r="AA37" s="295"/>
      <c r="AB37" s="281" t="s">
        <v>1331</v>
      </c>
      <c r="AC37" s="282"/>
      <c r="AD37" s="281"/>
      <c r="AE37" s="281"/>
      <c r="AF37" s="281"/>
      <c r="AG37" s="281"/>
      <c r="AH37" s="281" t="s">
        <v>854</v>
      </c>
      <c r="AI37" s="281"/>
      <c r="AJ37" s="281"/>
      <c r="AK37" s="281"/>
      <c r="AM37" s="286"/>
      <c r="AN37" s="287"/>
      <c r="AO37" s="281"/>
      <c r="AP37" s="281"/>
      <c r="AQ37" s="281" t="s">
        <v>1332</v>
      </c>
      <c r="AR37" s="281" t="s">
        <v>1333</v>
      </c>
      <c r="AS37" s="281">
        <v>81232046239</v>
      </c>
      <c r="AT37" s="281" t="s">
        <v>1334</v>
      </c>
      <c r="AU37" s="281"/>
      <c r="AV37" s="281"/>
      <c r="AW37" s="281" t="str">
        <f>VLOOKUP(B37,Sheet2!A111:I228,9,FALSE)</f>
        <v>Alon Jala Tirta Segara, S.Kom., M.Kom.</v>
      </c>
      <c r="AX37" s="281" t="s">
        <v>861</v>
      </c>
      <c r="AY37" s="281" t="str">
        <f>VLOOKUP(B37,Sheet2!A111:C228,2,FALSE)</f>
        <v>Mojokerto</v>
      </c>
      <c r="AZ37" s="288">
        <f>VLOOKUP(B37,Sheet2!A111:C228,3,FALSE)</f>
        <v>33668</v>
      </c>
      <c r="BA37" s="281">
        <f ca="1">DATEDIF(AZ37, TODAY(),"y")</f>
        <v>33</v>
      </c>
      <c r="BB37" s="281"/>
      <c r="BC37" s="281"/>
      <c r="BD37" s="281"/>
      <c r="BE37" s="281"/>
      <c r="BF37" s="289"/>
      <c r="BG37" s="289"/>
      <c r="BH37" s="289"/>
      <c r="BI37" s="289"/>
      <c r="BJ37" s="289"/>
      <c r="BK37" s="289"/>
      <c r="BL37" s="288" t="s">
        <v>21</v>
      </c>
      <c r="BM37" s="281"/>
      <c r="BN37" s="281"/>
      <c r="BO37" s="281"/>
      <c r="BP37" s="281"/>
      <c r="BQ37" s="281"/>
      <c r="BR37" s="288"/>
      <c r="BS37" s="288" t="str">
        <f>VLOOKUP(B37,Sheet2!A111:F228,6,FALSE)</f>
        <v>AJS</v>
      </c>
      <c r="BT37" s="288" t="str">
        <f>VLOOKUP(B37,Sheet2!A111:G228,7,FALSE)</f>
        <v>Fakultas Informatika</v>
      </c>
      <c r="BU37" s="298" t="s">
        <v>1335</v>
      </c>
      <c r="BW37" s="273"/>
      <c r="BX37" s="280" t="e">
        <f>VLOOKUP($B37,Sheet1!$A:$G,2,FALSE)</f>
        <v>#N/A</v>
      </c>
      <c r="BY37" s="280" t="e">
        <f>VLOOKUP($B37,Sheet1!$A:$G,3,FALSE)</f>
        <v>#N/A</v>
      </c>
      <c r="BZ37" s="280" t="e">
        <f>VLOOKUP($B37,Sheet1!$A:$G,4,FALSE)</f>
        <v>#N/A</v>
      </c>
      <c r="CA37" s="280" t="e">
        <f>VLOOKUP($B37,Sheet1!$A:$G,5,FALSE)</f>
        <v>#N/A</v>
      </c>
      <c r="CB37" s="280" t="e">
        <f>VLOOKUP($B37,Sheet1!$A:$G,6,FALSE)</f>
        <v>#N/A</v>
      </c>
      <c r="CC37" s="280" t="e">
        <f>VLOOKUP($B37,Sheet1!$A:$G,7,FALSE)</f>
        <v>#N/A</v>
      </c>
    </row>
    <row r="38" spans="1:84" ht="19.5" hidden="1">
      <c r="A38" s="281">
        <v>102</v>
      </c>
      <c r="B38" s="281" t="s">
        <v>196</v>
      </c>
      <c r="C38" s="281" t="s">
        <v>20</v>
      </c>
      <c r="D38" s="281" t="s">
        <v>170</v>
      </c>
      <c r="E38" s="281">
        <v>23900007</v>
      </c>
      <c r="F38" s="291" t="s">
        <v>1241</v>
      </c>
      <c r="G38" s="296" t="s">
        <v>197</v>
      </c>
      <c r="H38" s="291" t="s">
        <v>884</v>
      </c>
      <c r="I38" s="295" t="s">
        <v>30</v>
      </c>
      <c r="J38" s="281" t="s">
        <v>176</v>
      </c>
      <c r="K38" s="281" t="s">
        <v>846</v>
      </c>
      <c r="L38" s="281" t="s">
        <v>847</v>
      </c>
      <c r="M38" s="283" t="str">
        <f>IF(L38="NJAD","AA",IF(L38="AA","L",IF(L38="L","LK","GB")))</f>
        <v>L</v>
      </c>
      <c r="N38" s="282" t="s">
        <v>511</v>
      </c>
      <c r="O38" s="281">
        <v>150</v>
      </c>
      <c r="P38" s="281" t="s">
        <v>1242</v>
      </c>
      <c r="Q38" s="284">
        <v>45748</v>
      </c>
      <c r="R38" s="281" t="str">
        <f ca="1">DATEDIF(Q38,TODAY(), "Y") &amp; " Tahun " &amp; DATEDIF(Q38, TODAY(), "YM") &amp; " Bulan"</f>
        <v>0 Tahun 9 Bulan</v>
      </c>
      <c r="S38" s="281" t="s">
        <v>849</v>
      </c>
      <c r="T38" s="285">
        <v>45809</v>
      </c>
      <c r="U38" s="281" t="str">
        <f ca="1">DATEDIF(T38,TODAY(), "Y") &amp; " Tahun " &amp; DATEDIF(T38, TODAY(), "YM") &amp; " Bulan"</f>
        <v>0 Tahun 7 Bulan</v>
      </c>
      <c r="V38" s="281" t="s">
        <v>955</v>
      </c>
      <c r="W38" s="281" t="s">
        <v>851</v>
      </c>
      <c r="X38" s="283" t="str">
        <f ca="1">IF(AND(OR(L38="AA",L38="L"),OR(S38="Penata Muda Tk. I Golongan III/b",S38="Penata Golongan III/c"),DATEDIF(Q38,TODAY(),"m")&gt;=23,ISBLANK(Z38),C38="Aktif"),"Nominasi Serdos","-")</f>
        <v>-</v>
      </c>
      <c r="Y38" s="281"/>
      <c r="Z38" s="297"/>
      <c r="AA38" s="297"/>
      <c r="AB38" s="295" t="s">
        <v>30</v>
      </c>
      <c r="AC38" s="297" t="s">
        <v>511</v>
      </c>
      <c r="AD38" s="281" t="s">
        <v>30</v>
      </c>
      <c r="AE38" s="281" t="s">
        <v>30</v>
      </c>
      <c r="AF38" s="281" t="s">
        <v>30</v>
      </c>
      <c r="AG38" s="281" t="s">
        <v>30</v>
      </c>
      <c r="AH38" s="281" t="s">
        <v>854</v>
      </c>
      <c r="AI38" s="295" t="s">
        <v>30</v>
      </c>
      <c r="AJ38" s="295" t="s">
        <v>30</v>
      </c>
      <c r="AK38" s="295" t="s">
        <v>30</v>
      </c>
      <c r="AM38" s="286">
        <v>45170</v>
      </c>
      <c r="AN38" s="287" t="str">
        <f ca="1">DATEDIF(AM38,TODAY(),"y")&amp;" tahun "&amp;DATEDIF(AM38,TODAY(),"ym")&amp;" bulan "</f>
        <v xml:space="preserve">2 tahun 4 bulan </v>
      </c>
      <c r="AO38" s="281" t="s">
        <v>858</v>
      </c>
      <c r="AP38" s="281" t="s">
        <v>914</v>
      </c>
      <c r="AQ38" s="281" t="s">
        <v>1243</v>
      </c>
      <c r="AR38" s="281" t="s">
        <v>198</v>
      </c>
      <c r="AS38" s="281">
        <v>85292632388</v>
      </c>
      <c r="AT38" s="281" t="s">
        <v>199</v>
      </c>
      <c r="AU38" s="281" t="s">
        <v>30</v>
      </c>
      <c r="AV38" s="302"/>
      <c r="AW38" s="281" t="str">
        <f>VLOOKUP(B38,Sheet2!A103:I220,9,FALSE)</f>
        <v>Arni Muarifah Amri, S.T., M.T.</v>
      </c>
      <c r="AX38" s="302" t="s">
        <v>902</v>
      </c>
      <c r="AY38" s="281" t="str">
        <f>VLOOKUP(B38,Sheet2!A103:C220,2,FALSE)</f>
        <v>Bantaeng</v>
      </c>
      <c r="AZ38" s="288">
        <f>VLOOKUP(B38,Sheet2!A103:C220,3,FALSE)</f>
        <v>33042</v>
      </c>
      <c r="BA38" s="281">
        <f ca="1">DATEDIF(AZ38, TODAY(),"y")</f>
        <v>35</v>
      </c>
      <c r="BB38" s="302"/>
      <c r="BC38" s="302"/>
      <c r="BD38" s="302"/>
      <c r="BE38" s="302"/>
      <c r="BF38" s="306"/>
      <c r="BG38" s="306"/>
      <c r="BH38" s="306"/>
      <c r="BI38" s="306"/>
      <c r="BJ38" s="306"/>
      <c r="BK38" s="306"/>
      <c r="BL38" s="288" t="str">
        <f>VLOOKUP(B38,Sheet2!A103:D220,4,FALSE)</f>
        <v>Dosen</v>
      </c>
      <c r="BM38" s="302"/>
      <c r="BN38" s="302"/>
      <c r="BO38" s="302"/>
      <c r="BP38" s="302"/>
      <c r="BQ38" s="302"/>
      <c r="BR38" s="288" t="str">
        <f>VLOOKUP(B38,Sheet2!A103:E220,5,FALSE)</f>
        <v>Software Engineering and Algorithm (SEAL)</v>
      </c>
      <c r="BS38" s="288" t="str">
        <f>VLOOKUP(B38,Sheet2!A103:F220,6,FALSE)</f>
        <v>NIE</v>
      </c>
      <c r="BT38" s="288" t="str">
        <f>VLOOKUP(B38,Sheet2!A103:G220,7,FALSE)</f>
        <v>Fakultas Informatika</v>
      </c>
      <c r="BU38" s="288" t="str">
        <f>VLOOKUP(B38,Sheet2!A103:H220,8,FALSE)</f>
        <v>arnyrivah@telkomuniversity.ac.id</v>
      </c>
      <c r="BV38" s="280">
        <f>COUNTIFS('Join TPA Dosen'!B:B,'Dosen sorted'!B103)</f>
        <v>1</v>
      </c>
      <c r="BW38" s="273" t="str">
        <f>DATEDIF(AM38,DATE(2026,1,1),"y")&amp;" tahun "&amp;DATEDIF(AM38,DATE(2026,1,1),"ym")&amp;" bulan "</f>
        <v xml:space="preserve">2 tahun 4 bulan </v>
      </c>
      <c r="BX38" s="280" t="str">
        <f>VLOOKUP($B38,Sheet1!$A:$G,2,FALSE)</f>
        <v>UNHAS</v>
      </c>
      <c r="BY38" s="280" t="str">
        <f>VLOOKUP($B38,Sheet1!$A:$G,3,FALSE)</f>
        <v>Teknik Informatika</v>
      </c>
      <c r="BZ38" s="280" t="str">
        <f>VLOOKUP($B38,Sheet1!$A:$G,4,FALSE)</f>
        <v>ITS</v>
      </c>
      <c r="CA38" s="280" t="str">
        <f>VLOOKUP($B38,Sheet1!$A:$G,5,FALSE)</f>
        <v>Telematika</v>
      </c>
      <c r="CB38" s="280">
        <f>VLOOKUP($B38,Sheet1!$A:$G,6,FALSE)</f>
        <v>0</v>
      </c>
      <c r="CC38" s="280">
        <f>VLOOKUP($B38,Sheet1!$A:$G,7,FALSE)</f>
        <v>0</v>
      </c>
      <c r="CD38" s="280" t="s">
        <v>862</v>
      </c>
      <c r="CE38" s="280" t="s">
        <v>903</v>
      </c>
    </row>
    <row r="39" spans="1:84" ht="19.5" hidden="1">
      <c r="A39" s="281">
        <v>27</v>
      </c>
      <c r="B39" s="281" t="s">
        <v>169</v>
      </c>
      <c r="C39" s="281" t="s">
        <v>20</v>
      </c>
      <c r="D39" s="281" t="s">
        <v>170</v>
      </c>
      <c r="E39" s="281">
        <v>20870004</v>
      </c>
      <c r="F39" s="281" t="s">
        <v>1041</v>
      </c>
      <c r="G39" s="282" t="s">
        <v>171</v>
      </c>
      <c r="H39" s="281" t="s">
        <v>845</v>
      </c>
      <c r="I39" s="281" t="s">
        <v>30</v>
      </c>
      <c r="J39" s="281" t="s">
        <v>57</v>
      </c>
      <c r="K39" s="281" t="s">
        <v>846</v>
      </c>
      <c r="L39" s="281" t="s">
        <v>847</v>
      </c>
      <c r="M39" s="283" t="str">
        <f>IF(L39="NJAD","AA",IF(L39="AA","L",IF(L39="L","LK","GB")))</f>
        <v>L</v>
      </c>
      <c r="N39" s="282" t="s">
        <v>511</v>
      </c>
      <c r="O39" s="281">
        <v>150</v>
      </c>
      <c r="P39" s="281" t="s">
        <v>1042</v>
      </c>
      <c r="Q39" s="284">
        <v>44007</v>
      </c>
      <c r="R39" s="281" t="str">
        <f ca="1">DATEDIF(Q39,TODAY(), "Y") &amp; " Tahun " &amp; DATEDIF(Q39, TODAY(), "YM") &amp; " Bulan"</f>
        <v>5 Tahun 6 Bulan</v>
      </c>
      <c r="S39" s="281" t="s">
        <v>849</v>
      </c>
      <c r="T39" s="285">
        <v>44075</v>
      </c>
      <c r="U39" s="281" t="str">
        <f ca="1">DATEDIF(T39,TODAY(), "Y") &amp; " Tahun " &amp; DATEDIF(T39, TODAY(), "YM") &amp; " Bulan"</f>
        <v>5 Tahun 4 Bulan</v>
      </c>
      <c r="V39" s="281" t="s">
        <v>955</v>
      </c>
      <c r="W39" s="281" t="s">
        <v>851</v>
      </c>
      <c r="X39" s="283" t="str">
        <f ca="1">IF(AND(OR(L39="AA",L39="L"),OR(S39="Penata Muda Tk. I Golongan III/b",S39="Penata Golongan III/c"),DATEDIF(Q39,TODAY(),"m")&gt;=23,ISBLANK(Z39),C39="Aktif"),"Nominasi Serdos","-")</f>
        <v>-</v>
      </c>
      <c r="Y39" s="281"/>
      <c r="Z39" s="281" t="s">
        <v>852</v>
      </c>
      <c r="AA39" s="281">
        <v>22107201905478</v>
      </c>
      <c r="AB39" s="281" t="s">
        <v>1043</v>
      </c>
      <c r="AC39" s="285">
        <v>44846</v>
      </c>
      <c r="AD39" s="281" t="s">
        <v>30</v>
      </c>
      <c r="AE39" s="281" t="s">
        <v>30</v>
      </c>
      <c r="AF39" s="281" t="s">
        <v>30</v>
      </c>
      <c r="AG39" s="281" t="s">
        <v>30</v>
      </c>
      <c r="AH39" s="281" t="s">
        <v>854</v>
      </c>
      <c r="AI39" s="281" t="s">
        <v>855</v>
      </c>
      <c r="AJ39" s="281" t="s">
        <v>856</v>
      </c>
      <c r="AK39" s="281" t="s">
        <v>855</v>
      </c>
      <c r="AL39" s="281" t="s">
        <v>857</v>
      </c>
      <c r="AM39" s="286">
        <v>43282</v>
      </c>
      <c r="AN39" s="287" t="str">
        <f ca="1">DATEDIF(AM39,TODAY(),"y")&amp;" tahun "&amp;DATEDIF(AM39,TODAY(),"ym")&amp;" bulan "</f>
        <v xml:space="preserve">7 tahun 6 bulan </v>
      </c>
      <c r="AO39" s="281" t="s">
        <v>858</v>
      </c>
      <c r="AP39" s="281" t="s">
        <v>914</v>
      </c>
      <c r="AQ39" s="281" t="s">
        <v>1044</v>
      </c>
      <c r="AR39" s="281" t="s">
        <v>172</v>
      </c>
      <c r="AS39" s="281">
        <v>85233310837</v>
      </c>
      <c r="AT39" s="281" t="s">
        <v>173</v>
      </c>
      <c r="AU39" s="281" t="s">
        <v>30</v>
      </c>
      <c r="AV39" s="281"/>
      <c r="AW39" s="281" t="str">
        <f>VLOOKUP(B39,Sheet2!A28:I145,9,FALSE)</f>
        <v>Billy Montolalu, S.Kom., M.Kom.</v>
      </c>
      <c r="AX39" s="281" t="s">
        <v>861</v>
      </c>
      <c r="AY39" s="281" t="str">
        <f>VLOOKUP(B39,Sheet2!A28:C145,2,FALSE)</f>
        <v>Lumajang</v>
      </c>
      <c r="AZ39" s="288">
        <f>VLOOKUP(B39,Sheet2!A28:C145,3,FALSE)</f>
        <v>32017</v>
      </c>
      <c r="BA39" s="281">
        <f ca="1">DATEDIF(AZ39, TODAY(),"y")</f>
        <v>38</v>
      </c>
      <c r="BB39" s="281"/>
      <c r="BC39" s="281"/>
      <c r="BD39" s="281"/>
      <c r="BE39" s="281"/>
      <c r="BF39" s="289"/>
      <c r="BG39" s="289"/>
      <c r="BH39" s="289"/>
      <c r="BI39" s="289"/>
      <c r="BJ39" s="289"/>
      <c r="BK39" s="289"/>
      <c r="BL39" s="288" t="str">
        <f>VLOOKUP(B39,Sheet2!A28:D145,4,FALSE)</f>
        <v>Dosen</v>
      </c>
      <c r="BM39" s="281"/>
      <c r="BN39" s="281"/>
      <c r="BO39" s="281"/>
      <c r="BP39" s="281"/>
      <c r="BQ39" s="281"/>
      <c r="BR39" s="288" t="str">
        <f>VLOOKUP(B39,Sheet2!A28:E145,5,FALSE)</f>
        <v>Software Engineering and Algorithm (SEAL)</v>
      </c>
      <c r="BS39" s="288" t="str">
        <f>VLOOKUP(B39,Sheet2!A28:F145,6,FALSE)</f>
        <v>BLM</v>
      </c>
      <c r="BT39" s="288" t="str">
        <f>VLOOKUP(B39,Sheet2!A28:G145,7,FALSE)</f>
        <v>Fakultas Informatika</v>
      </c>
      <c r="BU39" s="288" t="str">
        <f>VLOOKUP(B39,Sheet2!A28:H145,8,FALSE)</f>
        <v>billymontolalu@telkomuniversity.ac.id</v>
      </c>
      <c r="BV39" s="280">
        <f>COUNTIFS('Join TPA Dosen'!B:B,'Dosen sorted'!B10)</f>
        <v>1</v>
      </c>
      <c r="BW39" s="273" t="str">
        <f>DATEDIF(AM39,DATE(2026,1,1),"y")&amp;" tahun "&amp;DATEDIF(AM39,DATE(2026,1,1),"ym")&amp;" bulan "</f>
        <v xml:space="preserve">7 tahun 6 bulan </v>
      </c>
      <c r="BX39" s="280" t="str">
        <f>VLOOKUP($B39,Sheet1!$A:$G,2,FALSE)</f>
        <v>ITS</v>
      </c>
      <c r="BY39" s="280" t="str">
        <f>VLOOKUP($B39,Sheet1!$A:$G,3,FALSE)</f>
        <v>Teknik Informatika</v>
      </c>
      <c r="BZ39" s="280" t="str">
        <f>VLOOKUP($B39,Sheet1!$A:$G,4,FALSE)</f>
        <v>ITS</v>
      </c>
      <c r="CA39" s="280" t="str">
        <f>VLOOKUP($B39,Sheet1!$A:$G,5,FALSE)</f>
        <v>Teknik Informatika</v>
      </c>
      <c r="CB39" s="280" t="str">
        <f>VLOOKUP($B39,Sheet1!$A:$G,6,FALSE)</f>
        <v>ITS</v>
      </c>
      <c r="CC39" s="280" t="str">
        <f>VLOOKUP($B39,Sheet1!$A:$G,7,FALSE)</f>
        <v>Ilmu Komputer</v>
      </c>
      <c r="CD39" s="280" t="s">
        <v>862</v>
      </c>
      <c r="CE39" s="280" t="s">
        <v>903</v>
      </c>
    </row>
    <row r="40" spans="1:84" ht="23.25" hidden="1" customHeight="1">
      <c r="A40" s="281">
        <v>94</v>
      </c>
      <c r="B40" s="281" t="s">
        <v>174</v>
      </c>
      <c r="C40" s="281" t="s">
        <v>20</v>
      </c>
      <c r="D40" s="281" t="s">
        <v>170</v>
      </c>
      <c r="E40" s="282" t="s">
        <v>1189</v>
      </c>
      <c r="F40" s="281" t="s">
        <v>1190</v>
      </c>
      <c r="G40" s="282" t="s">
        <v>175</v>
      </c>
      <c r="H40" s="281" t="s">
        <v>845</v>
      </c>
      <c r="I40" s="281" t="s">
        <v>30</v>
      </c>
      <c r="J40" s="281" t="s">
        <v>176</v>
      </c>
      <c r="K40" s="281" t="s">
        <v>893</v>
      </c>
      <c r="L40" s="281" t="s">
        <v>775</v>
      </c>
      <c r="M40" s="283" t="str">
        <f>IF(L40="NJAD","AA",IF(L40="AA","L",IF(L40="L","LK","GB")))</f>
        <v>LK</v>
      </c>
      <c r="N40" s="292" t="s">
        <v>511</v>
      </c>
      <c r="O40" s="281">
        <v>200</v>
      </c>
      <c r="P40" s="281" t="s">
        <v>1191</v>
      </c>
      <c r="Q40" s="284">
        <v>45627</v>
      </c>
      <c r="R40" s="281" t="str">
        <f ca="1">DATEDIF(Q40,TODAY(), "Y") &amp; " Tahun " &amp; DATEDIF(Q40, TODAY(), "YM") &amp; " Bulan"</f>
        <v>1 Tahun 1 Bulan</v>
      </c>
      <c r="S40" s="281" t="s">
        <v>876</v>
      </c>
      <c r="T40" s="285">
        <v>46023</v>
      </c>
      <c r="U40" s="281" t="str">
        <f ca="1">DATEDIF(T40,TODAY(), "Y") &amp; " Tahun " &amp; DATEDIF(T40, TODAY(), "YM") &amp; " Bulan"</f>
        <v>0 Tahun 0 Bulan</v>
      </c>
      <c r="V40" s="281" t="s">
        <v>1192</v>
      </c>
      <c r="W40" s="281" t="s">
        <v>851</v>
      </c>
      <c r="X40" s="283" t="str">
        <f ca="1">IF(AND(OR(L40="AA",L40="L"),OR(S40="Penata Muda Tk. I Golongan III/b",S40="Penata Golongan III/c"),DATEDIF(Q40,TODAY(),"m")&gt;=23,ISBLANK(Z40),C40="Aktif"),"Nominasi Serdos","-")</f>
        <v>-</v>
      </c>
      <c r="Y40" s="281"/>
      <c r="Z40" s="281" t="s">
        <v>852</v>
      </c>
      <c r="AA40" s="281">
        <v>13104105706561</v>
      </c>
      <c r="AB40" s="281" t="s">
        <v>1193</v>
      </c>
      <c r="AC40" s="285">
        <v>41618</v>
      </c>
      <c r="AD40" s="281" t="s">
        <v>30</v>
      </c>
      <c r="AE40" s="281" t="s">
        <v>30</v>
      </c>
      <c r="AF40" s="281" t="s">
        <v>30</v>
      </c>
      <c r="AG40" s="281" t="s">
        <v>30</v>
      </c>
      <c r="AH40" s="281" t="s">
        <v>854</v>
      </c>
      <c r="AI40" s="281" t="s">
        <v>30</v>
      </c>
      <c r="AJ40" s="281" t="s">
        <v>30</v>
      </c>
      <c r="AK40" s="281" t="s">
        <v>30</v>
      </c>
      <c r="AM40" s="286">
        <v>39845</v>
      </c>
      <c r="AN40" s="287" t="str">
        <f ca="1">DATEDIF(AM40,TODAY(),"y")&amp;" tahun "&amp;DATEDIF(AM40,TODAY(),"ym")&amp;" bulan "</f>
        <v xml:space="preserve">16 tahun 11 bulan </v>
      </c>
      <c r="AO40" s="281" t="s">
        <v>858</v>
      </c>
      <c r="AP40" s="281" t="s">
        <v>914</v>
      </c>
      <c r="AQ40" s="281" t="s">
        <v>1194</v>
      </c>
      <c r="AR40" s="281" t="s">
        <v>177</v>
      </c>
      <c r="AS40" s="281">
        <v>8121446627</v>
      </c>
      <c r="AT40" s="281" t="s">
        <v>178</v>
      </c>
      <c r="AU40" s="281" t="s">
        <v>30</v>
      </c>
      <c r="AV40" s="281"/>
      <c r="AW40" s="281" t="str">
        <f>VLOOKUP(B40,Sheet2!A95:I212,9,FALSE)</f>
        <v>Dahliar Ananda, S.T., M.T.</v>
      </c>
      <c r="AX40" s="281" t="s">
        <v>861</v>
      </c>
      <c r="AY40" s="281" t="str">
        <f>VLOOKUP(B40,Sheet2!A95:C212,2,FALSE)</f>
        <v>Banyuwangi</v>
      </c>
      <c r="AZ40" s="288">
        <f>VLOOKUP(B40,Sheet2!A95:C212,3,FALSE)</f>
        <v>30073</v>
      </c>
      <c r="BA40" s="281">
        <f ca="1">DATEDIF(AZ40, TODAY(),"y")</f>
        <v>43</v>
      </c>
      <c r="BB40" s="281"/>
      <c r="BC40" s="281"/>
      <c r="BD40" s="281"/>
      <c r="BE40" s="281"/>
      <c r="BF40" s="289"/>
      <c r="BG40" s="289"/>
      <c r="BH40" s="289"/>
      <c r="BI40" s="289"/>
      <c r="BJ40" s="289"/>
      <c r="BK40" s="289"/>
      <c r="BL40" s="288" t="str">
        <f>VLOOKUP(B40,Sheet2!A95:D212,4,FALSE)</f>
        <v>Kabag</v>
      </c>
      <c r="BM40" s="281"/>
      <c r="BN40" s="281"/>
      <c r="BO40" s="281"/>
      <c r="BP40" s="281"/>
      <c r="BQ40" s="281"/>
      <c r="BR40" s="288" t="str">
        <f>VLOOKUP(B40,Sheet2!A95:E212,5,FALSE)</f>
        <v>Software Engineering and Algorithm (SEAL)</v>
      </c>
      <c r="BS40" s="288" t="str">
        <f>VLOOKUP(B40,Sheet2!A95:F212,6,FALSE)</f>
        <v>DAN</v>
      </c>
      <c r="BT40" s="288" t="str">
        <f>VLOOKUP(B40,Sheet2!A95:G212,7,FALSE)</f>
        <v>Fakultas Informatika</v>
      </c>
      <c r="BU40" s="288" t="str">
        <f>VLOOKUP(B40,Sheet2!A95:H212,8,FALSE)</f>
        <v>ananda@telkomuniversity.ac.id</v>
      </c>
      <c r="BV40" s="280">
        <f>COUNTIFS('Join TPA Dosen'!B:B,'Dosen sorted'!B11)</f>
        <v>1</v>
      </c>
      <c r="BW40" s="273" t="str">
        <f>DATEDIF(AM40,DATE(2026,1,1),"y")&amp;" tahun "&amp;DATEDIF(AM40,DATE(2026,1,1),"ym")&amp;" bulan "</f>
        <v xml:space="preserve">16 tahun 11 bulan </v>
      </c>
      <c r="BX40" s="280" t="str">
        <f>VLOOKUP($B40,Sheet1!$A:$G,2,FALSE)</f>
        <v>STT Telkom</v>
      </c>
      <c r="BY40" s="280" t="str">
        <f>VLOOKUP($B40,Sheet1!$A:$G,3,FALSE)</f>
        <v>Teknik Informatika</v>
      </c>
      <c r="BZ40" s="280" t="str">
        <f>VLOOKUP($B40,Sheet1!$A:$G,4,FALSE)</f>
        <v>ITB</v>
      </c>
      <c r="CA40" s="280" t="str">
        <f>VLOOKUP($B40,Sheet1!$A:$G,5,FALSE)</f>
        <v>Informatika</v>
      </c>
      <c r="CB40" s="280" t="str">
        <f>VLOOKUP($B40,Sheet1!$A:$G,6,FALSE)</f>
        <v>-</v>
      </c>
      <c r="CC40" s="280">
        <f>VLOOKUP($B40,Sheet1!$A:$G,7,FALSE)</f>
        <v>0</v>
      </c>
      <c r="CD40" s="280" t="s">
        <v>862</v>
      </c>
      <c r="CE40" s="280" t="s">
        <v>903</v>
      </c>
    </row>
    <row r="41" spans="1:84" ht="19.5" hidden="1">
      <c r="A41" s="281">
        <v>29</v>
      </c>
      <c r="B41" s="281" t="s">
        <v>187</v>
      </c>
      <c r="C41" s="281" t="s">
        <v>20</v>
      </c>
      <c r="D41" s="281" t="s">
        <v>170</v>
      </c>
      <c r="E41" s="281">
        <v>20940001</v>
      </c>
      <c r="F41" s="281" t="s">
        <v>953</v>
      </c>
      <c r="G41" s="282" t="s">
        <v>188</v>
      </c>
      <c r="H41" s="281" t="s">
        <v>845</v>
      </c>
      <c r="I41" s="281" t="s">
        <v>189</v>
      </c>
      <c r="J41" s="281" t="s">
        <v>57</v>
      </c>
      <c r="K41" s="281" t="s">
        <v>874</v>
      </c>
      <c r="L41" s="281" t="s">
        <v>775</v>
      </c>
      <c r="M41" s="283" t="str">
        <f>IF(L41="NJAD","AA",IF(L41="AA","L",IF(L41="L","LK","GB")))</f>
        <v>LK</v>
      </c>
      <c r="N41" s="282" t="s">
        <v>511</v>
      </c>
      <c r="O41" s="281">
        <v>200</v>
      </c>
      <c r="P41" s="281" t="s">
        <v>954</v>
      </c>
      <c r="Q41" s="284">
        <v>45108</v>
      </c>
      <c r="R41" s="281" t="str">
        <f ca="1">DATEDIF(Q41,TODAY(), "Y") &amp; " Tahun " &amp; DATEDIF(Q41, TODAY(), "YM") &amp; " Bulan"</f>
        <v>2 Tahun 6 Bulan</v>
      </c>
      <c r="S41" s="281" t="s">
        <v>876</v>
      </c>
      <c r="T41" s="285">
        <v>45658</v>
      </c>
      <c r="U41" s="281" t="str">
        <f ca="1">DATEDIF(T41,TODAY(), "Y") &amp; " Tahun " &amp; DATEDIF(T41, TODAY(), "YM") &amp; " Bulan"</f>
        <v>1 Tahun 0 Bulan</v>
      </c>
      <c r="V41" s="281" t="s">
        <v>955</v>
      </c>
      <c r="W41" s="281" t="s">
        <v>851</v>
      </c>
      <c r="X41" s="283" t="str">
        <f ca="1">IF(AND(OR(L41="AA",L41="L"),OR(S41="Penata Muda Tk. I Golongan III/b",S41="Penata Golongan III/c"),DATEDIF(Q41,TODAY(),"m")&gt;=23,ISBLANK(Z41),C41="Aktif"),"Nominasi Serdos","-")</f>
        <v>-</v>
      </c>
      <c r="Y41" s="281"/>
      <c r="Z41" s="281" t="s">
        <v>852</v>
      </c>
      <c r="AA41" s="281">
        <v>22107201905492</v>
      </c>
      <c r="AB41" s="281" t="s">
        <v>956</v>
      </c>
      <c r="AC41" s="285">
        <v>44846</v>
      </c>
      <c r="AD41" s="281" t="s">
        <v>30</v>
      </c>
      <c r="AE41" s="281" t="s">
        <v>30</v>
      </c>
      <c r="AF41" s="281" t="s">
        <v>30</v>
      </c>
      <c r="AG41" s="281" t="s">
        <v>30</v>
      </c>
      <c r="AH41" s="281" t="s">
        <v>879</v>
      </c>
      <c r="AI41" s="281"/>
      <c r="AJ41" s="281"/>
      <c r="AK41" s="281"/>
      <c r="AL41" s="281"/>
      <c r="AM41" s="286">
        <v>43282</v>
      </c>
      <c r="AN41" s="287" t="str">
        <f ca="1">DATEDIF(AM41,TODAY(),"y")&amp;" tahun "&amp;DATEDIF(AM41,TODAY(),"ym")&amp;" bulan "</f>
        <v xml:space="preserve">7 tahun 6 bulan </v>
      </c>
      <c r="AO41" s="281" t="s">
        <v>858</v>
      </c>
      <c r="AP41" s="281" t="s">
        <v>914</v>
      </c>
      <c r="AQ41" s="281" t="s">
        <v>957</v>
      </c>
      <c r="AR41" s="281" t="s">
        <v>190</v>
      </c>
      <c r="AS41" s="281">
        <v>81359057346</v>
      </c>
      <c r="AT41" s="281" t="s">
        <v>191</v>
      </c>
      <c r="AU41" s="281" t="s">
        <v>30</v>
      </c>
      <c r="AV41" s="281"/>
      <c r="AW41" s="281" t="str">
        <f>VLOOKUP(B41,Sheet2!A30:I147,9,FALSE)</f>
        <v>Dr. Dewi Rahmawati, S.Kom., M.Kom.</v>
      </c>
      <c r="AX41" s="281" t="s">
        <v>902</v>
      </c>
      <c r="AY41" s="281" t="str">
        <f>VLOOKUP(B41,Sheet2!A30:C147,2,FALSE)</f>
        <v>Malang</v>
      </c>
      <c r="AZ41" s="288">
        <f>VLOOKUP(B41,Sheet2!A30:C147,3,FALSE)</f>
        <v>34402</v>
      </c>
      <c r="BA41" s="281">
        <f ca="1">DATEDIF(AZ41, TODAY(),"y")</f>
        <v>31</v>
      </c>
      <c r="BB41" s="281"/>
      <c r="BC41" s="281"/>
      <c r="BD41" s="281"/>
      <c r="BE41" s="281"/>
      <c r="BF41" s="289"/>
      <c r="BG41" s="289"/>
      <c r="BH41" s="289"/>
      <c r="BI41" s="289"/>
      <c r="BJ41" s="289"/>
      <c r="BK41" s="289"/>
      <c r="BL41" s="288" t="str">
        <f>VLOOKUP(B41,Sheet2!A30:D147,4,FALSE)</f>
        <v>Dosen</v>
      </c>
      <c r="BM41" s="281"/>
      <c r="BN41" s="281"/>
      <c r="BO41" s="281"/>
      <c r="BP41" s="281"/>
      <c r="BQ41" s="281"/>
      <c r="BR41" s="288" t="str">
        <f>VLOOKUP(B41,Sheet2!A30:E147,5,FALSE)</f>
        <v>Data Science and Intelligent Systems (DSIS)</v>
      </c>
      <c r="BS41" s="288" t="str">
        <f>VLOOKUP(B41,Sheet2!A30:F147,6,FALSE)</f>
        <v>DWX</v>
      </c>
      <c r="BT41" s="288" t="str">
        <f>VLOOKUP(B41,Sheet2!A30:G147,7,FALSE)</f>
        <v>Fakultas Informatika</v>
      </c>
      <c r="BU41" s="288" t="str">
        <f>VLOOKUP(B41,Sheet2!A30:H147,8,FALSE)</f>
        <v>dewirahmawati@telkomuniversity.ac.id</v>
      </c>
      <c r="BV41" s="280">
        <f>COUNTIFS('Join TPA Dosen'!B:B,'Dosen sorted'!B19)</f>
        <v>0</v>
      </c>
      <c r="BW41" s="273" t="str">
        <f>DATEDIF(AM41,DATE(2026,1,1),"y")&amp;" tahun "&amp;DATEDIF(AM41,DATE(2026,1,1),"ym")&amp;" bulan "</f>
        <v xml:space="preserve">7 tahun 6 bulan </v>
      </c>
      <c r="BX41" s="280" t="str">
        <f>VLOOKUP($B41,Sheet1!$A:$G,2,FALSE)</f>
        <v>Universitas Islam Negeri Maulana Malik Ibrahim Malang</v>
      </c>
      <c r="BY41" s="280" t="str">
        <f>VLOOKUP($B41,Sheet1!$A:$G,3,FALSE)</f>
        <v>Teknik Informatika</v>
      </c>
      <c r="BZ41" s="280" t="str">
        <f>VLOOKUP($B41,Sheet1!$A:$G,4,FALSE)</f>
        <v>ITS</v>
      </c>
      <c r="CA41" s="280" t="str">
        <f>VLOOKUP($B41,Sheet1!$A:$G,5,FALSE)</f>
        <v>Teknik Informatika</v>
      </c>
      <c r="CB41" s="280" t="str">
        <f>VLOOKUP($B41,Sheet1!$A:$G,6,FALSE)</f>
        <v>ITS</v>
      </c>
      <c r="CC41" s="280" t="str">
        <f>VLOOKUP($B41,Sheet1!$A:$G,7,FALSE)</f>
        <v>Ilmu Komputer</v>
      </c>
      <c r="CD41" s="280" t="s">
        <v>882</v>
      </c>
      <c r="CE41" s="280" t="s">
        <v>903</v>
      </c>
      <c r="CF41" s="336">
        <v>45748</v>
      </c>
    </row>
    <row r="42" spans="1:84" ht="19.5" hidden="1">
      <c r="A42" s="281">
        <v>11</v>
      </c>
      <c r="B42" s="281" t="s">
        <v>179</v>
      </c>
      <c r="C42" s="281" t="s">
        <v>20</v>
      </c>
      <c r="D42" s="281" t="s">
        <v>170</v>
      </c>
      <c r="E42" s="281">
        <v>19870004</v>
      </c>
      <c r="F42" s="281" t="s">
        <v>910</v>
      </c>
      <c r="G42" s="282" t="s">
        <v>180</v>
      </c>
      <c r="H42" s="281" t="s">
        <v>845</v>
      </c>
      <c r="I42" s="281" t="s">
        <v>30</v>
      </c>
      <c r="J42" s="281" t="s">
        <v>113</v>
      </c>
      <c r="K42" s="281" t="s">
        <v>893</v>
      </c>
      <c r="L42" s="281" t="s">
        <v>775</v>
      </c>
      <c r="M42" s="283" t="str">
        <f>IF(L42="NJAD","AA",IF(L42="AA","L",IF(L42="L","LK","GB")))</f>
        <v>LK</v>
      </c>
      <c r="N42" s="282" t="s">
        <v>511</v>
      </c>
      <c r="O42" s="281">
        <v>200</v>
      </c>
      <c r="P42" s="281" t="s">
        <v>911</v>
      </c>
      <c r="Q42" s="284">
        <v>45901</v>
      </c>
      <c r="R42" s="281" t="str">
        <f ca="1">DATEDIF(Q42,TODAY(), "Y") &amp; " Tahun " &amp; DATEDIF(Q42, TODAY(), "YM") &amp; " Bulan"</f>
        <v>0 Tahun 4 Bulan</v>
      </c>
      <c r="S42" s="281" t="s">
        <v>849</v>
      </c>
      <c r="T42" s="285">
        <v>44896</v>
      </c>
      <c r="U42" s="281" t="str">
        <f ca="1">DATEDIF(T42,TODAY(), "Y") &amp; " Tahun " &amp; DATEDIF(T42, TODAY(), "YM") &amp; " Bulan"</f>
        <v>3 Tahun 1 Bulan</v>
      </c>
      <c r="V42" s="281" t="s">
        <v>912</v>
      </c>
      <c r="W42" s="281" t="s">
        <v>851</v>
      </c>
      <c r="X42" s="283" t="str">
        <f ca="1">IF(AND(OR(L42="AA",L42="L"),OR(S42="Penata Muda Tk. I Golongan III/b",S42="Penata Golongan III/c"),DATEDIF(Q42,TODAY(),"m")&gt;=23,ISBLANK(Z42),C42="Aktif"),"Nominasi Serdos","-")</f>
        <v>-</v>
      </c>
      <c r="Y42" s="281"/>
      <c r="Z42" s="282" t="s">
        <v>852</v>
      </c>
      <c r="AA42" s="281">
        <v>25104105710334</v>
      </c>
      <c r="AB42" s="281" t="s">
        <v>913</v>
      </c>
      <c r="AC42" s="285">
        <v>45917</v>
      </c>
      <c r="AD42" s="281" t="s">
        <v>30</v>
      </c>
      <c r="AE42" s="281" t="s">
        <v>30</v>
      </c>
      <c r="AF42" s="281" t="s">
        <v>30</v>
      </c>
      <c r="AG42" s="281" t="s">
        <v>30</v>
      </c>
      <c r="AH42" s="281" t="s">
        <v>854</v>
      </c>
      <c r="AI42" s="281" t="s">
        <v>855</v>
      </c>
      <c r="AJ42" s="281" t="s">
        <v>856</v>
      </c>
      <c r="AK42" s="281" t="s">
        <v>855</v>
      </c>
      <c r="AM42" s="286">
        <v>43101</v>
      </c>
      <c r="AN42" s="287" t="str">
        <f ca="1">DATEDIF(AM42,TODAY(),"y")&amp;" tahun "&amp;DATEDIF(AM42,TODAY(),"ym")&amp;" bulan "</f>
        <v xml:space="preserve">8 tahun 0 bulan </v>
      </c>
      <c r="AO42" s="281" t="s">
        <v>858</v>
      </c>
      <c r="AP42" s="281" t="s">
        <v>914</v>
      </c>
      <c r="AQ42" s="281" t="s">
        <v>915</v>
      </c>
      <c r="AR42" s="281" t="s">
        <v>181</v>
      </c>
      <c r="AS42" s="281">
        <v>82143161793</v>
      </c>
      <c r="AT42" s="281" t="s">
        <v>182</v>
      </c>
      <c r="AU42" s="281" t="s">
        <v>30</v>
      </c>
      <c r="AV42" s="281"/>
      <c r="AW42" s="281" t="str">
        <f>VLOOKUP(B42,Sheet2!A12:I129,9,FALSE)</f>
        <v>Fidi Wincoko Putro, S.ST., M.Kom.</v>
      </c>
      <c r="AX42" s="281" t="s">
        <v>861</v>
      </c>
      <c r="AY42" s="281" t="str">
        <f>VLOOKUP(B42,Sheet2!A12:C129,2,FALSE)</f>
        <v>Madiun</v>
      </c>
      <c r="AZ42" s="288">
        <f>VLOOKUP(B42,Sheet2!A12:C129,3,FALSE)</f>
        <v>31927</v>
      </c>
      <c r="BA42" s="281">
        <f ca="1">DATEDIF(AZ42, TODAY(),"y")</f>
        <v>38</v>
      </c>
      <c r="BB42" s="281"/>
      <c r="BC42" s="281"/>
      <c r="BD42" s="281"/>
      <c r="BE42" s="281"/>
      <c r="BF42" s="289"/>
      <c r="BG42" s="289"/>
      <c r="BH42" s="289"/>
      <c r="BI42" s="304"/>
      <c r="BJ42" s="304"/>
      <c r="BK42" s="304"/>
      <c r="BL42" s="288" t="s">
        <v>21</v>
      </c>
      <c r="BM42" s="281"/>
      <c r="BN42" s="281"/>
      <c r="BO42" s="281"/>
      <c r="BP42" s="281"/>
      <c r="BQ42" s="281"/>
      <c r="BR42" s="288" t="str">
        <f>VLOOKUP(B42,Sheet2!A12:E129,5,FALSE)</f>
        <v>Software Engineering and Algorithm (SEAL)</v>
      </c>
      <c r="BS42" s="288" t="str">
        <f>VLOOKUP(B42,Sheet2!A12:F129,6,FALSE)</f>
        <v>FWP</v>
      </c>
      <c r="BT42" s="288" t="str">
        <f>VLOOKUP(B42,Sheet2!A12:G129,7,FALSE)</f>
        <v>Fakultas Informatika</v>
      </c>
      <c r="BU42" s="288" t="str">
        <f>VLOOKUP(B42,Sheet2!A12:H129,8,FALSE)</f>
        <v>fidiwputro@telkomuniversity.ac.id</v>
      </c>
      <c r="BV42" s="280">
        <f>COUNTIFS('Join TPA Dosen'!B:B,'Dosen sorted'!B12)</f>
        <v>0</v>
      </c>
      <c r="BW42" s="273" t="str">
        <f>DATEDIF(AM42,DATE(2026,1,1),"y")&amp;" tahun "&amp;DATEDIF(AM42,DATE(2026,1,1),"ym")&amp;" bulan "</f>
        <v xml:space="preserve">8 tahun 0 bulan </v>
      </c>
      <c r="BX42" s="280" t="str">
        <f>VLOOKUP($B42,Sheet1!$A:$G,2,FALSE)</f>
        <v>PENS</v>
      </c>
      <c r="BY42" s="280" t="str">
        <f>VLOOKUP($B42,Sheet1!$A:$G,3,FALSE)</f>
        <v>Teknik Informatika</v>
      </c>
      <c r="BZ42" s="280" t="str">
        <f>VLOOKUP($B42,Sheet1!$A:$G,4,FALSE)</f>
        <v>ITS</v>
      </c>
      <c r="CA42" s="280" t="str">
        <f>VLOOKUP($B42,Sheet1!$A:$G,5,FALSE)</f>
        <v>Teknik Informatika</v>
      </c>
      <c r="CB42" s="280" t="str">
        <f>VLOOKUP($B42,Sheet1!$A:$G,6,FALSE)</f>
        <v>-</v>
      </c>
      <c r="CC42" s="280">
        <f>VLOOKUP($B42,Sheet1!$A:$G,7,FALSE)</f>
        <v>0</v>
      </c>
      <c r="CD42" s="280" t="s">
        <v>882</v>
      </c>
      <c r="CE42" s="280" t="s">
        <v>903</v>
      </c>
    </row>
    <row r="43" spans="1:84" ht="19.5" hidden="1">
      <c r="A43" s="281">
        <v>14</v>
      </c>
      <c r="B43" s="281" t="s">
        <v>183</v>
      </c>
      <c r="C43" s="281" t="s">
        <v>20</v>
      </c>
      <c r="D43" s="281" t="s">
        <v>170</v>
      </c>
      <c r="E43" s="281">
        <v>19810001</v>
      </c>
      <c r="F43" s="281" t="s">
        <v>1037</v>
      </c>
      <c r="G43" s="282" t="s">
        <v>184</v>
      </c>
      <c r="H43" s="281" t="s">
        <v>845</v>
      </c>
      <c r="I43" s="281" t="s">
        <v>30</v>
      </c>
      <c r="J43" s="281" t="s">
        <v>57</v>
      </c>
      <c r="K43" s="281" t="s">
        <v>846</v>
      </c>
      <c r="L43" s="281" t="s">
        <v>847</v>
      </c>
      <c r="M43" s="283" t="str">
        <f>IF(L43="NJAD","AA",IF(L43="AA","L",IF(L43="L","LK","GB")))</f>
        <v>L</v>
      </c>
      <c r="N43" s="282" t="s">
        <v>511</v>
      </c>
      <c r="O43" s="281">
        <v>150</v>
      </c>
      <c r="P43" s="281" t="s">
        <v>1038</v>
      </c>
      <c r="Q43" s="284">
        <v>44081</v>
      </c>
      <c r="R43" s="281" t="str">
        <f ca="1">DATEDIF(Q43,TODAY(), "Y") &amp; " Tahun " &amp; DATEDIF(Q43, TODAY(), "YM") &amp; " Bulan"</f>
        <v>5 Tahun 4 Bulan</v>
      </c>
      <c r="S43" s="281" t="s">
        <v>849</v>
      </c>
      <c r="T43" s="285">
        <v>45078</v>
      </c>
      <c r="U43" s="281" t="str">
        <f ca="1">DATEDIF(T43,TODAY(), "Y") &amp; " Tahun " &amp; DATEDIF(T43, TODAY(), "YM") &amp; " Bulan"</f>
        <v>2 Tahun 7 Bulan</v>
      </c>
      <c r="V43" s="281" t="s">
        <v>955</v>
      </c>
      <c r="W43" s="281" t="s">
        <v>851</v>
      </c>
      <c r="X43" s="283" t="str">
        <f ca="1">IF(AND(OR(L43="AA",L43="L"),OR(S43="Penata Muda Tk. I Golongan III/b",S43="Penata Golongan III/c"),DATEDIF(Q43,TODAY(),"m")&gt;=23,ISBLANK(Z43),C43="Aktif"),"Nominasi Serdos","-")</f>
        <v>-</v>
      </c>
      <c r="Y43" s="281"/>
      <c r="Z43" s="282" t="s">
        <v>852</v>
      </c>
      <c r="AA43" s="281">
        <v>25104105710540</v>
      </c>
      <c r="AB43" s="281" t="s">
        <v>1039</v>
      </c>
      <c r="AC43" s="285">
        <v>45917</v>
      </c>
      <c r="AD43" s="281" t="s">
        <v>30</v>
      </c>
      <c r="AE43" s="281" t="s">
        <v>30</v>
      </c>
      <c r="AF43" s="281" t="s">
        <v>30</v>
      </c>
      <c r="AG43" s="281" t="s">
        <v>30</v>
      </c>
      <c r="AH43" s="281" t="s">
        <v>854</v>
      </c>
      <c r="AI43" s="281" t="s">
        <v>855</v>
      </c>
      <c r="AJ43" s="281" t="s">
        <v>856</v>
      </c>
      <c r="AK43" s="281" t="s">
        <v>855</v>
      </c>
      <c r="AL43" s="281" t="s">
        <v>857</v>
      </c>
      <c r="AM43" s="286">
        <v>43101</v>
      </c>
      <c r="AN43" s="287" t="str">
        <f ca="1">DATEDIF(AM43,TODAY(),"y")&amp;" tahun "&amp;DATEDIF(AM43,TODAY(),"ym")&amp;" bulan "</f>
        <v xml:space="preserve">8 tahun 0 bulan </v>
      </c>
      <c r="AO43" s="281" t="s">
        <v>858</v>
      </c>
      <c r="AP43" s="281" t="s">
        <v>914</v>
      </c>
      <c r="AQ43" s="281" t="s">
        <v>1040</v>
      </c>
      <c r="AR43" s="281" t="s">
        <v>185</v>
      </c>
      <c r="AS43" s="281">
        <v>811324984</v>
      </c>
      <c r="AT43" s="281" t="s">
        <v>186</v>
      </c>
      <c r="AU43" s="281" t="s">
        <v>30</v>
      </c>
      <c r="AV43" s="281"/>
      <c r="AW43" s="281" t="str">
        <f>VLOOKUP(B43,Sheet2!A15:I132,9,FALSE)</f>
        <v>Mohammad Sholik, S.Kom., M.Kom.</v>
      </c>
      <c r="AX43" s="281" t="s">
        <v>861</v>
      </c>
      <c r="AY43" s="281" t="str">
        <f>VLOOKUP(B43,Sheet2!A15:C132,2,FALSE)</f>
        <v>Gresik</v>
      </c>
      <c r="AZ43" s="288">
        <f>VLOOKUP(B43,Sheet2!A15:C132,3,FALSE)</f>
        <v>29929</v>
      </c>
      <c r="BA43" s="281">
        <f ca="1">DATEDIF(AZ43, TODAY(),"y")</f>
        <v>44</v>
      </c>
      <c r="BB43" s="281"/>
      <c r="BC43" s="281"/>
      <c r="BD43" s="281"/>
      <c r="BE43" s="281"/>
      <c r="BF43" s="289"/>
      <c r="BG43" s="289"/>
      <c r="BH43" s="289"/>
      <c r="BI43" s="289"/>
      <c r="BJ43" s="289"/>
      <c r="BK43" s="289"/>
      <c r="BL43" s="288" t="str">
        <f>VLOOKUP(B43,Sheet2!A15:D132,4,FALSE)</f>
        <v>Dosen</v>
      </c>
      <c r="BM43" s="281"/>
      <c r="BN43" s="281"/>
      <c r="BO43" s="281"/>
      <c r="BP43" s="281"/>
      <c r="BQ43" s="281"/>
      <c r="BR43" s="288" t="str">
        <f>VLOOKUP(B43,Sheet2!A15:E132,5,FALSE)</f>
        <v>Data Science and Intelligent Systems (DSIS)</v>
      </c>
      <c r="BS43" s="288" t="str">
        <f>VLOOKUP(B43,Sheet2!A15:F132,6,FALSE)</f>
        <v>HHH</v>
      </c>
      <c r="BT43" s="288" t="str">
        <f>VLOOKUP(B43,Sheet2!A15:G132,7,FALSE)</f>
        <v>Fakultas Informatika</v>
      </c>
      <c r="BU43" s="288" t="str">
        <f>VLOOKUP(B43,Sheet2!A15:H132,8,FALSE)</f>
        <v>mohammadsholik@telkomuniversity.ac.id</v>
      </c>
      <c r="BV43" s="280">
        <f>COUNTIFS('Join TPA Dosen'!B:B,'Dosen sorted'!B15)</f>
        <v>1</v>
      </c>
      <c r="BW43" s="273" t="str">
        <f>DATEDIF(AM43,DATE(2026,1,1),"y")&amp;" tahun "&amp;DATEDIF(AM43,DATE(2026,1,1),"ym")&amp;" bulan "</f>
        <v xml:space="preserve">8 tahun 0 bulan </v>
      </c>
      <c r="BX43" s="280" t="str">
        <f>VLOOKUP($B43,Sheet1!$A:$G,2,FALSE)</f>
        <v>UNTAG</v>
      </c>
      <c r="BY43" s="280" t="str">
        <f>VLOOKUP($B43,Sheet1!$A:$G,3,FALSE)</f>
        <v>Teknik Informatika</v>
      </c>
      <c r="BZ43" s="280" t="str">
        <f>VLOOKUP($B43,Sheet1!$A:$G,4,FALSE)</f>
        <v>ITS</v>
      </c>
      <c r="CA43" s="280" t="str">
        <f>VLOOKUP($B43,Sheet1!$A:$G,5,FALSE)</f>
        <v>Teknik Informatika</v>
      </c>
      <c r="CB43" s="280" t="str">
        <f>VLOOKUP($B43,Sheet1!$A:$G,6,FALSE)</f>
        <v>ITS</v>
      </c>
      <c r="CC43" s="280" t="str">
        <f>VLOOKUP($B43,Sheet1!$A:$G,7,FALSE)</f>
        <v>Ilmu Komputer</v>
      </c>
      <c r="CD43" s="280" t="s">
        <v>882</v>
      </c>
      <c r="CE43" s="280" t="s">
        <v>903</v>
      </c>
    </row>
    <row r="44" spans="1:84" ht="19.5" hidden="1">
      <c r="A44" s="281">
        <v>52</v>
      </c>
      <c r="B44" s="281" t="s">
        <v>200</v>
      </c>
      <c r="C44" s="281" t="s">
        <v>20</v>
      </c>
      <c r="D44" s="281" t="s">
        <v>201</v>
      </c>
      <c r="E44" s="281">
        <v>25940030</v>
      </c>
      <c r="F44" s="281" t="s">
        <v>1032</v>
      </c>
      <c r="G44" s="282" t="s">
        <v>202</v>
      </c>
      <c r="H44" s="301" t="s">
        <v>845</v>
      </c>
      <c r="I44" s="281" t="s">
        <v>30</v>
      </c>
      <c r="J44" s="281" t="s">
        <v>203</v>
      </c>
      <c r="K44" s="281" t="s">
        <v>893</v>
      </c>
      <c r="L44" s="281" t="s">
        <v>775</v>
      </c>
      <c r="M44" s="283" t="str">
        <f>IF(L44="NJAD","AA",IF(L44="AA","L",IF(L44="L","LK","GB")))</f>
        <v>LK</v>
      </c>
      <c r="N44" s="281" t="s">
        <v>30</v>
      </c>
      <c r="O44" s="281">
        <v>200</v>
      </c>
      <c r="P44" s="281" t="s">
        <v>1033</v>
      </c>
      <c r="Q44" s="284">
        <v>46023</v>
      </c>
      <c r="R44" s="281" t="str">
        <f ca="1">DATEDIF(Q44,TODAY(), "Y") &amp; " Tahun " &amp; DATEDIF(Q44, TODAY(), "YM") &amp; " Bulan"</f>
        <v>0 Tahun 0 Bulan</v>
      </c>
      <c r="S44" s="281" t="s">
        <v>849</v>
      </c>
      <c r="T44" s="285">
        <v>45505</v>
      </c>
      <c r="U44" s="281" t="str">
        <f ca="1">DATEDIF(T44,TODAY(), "Y") &amp; " Tahun " &amp; DATEDIF(T44, TODAY(), "YM") &amp; " Bulan"</f>
        <v>1 Tahun 5 Bulan</v>
      </c>
      <c r="V44" s="281" t="s">
        <v>1034</v>
      </c>
      <c r="W44" s="281" t="s">
        <v>851</v>
      </c>
      <c r="X44" s="283" t="str">
        <f ca="1">IF(AND(OR(L44="AA",L44="L"),OR(S44="Penata Muda Tk. I Golongan III/b",S44="Penata Golongan III/c"),DATEDIF(Q44,TODAY(),"m")&gt;=23,ISBLANK(Z44),C44="Aktif"),"Nominasi Serdos","-")</f>
        <v>-</v>
      </c>
      <c r="Y44" s="281"/>
      <c r="Z44" s="282"/>
      <c r="AA44" s="281"/>
      <c r="AB44" s="281" t="s">
        <v>30</v>
      </c>
      <c r="AC44" s="282" t="s">
        <v>511</v>
      </c>
      <c r="AD44" s="281" t="s">
        <v>30</v>
      </c>
      <c r="AE44" s="281" t="s">
        <v>30</v>
      </c>
      <c r="AF44" s="281" t="s">
        <v>30</v>
      </c>
      <c r="AG44" s="281" t="s">
        <v>30</v>
      </c>
      <c r="AH44" s="281" t="s">
        <v>854</v>
      </c>
      <c r="AI44" s="281" t="s">
        <v>30</v>
      </c>
      <c r="AJ44" s="281" t="s">
        <v>30</v>
      </c>
      <c r="AK44" s="281" t="s">
        <v>30</v>
      </c>
      <c r="AM44" s="286">
        <v>44166</v>
      </c>
      <c r="AN44" s="287" t="str">
        <f ca="1">DATEDIF(AM44,TODAY(),"y")&amp;" tahun "&amp;DATEDIF(AM44,TODAY(),"ym")&amp;" bulan "</f>
        <v xml:space="preserve">5 tahun 1 bulan </v>
      </c>
      <c r="AO44" s="281" t="s">
        <v>858</v>
      </c>
      <c r="AP44" s="281" t="s">
        <v>1035</v>
      </c>
      <c r="AQ44" s="281" t="s">
        <v>1036</v>
      </c>
      <c r="AR44" s="281" t="s">
        <v>204</v>
      </c>
      <c r="AS44" s="281">
        <v>82229313437</v>
      </c>
      <c r="AT44" s="281" t="s">
        <v>205</v>
      </c>
      <c r="AU44" s="281" t="s">
        <v>30</v>
      </c>
      <c r="AV44" s="302"/>
      <c r="AW44" s="281" t="str">
        <f>VLOOKUP(B44,Sheet2!A53:I170,9,FALSE)</f>
        <v>Amalia Nur Alifah, S.Si., M.Si.</v>
      </c>
      <c r="AX44" s="281" t="s">
        <v>902</v>
      </c>
      <c r="AY44" s="281" t="str">
        <f>VLOOKUP(B44,Sheet2!A53:C170,2,FALSE)</f>
        <v>Kudus</v>
      </c>
      <c r="AZ44" s="288">
        <f>VLOOKUP(B44,Sheet2!A53:C170,3,FALSE)</f>
        <v>34697</v>
      </c>
      <c r="BA44" s="281">
        <f ca="1">DATEDIF(AZ44, TODAY(),"y")</f>
        <v>31</v>
      </c>
      <c r="BB44" s="281"/>
      <c r="BC44" s="281"/>
      <c r="BD44" s="281"/>
      <c r="BE44" s="281"/>
      <c r="BF44" s="289"/>
      <c r="BG44" s="289"/>
      <c r="BH44" s="289"/>
      <c r="BI44" s="289"/>
      <c r="BJ44" s="289"/>
      <c r="BK44" s="289"/>
      <c r="BL44" s="288" t="str">
        <f>VLOOKUP(B44,Sheet2!A53:D170,4,FALSE)</f>
        <v>Dosen</v>
      </c>
      <c r="BM44" s="303"/>
      <c r="BN44" s="302"/>
      <c r="BO44" s="281"/>
      <c r="BP44" s="281"/>
      <c r="BQ44" s="302"/>
      <c r="BR44" s="288" t="str">
        <f>VLOOKUP(B44,Sheet2!A53:E170,5,FALSE)</f>
        <v>Data Science and Intelligent Systems (DSIS)</v>
      </c>
      <c r="BS44" s="288" t="str">
        <f>VLOOKUP(B44,Sheet2!A53:F170,6,FALSE)</f>
        <v>MAC</v>
      </c>
      <c r="BT44" s="288" t="str">
        <f>VLOOKUP(B44,Sheet2!A53:G170,7,FALSE)</f>
        <v>Fakultas Informatika</v>
      </c>
      <c r="BU44" s="288" t="str">
        <f>VLOOKUP(B44,Sheet2!A53:H170,8,FALSE)</f>
        <v>amalialifah@telkomuniversity.ac.id</v>
      </c>
      <c r="BV44" s="280">
        <f>COUNTIFS('Join TPA Dosen'!B:B,'Dosen sorted'!B53)</f>
        <v>1</v>
      </c>
      <c r="BW44" s="273" t="str">
        <f>DATEDIF(AM44,DATE(2026,1,1),"y")&amp;" tahun "&amp;DATEDIF(AM44,DATE(2026,1,1),"ym")&amp;" bulan "</f>
        <v xml:space="preserve">5 tahun 1 bulan </v>
      </c>
      <c r="BX44" s="280" t="str">
        <f>VLOOKUP($B44,Sheet1!$A:$G,2,FALSE)</f>
        <v>ITB</v>
      </c>
      <c r="BY44" s="280" t="str">
        <f>VLOOKUP($B44,Sheet1!$A:$G,3,FALSE)</f>
        <v>Matematika dan Ilmu Pengatahuan Alam/Matematika</v>
      </c>
      <c r="BZ44" s="280" t="str">
        <f>VLOOKUP($B44,Sheet1!$A:$G,4,FALSE)</f>
        <v>ITB</v>
      </c>
      <c r="CA44" s="280" t="str">
        <f>VLOOKUP($B44,Sheet1!$A:$G,5,FALSE)</f>
        <v>Matematika dan Ilmu Pengatahuan Alam/Matematika</v>
      </c>
      <c r="CB44" s="280" t="str">
        <f>VLOOKUP($B44,Sheet1!$A:$G,6,FALSE)</f>
        <v>-</v>
      </c>
      <c r="CC44" s="280">
        <f>VLOOKUP($B44,Sheet1!$A:$G,7,FALSE)</f>
        <v>0</v>
      </c>
      <c r="CD44" s="280" t="s">
        <v>871</v>
      </c>
      <c r="CE44" s="280" t="s">
        <v>903</v>
      </c>
    </row>
    <row r="45" spans="1:84" ht="19.5" hidden="1">
      <c r="A45" s="281">
        <v>133</v>
      </c>
      <c r="B45" s="281" t="s">
        <v>1378</v>
      </c>
      <c r="C45" s="281" t="s">
        <v>20</v>
      </c>
      <c r="D45" s="281" t="s">
        <v>201</v>
      </c>
      <c r="E45" s="281">
        <v>25010040</v>
      </c>
      <c r="F45" s="281"/>
      <c r="G45" s="282"/>
      <c r="H45" s="291" t="s">
        <v>884</v>
      </c>
      <c r="I45" s="281"/>
      <c r="J45" s="281" t="s">
        <v>1379</v>
      </c>
      <c r="K45" s="281" t="s">
        <v>917</v>
      </c>
      <c r="L45" s="281" t="s">
        <v>918</v>
      </c>
      <c r="M45" s="283" t="str">
        <f>IF(L45="NJAD","AA",IF(L45="AA","L",IF(L45="L","LK","GB")))</f>
        <v>AA</v>
      </c>
      <c r="N45" s="282"/>
      <c r="O45" s="281"/>
      <c r="P45" s="281"/>
      <c r="Q45" s="284">
        <v>45901</v>
      </c>
      <c r="R45" s="281" t="str">
        <f ca="1">DATEDIF(Q45,TODAY(), "Y") &amp; " Tahun " &amp; DATEDIF(Q45, TODAY(), "YM") &amp; " Bulan"</f>
        <v>0 Tahun 4 Bulan</v>
      </c>
      <c r="S45" s="281"/>
      <c r="T45" s="282"/>
      <c r="U45" s="281"/>
      <c r="V45" s="281" t="s">
        <v>1373</v>
      </c>
      <c r="W45" s="281" t="s">
        <v>851</v>
      </c>
      <c r="X45" s="283"/>
      <c r="Y45" s="281"/>
      <c r="Z45" s="282"/>
      <c r="AA45" s="295"/>
      <c r="AB45" s="281"/>
      <c r="AC45" s="282"/>
      <c r="AD45" s="281"/>
      <c r="AE45" s="281"/>
      <c r="AF45" s="281"/>
      <c r="AG45" s="281"/>
      <c r="AH45" s="281" t="s">
        <v>854</v>
      </c>
      <c r="AI45" s="281"/>
      <c r="AJ45" s="281"/>
      <c r="AK45" s="281"/>
      <c r="AM45" s="286">
        <v>45901</v>
      </c>
      <c r="AN45" s="287" t="str">
        <f ca="1">DATEDIF(AM45,TODAY(),"y")&amp;" tahun "&amp;DATEDIF(AM45,TODAY(),"ym")&amp;" bulan "</f>
        <v xml:space="preserve">0 tahun 4 bulan </v>
      </c>
      <c r="AO45" s="281" t="s">
        <v>858</v>
      </c>
      <c r="AP45" s="281" t="s">
        <v>1035</v>
      </c>
      <c r="AQ45" s="281" t="s">
        <v>1380</v>
      </c>
      <c r="AR45" s="281"/>
      <c r="AS45" s="281">
        <v>85385533331</v>
      </c>
      <c r="AT45" s="281" t="s">
        <v>1381</v>
      </c>
      <c r="AU45" s="281"/>
      <c r="AV45" s="281"/>
      <c r="AW45" s="281" t="str">
        <f>VLOOKUP(B45,Sheet2!A74:I191,9,FALSE)</f>
        <v>Faisal Zaidan Pradana, S.Aktr., M.Si.</v>
      </c>
      <c r="AX45" s="281" t="s">
        <v>861</v>
      </c>
      <c r="AY45" s="281" t="str">
        <f>VLOOKUP(B45,Sheet2!A74:C191,2,FALSE)</f>
        <v>Karang Anyar</v>
      </c>
      <c r="AZ45" s="288">
        <f>VLOOKUP(B45,Sheet2!A74:C191,3,FALSE)</f>
        <v>36919</v>
      </c>
      <c r="BA45" s="281">
        <f ca="1">DATEDIF(AZ45, TODAY(),"y")</f>
        <v>24</v>
      </c>
      <c r="BB45" s="281"/>
      <c r="BC45" s="281"/>
      <c r="BD45" s="281"/>
      <c r="BE45" s="281"/>
      <c r="BF45" s="289"/>
      <c r="BG45" s="289"/>
      <c r="BH45" s="289"/>
      <c r="BI45" s="289"/>
      <c r="BJ45" s="289"/>
      <c r="BK45" s="289"/>
      <c r="BL45" s="288" t="s">
        <v>21</v>
      </c>
      <c r="BM45" s="281"/>
      <c r="BN45" s="281"/>
      <c r="BO45" s="281"/>
      <c r="BP45" s="281"/>
      <c r="BQ45" s="281"/>
      <c r="BR45" s="288"/>
      <c r="BS45" s="281" t="s">
        <v>1380</v>
      </c>
      <c r="BT45" s="288" t="str">
        <f>VLOOKUP(B45,Sheet2!A71:G188,7,FALSE)</f>
        <v>Fakultas Informatika</v>
      </c>
      <c r="BU45" s="288" t="str">
        <f>VLOOKUP(B45,Sheet2!A74:H191,8,FALSE)</f>
        <v>faisalzaidanpradana@telkomuniversity.ac.id</v>
      </c>
      <c r="BV45" s="280">
        <f>COUNTIFS('Join TPA Dosen'!B:B,'Dosen sorted'!B125)</f>
        <v>1</v>
      </c>
      <c r="BW45" s="273" t="str">
        <f>DATEDIF(AM45,DATE(2026,1,1),"y")&amp;" tahun "&amp;DATEDIF(AM45,DATE(2026,1,1),"ym")&amp;" bulan "</f>
        <v xml:space="preserve">0 tahun 4 bulan </v>
      </c>
    </row>
    <row r="46" spans="1:84" ht="19.5" hidden="1">
      <c r="A46" s="281">
        <v>53</v>
      </c>
      <c r="B46" s="281" t="s">
        <v>206</v>
      </c>
      <c r="C46" s="281" t="s">
        <v>46</v>
      </c>
      <c r="D46" s="281" t="s">
        <v>201</v>
      </c>
      <c r="E46" s="281">
        <v>23950026</v>
      </c>
      <c r="F46" s="281" t="s">
        <v>1069</v>
      </c>
      <c r="G46" s="282" t="s">
        <v>207</v>
      </c>
      <c r="H46" s="281" t="s">
        <v>845</v>
      </c>
      <c r="I46" s="281" t="s">
        <v>143</v>
      </c>
      <c r="J46" s="281" t="s">
        <v>208</v>
      </c>
      <c r="K46" s="281" t="s">
        <v>926</v>
      </c>
      <c r="L46" s="281" t="s">
        <v>847</v>
      </c>
      <c r="M46" s="283" t="str">
        <f>IF(L46="NJAD","AA",IF(L46="AA","L",IF(L46="L","LK","GB")))</f>
        <v>L</v>
      </c>
      <c r="N46" s="282" t="s">
        <v>511</v>
      </c>
      <c r="O46" s="281">
        <v>150</v>
      </c>
      <c r="P46" s="281" t="s">
        <v>1070</v>
      </c>
      <c r="Q46" s="284">
        <v>45047</v>
      </c>
      <c r="R46" s="281" t="str">
        <f ca="1">DATEDIF(Q46,TODAY(), "Y") &amp; " Tahun " &amp; DATEDIF(Q46, TODAY(), "YM") &amp; " Bulan"</f>
        <v>2 Tahun 8 Bulan</v>
      </c>
      <c r="S46" s="281" t="s">
        <v>849</v>
      </c>
      <c r="T46" s="285">
        <v>45170</v>
      </c>
      <c r="U46" s="281" t="str">
        <f ca="1">DATEDIF(T46,TODAY(), "Y") &amp; " Tahun " &amp; DATEDIF(T46, TODAY(), "YM") &amp; " Bulan"</f>
        <v>2 Tahun 4 Bulan</v>
      </c>
      <c r="V46" s="281" t="s">
        <v>1034</v>
      </c>
      <c r="W46" s="281" t="s">
        <v>851</v>
      </c>
      <c r="X46" s="283" t="str">
        <f ca="1">IF(AND(OR(L46="AA",L46="L"),OR(S46="Penata Muda Tk. I Golongan III/b",S46="Penata Golongan III/c"),DATEDIF(Q46,TODAY(),"m")&gt;=23,ISBLANK(Z46),C46="Aktif"),"Nominasi Serdos","-")</f>
        <v>-</v>
      </c>
      <c r="Y46" s="281"/>
      <c r="Z46" s="282"/>
      <c r="AA46" s="281"/>
      <c r="AB46" s="281" t="s">
        <v>30</v>
      </c>
      <c r="AC46" s="282" t="s">
        <v>511</v>
      </c>
      <c r="AD46" s="281" t="s">
        <v>30</v>
      </c>
      <c r="AE46" s="281" t="s">
        <v>30</v>
      </c>
      <c r="AF46" s="281" t="s">
        <v>30</v>
      </c>
      <c r="AG46" s="281" t="s">
        <v>30</v>
      </c>
      <c r="AH46" s="281" t="s">
        <v>879</v>
      </c>
      <c r="AI46" s="281" t="s">
        <v>30</v>
      </c>
      <c r="AJ46" s="281" t="s">
        <v>30</v>
      </c>
      <c r="AK46" s="281" t="s">
        <v>30</v>
      </c>
      <c r="AM46" s="286">
        <v>44166</v>
      </c>
      <c r="AN46" s="287" t="str">
        <f ca="1">DATEDIF(AM46,TODAY(),"y")&amp;" tahun "&amp;DATEDIF(AM46,TODAY(),"ym")&amp;" bulan "</f>
        <v xml:space="preserve">5 tahun 1 bulan </v>
      </c>
      <c r="AO46" s="281" t="s">
        <v>858</v>
      </c>
      <c r="AP46" s="281" t="s">
        <v>1035</v>
      </c>
      <c r="AQ46" s="281" t="s">
        <v>1071</v>
      </c>
      <c r="AR46" s="281" t="s">
        <v>209</v>
      </c>
      <c r="AS46" s="281">
        <v>82131281868</v>
      </c>
      <c r="AT46" s="281" t="s">
        <v>210</v>
      </c>
      <c r="AU46" s="281" t="s">
        <v>30</v>
      </c>
      <c r="AV46" s="281"/>
      <c r="AW46" s="281" t="str">
        <f>VLOOKUP(B46,Sheet2!A54:I171,9,FALSE)</f>
        <v>Dr. Helisyah Nur Fadhilah, S.Si., M.Mat.</v>
      </c>
      <c r="AX46" s="281" t="s">
        <v>902</v>
      </c>
      <c r="AY46" s="281" t="str">
        <f>VLOOKUP(B46,Sheet2!A54:C171,2,FALSE)</f>
        <v>Gresik</v>
      </c>
      <c r="AZ46" s="288">
        <f>VLOOKUP(B46,Sheet2!A54:C171,3,FALSE)</f>
        <v>34881</v>
      </c>
      <c r="BA46" s="281">
        <f ca="1">DATEDIF(AZ46, TODAY(),"y")</f>
        <v>30</v>
      </c>
      <c r="BB46" s="281"/>
      <c r="BC46" s="281"/>
      <c r="BD46" s="281"/>
      <c r="BE46" s="281"/>
      <c r="BF46" s="289"/>
      <c r="BG46" s="289"/>
      <c r="BH46" s="289"/>
      <c r="BI46" s="304"/>
      <c r="BJ46" s="304"/>
      <c r="BK46" s="304"/>
      <c r="BL46" s="288" t="str">
        <f>VLOOKUP(B46,Sheet2!A54:D171,4,FALSE)</f>
        <v>Dosen</v>
      </c>
      <c r="BM46" s="281"/>
      <c r="BN46" s="286"/>
      <c r="BO46" s="281"/>
      <c r="BP46" s="281"/>
      <c r="BQ46" s="281"/>
      <c r="BR46" s="288" t="str">
        <f>VLOOKUP(B46,Sheet2!A54:E171,5,FALSE)</f>
        <v>Data Science and Intelligent Systems (DSIS)</v>
      </c>
      <c r="BS46" s="288" t="str">
        <f>VLOOKUP(B46,Sheet2!A54:F171,6,FALSE)</f>
        <v>HEF</v>
      </c>
      <c r="BT46" s="288" t="str">
        <f>VLOOKUP(B46,Sheet2!A54:G171,7,FALSE)</f>
        <v>Fakultas Informatika</v>
      </c>
      <c r="BU46" s="288" t="str">
        <f>VLOOKUP(B46,Sheet2!A54:H171,8,FALSE)</f>
        <v>helisyahnf@telkomuniversity.ac.id</v>
      </c>
      <c r="BV46" s="280">
        <f>COUNTIFS('Join TPA Dosen'!B:B,'Dosen sorted'!B54)</f>
        <v>1</v>
      </c>
      <c r="BW46" s="273" t="str">
        <f>DATEDIF(AM46,DATE(2026,1,1),"y")&amp;" tahun "&amp;DATEDIF(AM46,DATE(2026,1,1),"ym")&amp;" bulan "</f>
        <v xml:space="preserve">5 tahun 1 bulan </v>
      </c>
      <c r="BX46" s="280" t="str">
        <f>VLOOKUP($B46,Sheet1!$A:$G,2,FALSE)</f>
        <v>ITS</v>
      </c>
      <c r="BY46" s="280" t="str">
        <f>VLOOKUP($B46,Sheet1!$A:$G,3,FALSE)</f>
        <v>Matematika dan Ilmu Pengatahuan Alam/Matematika</v>
      </c>
      <c r="BZ46" s="280" t="str">
        <f>VLOOKUP($B46,Sheet1!$A:$G,4,FALSE)</f>
        <v>ITS</v>
      </c>
      <c r="CA46" s="280" t="str">
        <f>VLOOKUP($B46,Sheet1!$A:$G,5,FALSE)</f>
        <v>Matematika, Komputasi, dan Sains Data/Matematika</v>
      </c>
      <c r="CB46" s="280" t="str">
        <f>VLOOKUP($B46,Sheet1!$A:$G,6,FALSE)</f>
        <v>ITS</v>
      </c>
      <c r="CC46" s="280" t="str">
        <f>VLOOKUP($B46,Sheet1!$A:$G,7,FALSE)</f>
        <v>Sains dan Analitika Data/Matematika</v>
      </c>
      <c r="CD46" s="280" t="e">
        <v>#N/A</v>
      </c>
      <c r="CE46" s="280" t="e">
        <v>#N/A</v>
      </c>
    </row>
    <row r="47" spans="1:84" ht="19.5" hidden="1">
      <c r="A47" s="281">
        <v>54</v>
      </c>
      <c r="B47" s="281" t="s">
        <v>211</v>
      </c>
      <c r="C47" s="281" t="s">
        <v>20</v>
      </c>
      <c r="D47" s="281" t="s">
        <v>201</v>
      </c>
      <c r="E47" s="281">
        <v>23950023</v>
      </c>
      <c r="F47" s="281" t="s">
        <v>1072</v>
      </c>
      <c r="G47" s="282" t="s">
        <v>212</v>
      </c>
      <c r="H47" s="281" t="s">
        <v>845</v>
      </c>
      <c r="I47" s="281" t="s">
        <v>30</v>
      </c>
      <c r="J47" s="281" t="s">
        <v>208</v>
      </c>
      <c r="K47" s="281" t="s">
        <v>893</v>
      </c>
      <c r="L47" s="281" t="s">
        <v>775</v>
      </c>
      <c r="M47" s="283" t="str">
        <f>IF(L47="NJAD","AA",IF(L47="AA","L",IF(L47="L","LK","GB")))</f>
        <v>LK</v>
      </c>
      <c r="N47" s="292"/>
      <c r="O47" s="281">
        <v>200</v>
      </c>
      <c r="P47" s="281" t="s">
        <v>1073</v>
      </c>
      <c r="Q47" s="284">
        <v>45931</v>
      </c>
      <c r="R47" s="281" t="str">
        <f ca="1">DATEDIF(Q47,TODAY(), "Y") &amp; " Tahun " &amp; DATEDIF(Q47, TODAY(), "YM") &amp; " Bulan"</f>
        <v>0 Tahun 3 Bulan</v>
      </c>
      <c r="S47" s="281" t="s">
        <v>849</v>
      </c>
      <c r="T47" s="285">
        <v>45017</v>
      </c>
      <c r="U47" s="281" t="str">
        <f ca="1">DATEDIF(T47,TODAY(), "Y") &amp; " Tahun " &amp; DATEDIF(T47, TODAY(), "YM") &amp; " Bulan"</f>
        <v>2 Tahun 9 Bulan</v>
      </c>
      <c r="V47" s="281" t="s">
        <v>1074</v>
      </c>
      <c r="W47" s="281" t="s">
        <v>851</v>
      </c>
      <c r="X47" s="283" t="str">
        <f ca="1">IF(AND(OR(L47="AA",L47="L"),OR(S47="Penata Muda Tk. I Golongan III/b",S47="Penata Golongan III/c"),DATEDIF(Q47,TODAY(),"m")&gt;=23,ISBLANK(Z47),C47="Aktif"),"Nominasi Serdos","-")</f>
        <v>-</v>
      </c>
      <c r="Y47" s="281"/>
      <c r="Z47" s="282" t="s">
        <v>852</v>
      </c>
      <c r="AA47" s="281">
        <v>25104105713496</v>
      </c>
      <c r="AB47" s="291" t="s">
        <v>1075</v>
      </c>
      <c r="AC47" s="285">
        <v>45917</v>
      </c>
      <c r="AD47" s="281" t="s">
        <v>30</v>
      </c>
      <c r="AE47" s="281" t="s">
        <v>30</v>
      </c>
      <c r="AF47" s="281" t="s">
        <v>30</v>
      </c>
      <c r="AG47" s="281" t="s">
        <v>30</v>
      </c>
      <c r="AH47" s="281" t="s">
        <v>854</v>
      </c>
      <c r="AI47" s="281" t="s">
        <v>855</v>
      </c>
      <c r="AJ47" s="281" t="s">
        <v>856</v>
      </c>
      <c r="AK47" s="281" t="s">
        <v>855</v>
      </c>
      <c r="AL47" s="280" t="s">
        <v>857</v>
      </c>
      <c r="AM47" s="286">
        <v>44166</v>
      </c>
      <c r="AN47" s="287" t="str">
        <f ca="1">DATEDIF(AM47,TODAY(),"y")&amp;" tahun "&amp;DATEDIF(AM47,TODAY(),"ym")&amp;" bulan "</f>
        <v xml:space="preserve">5 tahun 1 bulan </v>
      </c>
      <c r="AO47" s="281" t="s">
        <v>858</v>
      </c>
      <c r="AP47" s="281" t="s">
        <v>1035</v>
      </c>
      <c r="AQ47" s="281" t="s">
        <v>1076</v>
      </c>
      <c r="AR47" s="281" t="s">
        <v>213</v>
      </c>
      <c r="AS47" s="281">
        <v>81331653603</v>
      </c>
      <c r="AT47" s="281" t="s">
        <v>214</v>
      </c>
      <c r="AU47" s="281" t="s">
        <v>30</v>
      </c>
      <c r="AV47" s="281"/>
      <c r="AW47" s="281" t="str">
        <f>VLOOKUP(B47,Sheet2!A55:I172,9,FALSE)</f>
        <v>Moh. Hamim Zajuli Al Faroby, S.Si., M.Mat.</v>
      </c>
      <c r="AX47" s="281" t="s">
        <v>861</v>
      </c>
      <c r="AY47" s="281" t="str">
        <f>VLOOKUP(B47,Sheet2!A55:C172,2,FALSE)</f>
        <v>Banyuwangi</v>
      </c>
      <c r="AZ47" s="288">
        <f>VLOOKUP(B47,Sheet2!A55:C172,3,FALSE)</f>
        <v>34904</v>
      </c>
      <c r="BA47" s="281">
        <f ca="1">DATEDIF(AZ47, TODAY(),"y")</f>
        <v>30</v>
      </c>
      <c r="BB47" s="281"/>
      <c r="BC47" s="281"/>
      <c r="BD47" s="281"/>
      <c r="BE47" s="281"/>
      <c r="BF47" s="289"/>
      <c r="BG47" s="289"/>
      <c r="BH47" s="289"/>
      <c r="BI47" s="289"/>
      <c r="BJ47" s="289"/>
      <c r="BK47" s="289"/>
      <c r="BL47" s="288" t="str">
        <f>VLOOKUP(B47,Sheet2!A55:D172,4,FALSE)</f>
        <v>Kaprodi</v>
      </c>
      <c r="BM47" s="281"/>
      <c r="BN47" s="286"/>
      <c r="BO47" s="281"/>
      <c r="BP47" s="281"/>
      <c r="BQ47" s="281"/>
      <c r="BR47" s="288" t="str">
        <f>VLOOKUP(B47,Sheet2!A55:E172,5,FALSE)</f>
        <v>Data Science and Intelligent Systems (DSIS)</v>
      </c>
      <c r="BS47" s="288" t="str">
        <f>VLOOKUP(B47,Sheet2!A55:F172,6,FALSE)</f>
        <v>OBY</v>
      </c>
      <c r="BT47" s="288" t="str">
        <f>VLOOKUP(B47,Sheet2!A55:G172,7,FALSE)</f>
        <v>Fakultas Informatika</v>
      </c>
      <c r="BU47" s="288" t="str">
        <f>VLOOKUP(B47,Sheet2!A55:H172,8,FALSE)</f>
        <v>alfarobymhz@telkomuniversity.ac.id</v>
      </c>
      <c r="BV47" s="280">
        <f>COUNTIFS('Join TPA Dosen'!B:B,'Dosen sorted'!B55)</f>
        <v>1</v>
      </c>
      <c r="BW47" s="273" t="str">
        <f>DATEDIF(AM47,DATE(2026,1,1),"y")&amp;" tahun "&amp;DATEDIF(AM47,DATE(2026,1,1),"ym")&amp;" bulan "</f>
        <v xml:space="preserve">5 tahun 1 bulan </v>
      </c>
      <c r="BX47" s="280" t="str">
        <f>VLOOKUP($B47,Sheet1!$A:$G,2,FALSE)</f>
        <v>ITS</v>
      </c>
      <c r="BY47" s="280" t="str">
        <f>VLOOKUP($B47,Sheet1!$A:$G,3,FALSE)</f>
        <v>Matematika, Komputasi, dan Sains Data/Matematika</v>
      </c>
      <c r="BZ47" s="280" t="str">
        <f>VLOOKUP($B47,Sheet1!$A:$G,4,FALSE)</f>
        <v>ITS</v>
      </c>
      <c r="CA47" s="280" t="str">
        <f>VLOOKUP($B47,Sheet1!$A:$G,5,FALSE)</f>
        <v>Sains dan Analitika Data/Matematika</v>
      </c>
      <c r="CB47" s="280" t="str">
        <f>VLOOKUP($B47,Sheet1!$A:$G,6,FALSE)</f>
        <v>-</v>
      </c>
      <c r="CC47" s="280">
        <f>VLOOKUP($B47,Sheet1!$A:$G,7,FALSE)</f>
        <v>0</v>
      </c>
      <c r="CD47" s="280" t="s">
        <v>882</v>
      </c>
      <c r="CE47" s="280" t="s">
        <v>903</v>
      </c>
    </row>
    <row r="48" spans="1:84" ht="19.5" hidden="1">
      <c r="A48" s="281">
        <v>132</v>
      </c>
      <c r="B48" s="281" t="s">
        <v>1370</v>
      </c>
      <c r="C48" s="281" t="s">
        <v>20</v>
      </c>
      <c r="D48" s="281" t="s">
        <v>201</v>
      </c>
      <c r="E48" s="281">
        <v>25980022</v>
      </c>
      <c r="F48" s="281"/>
      <c r="G48" s="282" t="s">
        <v>1371</v>
      </c>
      <c r="H48" s="291" t="s">
        <v>884</v>
      </c>
      <c r="I48" s="281"/>
      <c r="J48" s="281" t="s">
        <v>1372</v>
      </c>
      <c r="K48" s="281" t="s">
        <v>917</v>
      </c>
      <c r="L48" s="281" t="s">
        <v>918</v>
      </c>
      <c r="M48" s="283" t="str">
        <f>IF(L48="NJAD","AA",IF(L48="AA","L",IF(L48="L","LK","GB")))</f>
        <v>AA</v>
      </c>
      <c r="N48" s="282"/>
      <c r="O48" s="281"/>
      <c r="P48" s="281"/>
      <c r="Q48" s="284">
        <v>45901</v>
      </c>
      <c r="R48" s="281" t="str">
        <f ca="1">DATEDIF(Q48,TODAY(), "Y") &amp; " Tahun " &amp; DATEDIF(Q48, TODAY(), "YM") &amp; " Bulan"</f>
        <v>0 Tahun 4 Bulan</v>
      </c>
      <c r="S48" s="281"/>
      <c r="T48" s="282"/>
      <c r="U48" s="281"/>
      <c r="V48" s="281" t="s">
        <v>1373</v>
      </c>
      <c r="W48" s="281" t="s">
        <v>851</v>
      </c>
      <c r="X48" s="283"/>
      <c r="Y48" s="281"/>
      <c r="Z48" s="282"/>
      <c r="AA48" s="295"/>
      <c r="AB48" s="281"/>
      <c r="AC48" s="282"/>
      <c r="AD48" s="281"/>
      <c r="AE48" s="281"/>
      <c r="AF48" s="281"/>
      <c r="AG48" s="281"/>
      <c r="AH48" s="281" t="s">
        <v>854</v>
      </c>
      <c r="AI48" s="281"/>
      <c r="AJ48" s="281"/>
      <c r="AK48" s="281"/>
      <c r="AM48" s="286">
        <v>45901</v>
      </c>
      <c r="AN48" s="287" t="str">
        <f ca="1">DATEDIF(AM48,TODAY(),"y")&amp;" tahun "&amp;DATEDIF(AM48,TODAY(),"ym")&amp;" bulan "</f>
        <v xml:space="preserve">0 tahun 4 bulan </v>
      </c>
      <c r="AO48" s="281" t="s">
        <v>858</v>
      </c>
      <c r="AP48" s="281" t="s">
        <v>1035</v>
      </c>
      <c r="AQ48" s="281" t="s">
        <v>1374</v>
      </c>
      <c r="AR48" s="281"/>
      <c r="AS48" s="281">
        <v>82333010705</v>
      </c>
      <c r="AT48" s="281" t="s">
        <v>1375</v>
      </c>
      <c r="AU48" s="281"/>
      <c r="AV48" s="281"/>
      <c r="AW48" s="281" t="str">
        <f>VLOOKUP(B48,Sheet2!A73:I190,9,FALSE)</f>
        <v>Nuchaila Ainiyah, S.Mat., M.Mat.</v>
      </c>
      <c r="AX48" s="281" t="s">
        <v>902</v>
      </c>
      <c r="AY48" s="281" t="str">
        <f>VLOOKUP(B48,Sheet2!A73:C190,2,FALSE)</f>
        <v>Malang</v>
      </c>
      <c r="AZ48" s="288">
        <f>VLOOKUP(B48,Sheet2!A73:C190,3,FALSE)</f>
        <v>36008</v>
      </c>
      <c r="BA48" s="281">
        <f ca="1">DATEDIF(AZ48, TODAY(),"y")</f>
        <v>27</v>
      </c>
      <c r="BB48" s="281"/>
      <c r="BC48" s="281"/>
      <c r="BD48" s="281"/>
      <c r="BE48" s="281"/>
      <c r="BF48" s="289"/>
      <c r="BG48" s="289"/>
      <c r="BH48" s="289"/>
      <c r="BI48" s="289"/>
      <c r="BJ48" s="289"/>
      <c r="BK48" s="289"/>
      <c r="BL48" s="288" t="s">
        <v>21</v>
      </c>
      <c r="BM48" s="281"/>
      <c r="BN48" s="281"/>
      <c r="BO48" s="281"/>
      <c r="BP48" s="281"/>
      <c r="BQ48" s="281"/>
      <c r="BR48" s="288"/>
      <c r="BS48" s="281" t="s">
        <v>1374</v>
      </c>
      <c r="BT48" s="288" t="str">
        <f>VLOOKUP(B48,Sheet2!A70:G187,7,FALSE)</f>
        <v>Fakultas Informatika</v>
      </c>
      <c r="BU48" s="288" t="str">
        <f>VLOOKUP(B48,Sheet2!A73:H190,8,FALSE)</f>
        <v>nuchailaainiyah@telkomuniversity.ac.id</v>
      </c>
      <c r="BV48" s="280">
        <f>COUNTIFS('Join TPA Dosen'!B:B,'Dosen sorted'!B124)</f>
        <v>1</v>
      </c>
      <c r="BW48" s="273" t="str">
        <f>DATEDIF(AM48,DATE(2026,1,1),"y")&amp;" tahun "&amp;DATEDIF(AM48,DATE(2026,1,1),"ym")&amp;" bulan "</f>
        <v xml:space="preserve">0 tahun 4 bulan </v>
      </c>
    </row>
    <row r="49" spans="1:84" ht="19.5" hidden="1">
      <c r="A49" s="281">
        <v>134</v>
      </c>
      <c r="B49" s="281" t="s">
        <v>1382</v>
      </c>
      <c r="C49" s="281" t="s">
        <v>20</v>
      </c>
      <c r="D49" s="281" t="s">
        <v>201</v>
      </c>
      <c r="E49" s="281">
        <v>25980028</v>
      </c>
      <c r="F49" s="281"/>
      <c r="G49" s="422" t="s">
        <v>1383</v>
      </c>
      <c r="H49" s="291" t="s">
        <v>884</v>
      </c>
      <c r="I49" s="281"/>
      <c r="J49" s="281" t="s">
        <v>1384</v>
      </c>
      <c r="K49" s="281" t="s">
        <v>917</v>
      </c>
      <c r="L49" s="281" t="s">
        <v>918</v>
      </c>
      <c r="M49" s="283" t="str">
        <f>IF(L49="NJAD","AA",IF(L49="AA","L",IF(L49="L","LK","GB")))</f>
        <v>AA</v>
      </c>
      <c r="N49" s="282"/>
      <c r="O49" s="281"/>
      <c r="P49" s="281"/>
      <c r="Q49" s="284">
        <v>45901</v>
      </c>
      <c r="R49" s="281" t="str">
        <f ca="1">DATEDIF(Q49,TODAY(), "Y") &amp; " Tahun " &amp; DATEDIF(Q49, TODAY(), "YM") &amp; " Bulan"</f>
        <v>0 Tahun 4 Bulan</v>
      </c>
      <c r="S49" s="281"/>
      <c r="T49" s="282"/>
      <c r="U49" s="281"/>
      <c r="V49" s="281" t="s">
        <v>1373</v>
      </c>
      <c r="W49" s="281" t="s">
        <v>851</v>
      </c>
      <c r="X49" s="283"/>
      <c r="Y49" s="281"/>
      <c r="Z49" s="282"/>
      <c r="AA49" s="295"/>
      <c r="AB49" s="281"/>
      <c r="AC49" s="282"/>
      <c r="AD49" s="281"/>
      <c r="AE49" s="281"/>
      <c r="AF49" s="281"/>
      <c r="AG49" s="281"/>
      <c r="AH49" s="281" t="s">
        <v>854</v>
      </c>
      <c r="AI49" s="281"/>
      <c r="AJ49" s="281"/>
      <c r="AK49" s="281"/>
      <c r="AM49" s="286">
        <v>45901</v>
      </c>
      <c r="AN49" s="287" t="str">
        <f ca="1">DATEDIF(AM49,TODAY(),"y")&amp;" tahun "&amp;DATEDIF(AM49,TODAY(),"ym")&amp;" bulan "</f>
        <v xml:space="preserve">0 tahun 4 bulan </v>
      </c>
      <c r="AO49" s="281" t="s">
        <v>858</v>
      </c>
      <c r="AP49" s="281" t="s">
        <v>1035</v>
      </c>
      <c r="AQ49" s="281" t="s">
        <v>1385</v>
      </c>
      <c r="AR49" s="281"/>
      <c r="AS49" s="281">
        <v>85285887248</v>
      </c>
      <c r="AT49" s="281" t="s">
        <v>1386</v>
      </c>
      <c r="AU49" s="281"/>
      <c r="AV49" s="281"/>
      <c r="AW49" s="281" t="str">
        <f>VLOOKUP(B49,Sheet2!A75:I192,9,FALSE)</f>
        <v>Rafika Damayanti Sururin Nufus, S.Mat., M.Si.</v>
      </c>
      <c r="AX49" s="281" t="s">
        <v>902</v>
      </c>
      <c r="AY49" s="281" t="str">
        <f>VLOOKUP(B49,Sheet2!A75:C192,2,FALSE)</f>
        <v>Bengkulu</v>
      </c>
      <c r="AZ49" s="288">
        <f>VLOOKUP(B49,Sheet2!A75:C192,3,FALSE)</f>
        <v>35804</v>
      </c>
      <c r="BA49" s="281">
        <f ca="1">DATEDIF(AZ49, TODAY(),"y")</f>
        <v>28</v>
      </c>
      <c r="BB49" s="281"/>
      <c r="BC49" s="281"/>
      <c r="BD49" s="281"/>
      <c r="BE49" s="281"/>
      <c r="BF49" s="289"/>
      <c r="BG49" s="289"/>
      <c r="BH49" s="289"/>
      <c r="BI49" s="289"/>
      <c r="BJ49" s="289"/>
      <c r="BK49" s="289"/>
      <c r="BL49" s="288" t="s">
        <v>21</v>
      </c>
      <c r="BM49" s="281"/>
      <c r="BN49" s="281"/>
      <c r="BO49" s="281"/>
      <c r="BP49" s="281"/>
      <c r="BQ49" s="281"/>
      <c r="BR49" s="288"/>
      <c r="BS49" s="288" t="s">
        <v>1385</v>
      </c>
      <c r="BT49" s="288" t="str">
        <f>VLOOKUP(B49,Sheet2!A72:G189,7,FALSE)</f>
        <v>Fakultas Informatika</v>
      </c>
      <c r="BU49" s="288" t="str">
        <f>VLOOKUP(B49,Sheet2!A75:H192,8,FALSE)</f>
        <v>rafikadamayanti@telkomuniversity.ac.id</v>
      </c>
      <c r="BV49" s="280">
        <f>COUNTIFS('Join TPA Dosen'!B:B,'Dosen sorted'!B126)</f>
        <v>1</v>
      </c>
      <c r="BW49" s="273" t="str">
        <f>DATEDIF(AM49,DATE(2026,1,1),"y")&amp;" tahun "&amp;DATEDIF(AM49,DATE(2026,1,1),"ym")&amp;" bulan "</f>
        <v xml:space="preserve">0 tahun 4 bulan </v>
      </c>
    </row>
    <row r="50" spans="1:84" ht="19.5" hidden="1">
      <c r="A50" s="281">
        <v>65</v>
      </c>
      <c r="B50" s="281" t="s">
        <v>215</v>
      </c>
      <c r="C50" s="281" t="s">
        <v>20</v>
      </c>
      <c r="D50" s="281" t="s">
        <v>201</v>
      </c>
      <c r="E50" s="281">
        <v>22960008</v>
      </c>
      <c r="F50" s="281" t="s">
        <v>1081</v>
      </c>
      <c r="G50" s="282" t="s">
        <v>216</v>
      </c>
      <c r="H50" s="291" t="s">
        <v>884</v>
      </c>
      <c r="I50" s="281" t="s">
        <v>30</v>
      </c>
      <c r="J50" s="281" t="s">
        <v>217</v>
      </c>
      <c r="K50" s="281" t="s">
        <v>846</v>
      </c>
      <c r="L50" s="281" t="s">
        <v>847</v>
      </c>
      <c r="M50" s="283" t="str">
        <f>IF(L50="NJAD","AA",IF(L50="AA","L",IF(L50="L","LK","GB")))</f>
        <v>L</v>
      </c>
      <c r="N50" s="282" t="s">
        <v>511</v>
      </c>
      <c r="O50" s="281">
        <v>150</v>
      </c>
      <c r="P50" s="281" t="s">
        <v>1082</v>
      </c>
      <c r="Q50" s="284">
        <v>45444</v>
      </c>
      <c r="R50" s="281" t="str">
        <f ca="1">DATEDIF(Q50,TODAY(), "Y") &amp; " Tahun " &amp; DATEDIF(Q50, TODAY(), "YM") &amp; " Bulan"</f>
        <v>1 Tahun 7 Bulan</v>
      </c>
      <c r="S50" s="281" t="s">
        <v>849</v>
      </c>
      <c r="T50" s="284">
        <v>45717</v>
      </c>
      <c r="U50" s="281" t="str">
        <f ca="1">DATEDIF(T50,TODAY(), "Y") &amp; " Tahun " &amp; DATEDIF(T50, TODAY(), "YM") &amp; " Bulan"</f>
        <v>0 Tahun 10 Bulan</v>
      </c>
      <c r="V50" s="281" t="s">
        <v>1034</v>
      </c>
      <c r="W50" s="281" t="s">
        <v>851</v>
      </c>
      <c r="X50" s="283" t="str">
        <f ca="1">IF(AND(OR(L50="AA",L50="L"),OR(S50="Penata Muda Tk. I Golongan III/b",S50="Penata Golongan III/c"),DATEDIF(Q50,TODAY(),"m")&gt;=23,ISBLANK(Z50),C50="Aktif"),"Nominasi Serdos","-")</f>
        <v>-</v>
      </c>
      <c r="Y50" s="281"/>
      <c r="Z50" s="282"/>
      <c r="AA50" s="281"/>
      <c r="AB50" s="281" t="s">
        <v>30</v>
      </c>
      <c r="AC50" s="282" t="s">
        <v>511</v>
      </c>
      <c r="AD50" s="281" t="s">
        <v>30</v>
      </c>
      <c r="AE50" s="281" t="s">
        <v>30</v>
      </c>
      <c r="AF50" s="281" t="s">
        <v>30</v>
      </c>
      <c r="AG50" s="281" t="s">
        <v>30</v>
      </c>
      <c r="AH50" s="281" t="s">
        <v>854</v>
      </c>
      <c r="AI50" s="281" t="s">
        <v>30</v>
      </c>
      <c r="AJ50" s="281" t="s">
        <v>30</v>
      </c>
      <c r="AK50" s="281" t="s">
        <v>30</v>
      </c>
      <c r="AM50" s="286">
        <v>44627</v>
      </c>
      <c r="AN50" s="287" t="str">
        <f ca="1">DATEDIF(AM50,TODAY(),"y")&amp;" tahun "&amp;DATEDIF(AM50,TODAY(),"ym")&amp;" bulan "</f>
        <v xml:space="preserve">3 tahun 10 bulan </v>
      </c>
      <c r="AO50" s="281" t="s">
        <v>858</v>
      </c>
      <c r="AP50" s="281" t="s">
        <v>1035</v>
      </c>
      <c r="AQ50" s="281" t="s">
        <v>1083</v>
      </c>
      <c r="AR50" s="281" t="s">
        <v>218</v>
      </c>
      <c r="AS50" s="281">
        <v>81232988938</v>
      </c>
      <c r="AT50" s="281" t="s">
        <v>219</v>
      </c>
      <c r="AU50" s="281" t="s">
        <v>30</v>
      </c>
      <c r="AV50" s="281"/>
      <c r="AW50" s="281" t="str">
        <f>VLOOKUP(B50,Sheet2!A66:I183,9,FALSE)</f>
        <v>Regita Putri Permata, S.Stat., M.Stat.</v>
      </c>
      <c r="AX50" s="281" t="s">
        <v>902</v>
      </c>
      <c r="AY50" s="281" t="str">
        <f>VLOOKUP(B50,Sheet2!A66:C183,2,FALSE)</f>
        <v>Tuban</v>
      </c>
      <c r="AZ50" s="288">
        <f>VLOOKUP(B50,Sheet2!A66:C183,3,FALSE)</f>
        <v>35338</v>
      </c>
      <c r="BA50" s="281">
        <f ca="1">DATEDIF(AZ50, TODAY(),"y")</f>
        <v>29</v>
      </c>
      <c r="BB50" s="281"/>
      <c r="BC50" s="281"/>
      <c r="BD50" s="281"/>
      <c r="BE50" s="281"/>
      <c r="BF50" s="289"/>
      <c r="BG50" s="289"/>
      <c r="BH50" s="289"/>
      <c r="BI50" s="304"/>
      <c r="BJ50" s="304"/>
      <c r="BK50" s="304"/>
      <c r="BL50" s="288" t="str">
        <f>VLOOKUP(B50,Sheet2!A66:D183,4,FALSE)</f>
        <v>Dosen</v>
      </c>
      <c r="BM50" s="281"/>
      <c r="BN50" s="281"/>
      <c r="BO50" s="281"/>
      <c r="BP50" s="281"/>
      <c r="BQ50" s="281"/>
      <c r="BR50" s="288" t="str">
        <f>VLOOKUP(B50,Sheet2!A66:E183,5,FALSE)</f>
        <v>Data Science and Intelligent Systems (DSIS)</v>
      </c>
      <c r="BS50" s="288" t="str">
        <f>VLOOKUP(B50,Sheet2!A66:F183,6,FALSE)</f>
        <v>GIT</v>
      </c>
      <c r="BT50" s="288" t="str">
        <f>VLOOKUP(B50,Sheet2!A66:G183,7,FALSE)</f>
        <v>Fakultas Informatika</v>
      </c>
      <c r="BU50" s="288" t="str">
        <f>VLOOKUP(B50,Sheet2!A66:H183,8,FALSE)</f>
        <v>regitapermata@telkomuniversity.ac.id</v>
      </c>
      <c r="BV50" s="280">
        <f>COUNTIFS('Join TPA Dosen'!B:B,'Dosen sorted'!B66)</f>
        <v>1</v>
      </c>
      <c r="BW50" s="273" t="str">
        <f>DATEDIF(AM50,DATE(2026,1,1),"y")&amp;" tahun "&amp;DATEDIF(AM50,DATE(2026,1,1),"ym")&amp;" bulan "</f>
        <v xml:space="preserve">3 tahun 9 bulan </v>
      </c>
      <c r="BX50" s="280" t="str">
        <f>VLOOKUP($B50,Sheet1!$A:$G,2,FALSE)</f>
        <v>ITS</v>
      </c>
      <c r="BY50" s="280" t="str">
        <f>VLOOKUP($B50,Sheet1!$A:$G,3,FALSE)</f>
        <v>Matematika, Komputasi, dan Sains Data/Statistika</v>
      </c>
      <c r="BZ50" s="280" t="str">
        <f>VLOOKUP($B50,Sheet1!$A:$G,4,FALSE)</f>
        <v>ITS</v>
      </c>
      <c r="CA50" s="280" t="str">
        <f>VLOOKUP($B50,Sheet1!$A:$G,5,FALSE)</f>
        <v>Sains dan Analitika Data/Statistika</v>
      </c>
      <c r="CB50" s="280" t="str">
        <f>VLOOKUP($B50,Sheet1!$A:$G,6,FALSE)</f>
        <v>-</v>
      </c>
      <c r="CC50" s="280">
        <f>VLOOKUP($B50,Sheet1!$A:$G,7,FALSE)</f>
        <v>0</v>
      </c>
      <c r="CD50" s="280" t="s">
        <v>862</v>
      </c>
      <c r="CE50" s="280" t="s">
        <v>903</v>
      </c>
    </row>
    <row r="51" spans="1:84" ht="19.5" hidden="1">
      <c r="A51" s="281">
        <v>66</v>
      </c>
      <c r="B51" s="281" t="s">
        <v>220</v>
      </c>
      <c r="C51" s="281" t="s">
        <v>20</v>
      </c>
      <c r="D51" s="281" t="s">
        <v>201</v>
      </c>
      <c r="E51" s="281">
        <v>22900008</v>
      </c>
      <c r="F51" s="281" t="s">
        <v>1084</v>
      </c>
      <c r="G51" s="282" t="s">
        <v>221</v>
      </c>
      <c r="H51" s="291" t="s">
        <v>884</v>
      </c>
      <c r="I51" s="281" t="s">
        <v>30</v>
      </c>
      <c r="J51" s="281" t="s">
        <v>203</v>
      </c>
      <c r="K51" s="281" t="s">
        <v>846</v>
      </c>
      <c r="L51" s="281" t="s">
        <v>847</v>
      </c>
      <c r="M51" s="283" t="str">
        <f>IF(L51="NJAD","AA",IF(L51="AA","L",IF(L51="L","LK","GB")))</f>
        <v>L</v>
      </c>
      <c r="N51" s="282" t="s">
        <v>511</v>
      </c>
      <c r="O51" s="281">
        <v>150</v>
      </c>
      <c r="P51" s="281" t="s">
        <v>1085</v>
      </c>
      <c r="Q51" s="284">
        <v>45444</v>
      </c>
      <c r="R51" s="281" t="str">
        <f ca="1">DATEDIF(Q51,TODAY(), "Y") &amp; " Tahun " &amp; DATEDIF(Q51, TODAY(), "YM") &amp; " Bulan"</f>
        <v>1 Tahun 7 Bulan</v>
      </c>
      <c r="S51" s="281" t="s">
        <v>849</v>
      </c>
      <c r="T51" s="284">
        <v>45717</v>
      </c>
      <c r="U51" s="281" t="str">
        <f ca="1">DATEDIF(T51,TODAY(), "Y") &amp; " Tahun " &amp; DATEDIF(T51, TODAY(), "YM") &amp; " Bulan"</f>
        <v>0 Tahun 10 Bulan</v>
      </c>
      <c r="V51" s="281" t="s">
        <v>1034</v>
      </c>
      <c r="W51" s="281" t="s">
        <v>851</v>
      </c>
      <c r="X51" s="283" t="str">
        <f ca="1">IF(AND(OR(L51="AA",L51="L"),OR(S51="Penata Muda Tk. I Golongan III/b",S51="Penata Golongan III/c"),DATEDIF(Q51,TODAY(),"m")&gt;=23,ISBLANK(Z51),C51="Aktif"),"Nominasi Serdos","-")</f>
        <v>-</v>
      </c>
      <c r="Y51" s="281"/>
      <c r="Z51" s="282"/>
      <c r="AA51" s="281"/>
      <c r="AB51" s="281" t="s">
        <v>30</v>
      </c>
      <c r="AC51" s="282" t="s">
        <v>511</v>
      </c>
      <c r="AD51" s="281" t="s">
        <v>30</v>
      </c>
      <c r="AE51" s="281" t="s">
        <v>30</v>
      </c>
      <c r="AF51" s="281" t="s">
        <v>30</v>
      </c>
      <c r="AG51" s="281" t="s">
        <v>30</v>
      </c>
      <c r="AH51" s="281" t="s">
        <v>854</v>
      </c>
      <c r="AI51" s="281" t="s">
        <v>30</v>
      </c>
      <c r="AJ51" s="281" t="s">
        <v>30</v>
      </c>
      <c r="AK51" s="281" t="s">
        <v>30</v>
      </c>
      <c r="AM51" s="286">
        <v>44627</v>
      </c>
      <c r="AN51" s="287" t="str">
        <f ca="1">DATEDIF(AM51,TODAY(),"y")&amp;" tahun "&amp;DATEDIF(AM51,TODAY(),"ym")&amp;" bulan "</f>
        <v xml:space="preserve">3 tahun 10 bulan </v>
      </c>
      <c r="AO51" s="281" t="s">
        <v>858</v>
      </c>
      <c r="AP51" s="281" t="s">
        <v>1035</v>
      </c>
      <c r="AQ51" s="281" t="s">
        <v>1086</v>
      </c>
      <c r="AR51" s="281" t="s">
        <v>222</v>
      </c>
      <c r="AS51" s="281">
        <v>82143858460</v>
      </c>
      <c r="AT51" s="281" t="s">
        <v>223</v>
      </c>
      <c r="AU51" s="281" t="s">
        <v>30</v>
      </c>
      <c r="AV51" s="281"/>
      <c r="AW51" s="281" t="str">
        <f>VLOOKUP(B51,Sheet2!A67:I184,9,FALSE)</f>
        <v>Rifdatun Ni'mah, S.Si., M.Si.</v>
      </c>
      <c r="AX51" s="281" t="s">
        <v>902</v>
      </c>
      <c r="AY51" s="281" t="str">
        <f>VLOOKUP(B51,Sheet2!A67:C184,2,FALSE)</f>
        <v>Gresik</v>
      </c>
      <c r="AZ51" s="288">
        <f>VLOOKUP(B51,Sheet2!A67:C184,3,FALSE)</f>
        <v>33038</v>
      </c>
      <c r="BA51" s="281">
        <f ca="1">DATEDIF(AZ51, TODAY(),"y")</f>
        <v>35</v>
      </c>
      <c r="BB51" s="281"/>
      <c r="BC51" s="281"/>
      <c r="BD51" s="281"/>
      <c r="BE51" s="281"/>
      <c r="BF51" s="289"/>
      <c r="BG51" s="289"/>
      <c r="BH51" s="289"/>
      <c r="BI51" s="289"/>
      <c r="BJ51" s="289"/>
      <c r="BK51" s="289"/>
      <c r="BL51" s="288" t="str">
        <f>VLOOKUP(B51,Sheet2!A67:D184,4,FALSE)</f>
        <v>Dosen</v>
      </c>
      <c r="BM51" s="281"/>
      <c r="BN51" s="281"/>
      <c r="BO51" s="281"/>
      <c r="BP51" s="281"/>
      <c r="BQ51" s="281"/>
      <c r="BR51" s="288" t="str">
        <f>VLOOKUP(B51,Sheet2!A67:E184,5,FALSE)</f>
        <v>Data Science and Intelligent Systems (DSIS)</v>
      </c>
      <c r="BS51" s="288" t="str">
        <f>VLOOKUP(B51,Sheet2!A67:F184,6,FALSE)</f>
        <v>NIC</v>
      </c>
      <c r="BT51" s="288" t="str">
        <f>VLOOKUP(B51,Sheet2!A67:G184,7,FALSE)</f>
        <v>Fakultas Informatika</v>
      </c>
      <c r="BU51" s="288" t="str">
        <f>VLOOKUP(B51,Sheet2!A67:H184,8,FALSE)</f>
        <v>rifdatun@telkomuniversity.ac.id</v>
      </c>
      <c r="BV51" s="280">
        <f>COUNTIFS('Join TPA Dosen'!B:B,'Dosen sorted'!B67)</f>
        <v>1</v>
      </c>
      <c r="BW51" s="273" t="str">
        <f>DATEDIF(AM51,DATE(2026,1,1),"y")&amp;" tahun "&amp;DATEDIF(AM51,DATE(2026,1,1),"ym")&amp;" bulan "</f>
        <v xml:space="preserve">3 tahun 9 bulan </v>
      </c>
      <c r="BX51" s="280" t="str">
        <f>VLOOKUP($B51,Sheet1!$A:$G,2,FALSE)</f>
        <v>ITS</v>
      </c>
      <c r="BY51" s="280" t="str">
        <f>VLOOKUP($B51,Sheet1!$A:$G,3,FALSE)</f>
        <v>Matematika dan Ilmu Pengetahuan Alam/Statistika</v>
      </c>
      <c r="BZ51" s="280" t="str">
        <f>VLOOKUP($B51,Sheet1!$A:$G,4,FALSE)</f>
        <v>ITS</v>
      </c>
      <c r="CA51" s="280" t="str">
        <f>VLOOKUP($B51,Sheet1!$A:$G,5,FALSE)</f>
        <v>Matematika dan Ilmu Pengetahuan Alam/Statistika</v>
      </c>
      <c r="CB51" s="280" t="str">
        <f>VLOOKUP($B51,Sheet1!$A:$G,6,FALSE)</f>
        <v>-</v>
      </c>
      <c r="CC51" s="280">
        <f>VLOOKUP($B51,Sheet1!$A:$G,7,FALSE)</f>
        <v>0</v>
      </c>
      <c r="CD51" s="280" t="s">
        <v>882</v>
      </c>
      <c r="CE51" s="280" t="s">
        <v>903</v>
      </c>
    </row>
    <row r="52" spans="1:84" ht="19.5" hidden="1">
      <c r="A52" s="281">
        <v>70</v>
      </c>
      <c r="B52" s="281" t="s">
        <v>224</v>
      </c>
      <c r="C52" s="281" t="s">
        <v>20</v>
      </c>
      <c r="D52" s="281" t="s">
        <v>201</v>
      </c>
      <c r="E52" s="281">
        <v>22930003</v>
      </c>
      <c r="F52" s="281" t="s">
        <v>1093</v>
      </c>
      <c r="G52" s="282" t="s">
        <v>225</v>
      </c>
      <c r="H52" s="291" t="s">
        <v>884</v>
      </c>
      <c r="I52" s="281" t="s">
        <v>30</v>
      </c>
      <c r="J52" s="281" t="s">
        <v>304</v>
      </c>
      <c r="K52" s="281" t="s">
        <v>846</v>
      </c>
      <c r="L52" s="281" t="s">
        <v>847</v>
      </c>
      <c r="M52" s="283" t="str">
        <f>IF(L52="NJAD","AA",IF(L52="AA","L",IF(L52="L","LK","GB")))</f>
        <v>L</v>
      </c>
      <c r="N52" s="282" t="s">
        <v>511</v>
      </c>
      <c r="O52" s="281">
        <v>150</v>
      </c>
      <c r="P52" s="281" t="s">
        <v>1094</v>
      </c>
      <c r="Q52" s="284">
        <v>45444</v>
      </c>
      <c r="R52" s="281" t="str">
        <f ca="1">DATEDIF(Q52,TODAY(), "Y") &amp; " Tahun " &amp; DATEDIF(Q52, TODAY(), "YM") &amp; " Bulan"</f>
        <v>1 Tahun 7 Bulan</v>
      </c>
      <c r="S52" s="281" t="s">
        <v>849</v>
      </c>
      <c r="T52" s="285">
        <v>45717</v>
      </c>
      <c r="U52" s="281" t="str">
        <f ca="1">DATEDIF(T52,TODAY(), "Y") &amp; " Tahun " &amp; DATEDIF(T52, TODAY(), "YM") &amp; " Bulan"</f>
        <v>0 Tahun 10 Bulan</v>
      </c>
      <c r="V52" s="281" t="s">
        <v>933</v>
      </c>
      <c r="W52" s="281" t="s">
        <v>851</v>
      </c>
      <c r="X52" s="283" t="str">
        <f ca="1">IF(AND(OR(L52="AA",L52="L"),OR(S52="Penata Muda Tk. I Golongan III/b",S52="Penata Golongan III/c"),DATEDIF(Q52,TODAY(),"m")&gt;=23,ISBLANK(Z52),C52="Aktif"),"Nominasi Serdos","-")</f>
        <v>-</v>
      </c>
      <c r="Y52" s="281"/>
      <c r="Z52" s="282"/>
      <c r="AA52" s="281"/>
      <c r="AB52" s="281" t="s">
        <v>30</v>
      </c>
      <c r="AC52" s="282" t="s">
        <v>511</v>
      </c>
      <c r="AD52" s="281" t="s">
        <v>30</v>
      </c>
      <c r="AE52" s="281" t="s">
        <v>30</v>
      </c>
      <c r="AF52" s="281" t="s">
        <v>30</v>
      </c>
      <c r="AG52" s="281" t="s">
        <v>30</v>
      </c>
      <c r="AH52" s="281" t="s">
        <v>854</v>
      </c>
      <c r="AI52" s="281" t="s">
        <v>30</v>
      </c>
      <c r="AJ52" s="281" t="s">
        <v>30</v>
      </c>
      <c r="AK52" s="281" t="s">
        <v>30</v>
      </c>
      <c r="AM52" s="286">
        <v>44627</v>
      </c>
      <c r="AN52" s="287" t="str">
        <f ca="1">DATEDIF(AM52,TODAY(),"y")&amp;" tahun "&amp;DATEDIF(AM52,TODAY(),"ym")&amp;" bulan "</f>
        <v xml:space="preserve">3 tahun 10 bulan </v>
      </c>
      <c r="AO52" s="281" t="s">
        <v>858</v>
      </c>
      <c r="AP52" s="281" t="s">
        <v>1035</v>
      </c>
      <c r="AQ52" s="281" t="s">
        <v>1095</v>
      </c>
      <c r="AR52" s="281" t="s">
        <v>227</v>
      </c>
      <c r="AS52" s="281">
        <v>81217497767</v>
      </c>
      <c r="AT52" s="281" t="s">
        <v>228</v>
      </c>
      <c r="AU52" s="281" t="s">
        <v>30</v>
      </c>
      <c r="AV52" s="281"/>
      <c r="AW52" s="281" t="str">
        <f>VLOOKUP(B52,Sheet2!A71:I188,9,FALSE)</f>
        <v>Sri Hidayati, S.Si., M.Stat.</v>
      </c>
      <c r="AX52" s="281" t="s">
        <v>902</v>
      </c>
      <c r="AY52" s="281" t="str">
        <f>VLOOKUP(B52,Sheet2!A71:C188,2,FALSE)</f>
        <v>Banyuwangi</v>
      </c>
      <c r="AZ52" s="288">
        <f>VLOOKUP(B52,Sheet2!A71:C188,3,FALSE)</f>
        <v>34296</v>
      </c>
      <c r="BA52" s="281">
        <f ca="1">DATEDIF(AZ52, TODAY(),"y")</f>
        <v>32</v>
      </c>
      <c r="BB52" s="281"/>
      <c r="BC52" s="281"/>
      <c r="BD52" s="281"/>
      <c r="BE52" s="281"/>
      <c r="BF52" s="289"/>
      <c r="BG52" s="289"/>
      <c r="BH52" s="289"/>
      <c r="BI52" s="304"/>
      <c r="BJ52" s="304"/>
      <c r="BK52" s="304"/>
      <c r="BL52" s="288" t="str">
        <f>VLOOKUP(B52,Sheet2!A71:D188,4,FALSE)</f>
        <v>Dosen</v>
      </c>
      <c r="BM52" s="281"/>
      <c r="BN52" s="286"/>
      <c r="BO52" s="281"/>
      <c r="BP52" s="281"/>
      <c r="BQ52" s="281"/>
      <c r="BR52" s="288" t="str">
        <f>VLOOKUP(B52,Sheet2!A71:E188,5,FALSE)</f>
        <v>Cybernetics</v>
      </c>
      <c r="BS52" s="288" t="str">
        <f>VLOOKUP(B52,Sheet2!A71:F188,6,FALSE)</f>
        <v>SRX</v>
      </c>
      <c r="BT52" s="288" t="s">
        <v>1096</v>
      </c>
      <c r="BU52" s="288" t="str">
        <f>VLOOKUP(B52,Sheet2!A71:H188,8,FALSE)</f>
        <v>srihidayatisi@telkomuniversity.ac.id</v>
      </c>
      <c r="BV52" s="280">
        <f>COUNTIFS('Join TPA Dosen'!B:B,'Dosen sorted'!B71)</f>
        <v>0</v>
      </c>
      <c r="BW52" s="273" t="str">
        <f>DATEDIF(AM52,DATE(2026,1,1),"y")&amp;" tahun "&amp;DATEDIF(AM52,DATE(2026,1,1),"ym")&amp;" bulan "</f>
        <v xml:space="preserve">3 tahun 9 bulan </v>
      </c>
      <c r="BX52" s="280" t="str">
        <f>VLOOKUP($B52,Sheet1!$A:$G,2,FALSE)</f>
        <v>ITB</v>
      </c>
      <c r="BY52" s="280" t="str">
        <f>VLOOKUP($B52,Sheet1!$A:$G,3,FALSE)</f>
        <v>Matematika</v>
      </c>
      <c r="BZ52" s="280" t="str">
        <f>VLOOKUP($B52,Sheet1!$A:$G,4,FALSE)</f>
        <v>ITS</v>
      </c>
      <c r="CA52" s="280" t="str">
        <f>VLOOKUP($B52,Sheet1!$A:$G,5,FALSE)</f>
        <v>Statistika</v>
      </c>
      <c r="CB52" s="280" t="str">
        <f>VLOOKUP($B52,Sheet1!$A:$G,6,FALSE)</f>
        <v>-</v>
      </c>
      <c r="CC52" s="280">
        <f>VLOOKUP($B52,Sheet1!$A:$G,7,FALSE)</f>
        <v>0</v>
      </c>
      <c r="CD52" s="280" t="s">
        <v>882</v>
      </c>
      <c r="CE52" s="280" t="s">
        <v>903</v>
      </c>
    </row>
    <row r="53" spans="1:84" ht="19.5" hidden="1">
      <c r="A53" s="281">
        <v>122</v>
      </c>
      <c r="B53" s="281" t="s">
        <v>229</v>
      </c>
      <c r="C53" s="281" t="s">
        <v>20</v>
      </c>
      <c r="D53" s="281" t="s">
        <v>201</v>
      </c>
      <c r="E53" s="281">
        <v>25990003</v>
      </c>
      <c r="F53" s="291"/>
      <c r="G53" s="291" t="s">
        <v>230</v>
      </c>
      <c r="H53" s="291" t="s">
        <v>884</v>
      </c>
      <c r="I53" s="281"/>
      <c r="J53" s="281" t="s">
        <v>231</v>
      </c>
      <c r="K53" s="281" t="s">
        <v>917</v>
      </c>
      <c r="L53" s="281" t="s">
        <v>918</v>
      </c>
      <c r="M53" s="283" t="str">
        <f>IF(L53="NJAD","AA",IF(L53="AA","L",IF(L53="L","LK","GB")))</f>
        <v>AA</v>
      </c>
      <c r="N53" s="282" t="s">
        <v>511</v>
      </c>
      <c r="O53" s="281">
        <v>0</v>
      </c>
      <c r="P53" s="281"/>
      <c r="Q53" s="284">
        <v>45689</v>
      </c>
      <c r="R53" s="281" t="str">
        <f ca="1">DATEDIF(Q53,TODAY(), "Y") &amp; " Tahun " &amp; DATEDIF(Q53, TODAY(), "YM") &amp; " Bulan"</f>
        <v>0 Tahun 11 Bulan</v>
      </c>
      <c r="S53" s="282" t="s">
        <v>511</v>
      </c>
      <c r="T53" s="282" t="s">
        <v>511</v>
      </c>
      <c r="U53" s="281" t="e">
        <f ca="1">DATEDIF(T53,TODAY(), "Y") &amp; " Tahun " &amp; DATEDIF(T53, TODAY(), "YM") &amp; " Bulan"</f>
        <v>#VALUE!</v>
      </c>
      <c r="V53" s="281" t="s">
        <v>1034</v>
      </c>
      <c r="W53" s="281" t="s">
        <v>851</v>
      </c>
      <c r="X53" s="283" t="str">
        <f ca="1">IF(AND(OR(L53="AA",L53="L"),OR(S53="Penata Muda Tk. I Golongan III/b",S53="Penata Golongan III/c"),DATEDIF(Q53,TODAY(),"m")&gt;=23,ISBLANK(Z53),C53="Aktif"),"Nominasi Serdos","-")</f>
        <v>-</v>
      </c>
      <c r="Y53" s="281"/>
      <c r="Z53" s="295" t="s">
        <v>30</v>
      </c>
      <c r="AA53" s="295" t="s">
        <v>30</v>
      </c>
      <c r="AB53" s="295" t="s">
        <v>30</v>
      </c>
      <c r="AC53" s="295" t="s">
        <v>30</v>
      </c>
      <c r="AD53" s="281" t="s">
        <v>30</v>
      </c>
      <c r="AE53" s="281" t="s">
        <v>30</v>
      </c>
      <c r="AF53" s="281" t="s">
        <v>30</v>
      </c>
      <c r="AG53" s="281" t="s">
        <v>30</v>
      </c>
      <c r="AH53" s="281" t="s">
        <v>854</v>
      </c>
      <c r="AI53" s="281" t="s">
        <v>855</v>
      </c>
      <c r="AJ53" s="281" t="s">
        <v>897</v>
      </c>
      <c r="AK53" s="281" t="s">
        <v>898</v>
      </c>
      <c r="AL53" s="280" t="s">
        <v>899</v>
      </c>
      <c r="AM53" s="286">
        <v>45658</v>
      </c>
      <c r="AN53" s="287" t="str">
        <f ca="1">DATEDIF(AM53,TODAY(),"y")&amp;" tahun "&amp;DATEDIF(AM53,TODAY(),"ym")&amp;" bulan "</f>
        <v xml:space="preserve">1 tahun 0 bulan </v>
      </c>
      <c r="AO53" s="281" t="s">
        <v>858</v>
      </c>
      <c r="AP53" s="281" t="s">
        <v>1035</v>
      </c>
      <c r="AQ53" s="281" t="s">
        <v>1310</v>
      </c>
      <c r="AR53" s="281" t="s">
        <v>232</v>
      </c>
      <c r="AS53" s="281">
        <v>82146235254</v>
      </c>
      <c r="AT53" s="281" t="s">
        <v>233</v>
      </c>
      <c r="AU53" s="281" t="s">
        <v>30</v>
      </c>
      <c r="AV53" s="281"/>
      <c r="AW53" s="281" t="s">
        <v>1311</v>
      </c>
      <c r="AX53" s="281" t="s">
        <v>861</v>
      </c>
      <c r="AY53" s="281" t="s">
        <v>1312</v>
      </c>
      <c r="AZ53" s="288">
        <v>36408</v>
      </c>
      <c r="BA53" s="281">
        <f ca="1">DATEDIF(AZ53, TODAY(),"y")</f>
        <v>26</v>
      </c>
      <c r="BB53" s="281"/>
      <c r="BC53" s="281"/>
      <c r="BD53" s="281"/>
      <c r="BE53" s="295"/>
      <c r="BF53" s="289"/>
      <c r="BG53" s="289"/>
      <c r="BH53" s="289"/>
      <c r="BI53" s="289"/>
      <c r="BJ53" s="289"/>
      <c r="BK53" s="289"/>
      <c r="BL53" s="288" t="s">
        <v>21</v>
      </c>
      <c r="BM53" s="281"/>
      <c r="BN53" s="286"/>
      <c r="BO53" s="281"/>
      <c r="BP53" s="281"/>
      <c r="BQ53" s="281"/>
      <c r="BR53" s="288" t="e">
        <f>VLOOKUP(B53,Sheet2!A123:E240,5,FALSE)</f>
        <v>#N/A</v>
      </c>
      <c r="BS53" s="288" t="s">
        <v>1310</v>
      </c>
      <c r="BT53" s="288" t="s">
        <v>1096</v>
      </c>
      <c r="BU53" s="288" t="s">
        <v>1313</v>
      </c>
      <c r="BV53" s="280">
        <f>COUNTIFS('Join TPA Dosen'!B:B,'Dosen sorted'!B123)</f>
        <v>1</v>
      </c>
      <c r="BW53" s="273" t="str">
        <f>DATEDIF(AM53,DATE(2026,1,1),"y")&amp;" tahun "&amp;DATEDIF(AM53,DATE(2026,1,1),"ym")&amp;" bulan "</f>
        <v xml:space="preserve">1 tahun 0 bulan </v>
      </c>
      <c r="BX53" s="280" t="e">
        <f>VLOOKUP($B53,Sheet1!$A:$G,2,FALSE)</f>
        <v>#N/A</v>
      </c>
      <c r="BY53" s="280" t="e">
        <f>VLOOKUP($B53,Sheet1!$A:$G,3,FALSE)</f>
        <v>#N/A</v>
      </c>
      <c r="BZ53" s="280" t="e">
        <f>VLOOKUP($B53,Sheet1!$A:$G,4,FALSE)</f>
        <v>#N/A</v>
      </c>
      <c r="CA53" s="280" t="e">
        <f>VLOOKUP($B53,Sheet1!$A:$G,5,FALSE)</f>
        <v>#N/A</v>
      </c>
      <c r="CB53" s="280" t="e">
        <f>VLOOKUP($B53,Sheet1!$A:$G,6,FALSE)</f>
        <v>#N/A</v>
      </c>
      <c r="CC53" s="280" t="e">
        <f>VLOOKUP($B53,Sheet1!$A:$G,7,FALSE)</f>
        <v>#N/A</v>
      </c>
      <c r="CD53" s="280" t="s">
        <v>862</v>
      </c>
      <c r="CE53" s="280" t="s">
        <v>903</v>
      </c>
    </row>
    <row r="54" spans="1:84" ht="19.5" hidden="1">
      <c r="A54" s="281">
        <v>79</v>
      </c>
      <c r="B54" s="281" t="s">
        <v>282</v>
      </c>
      <c r="C54" s="281" t="s">
        <v>20</v>
      </c>
      <c r="D54" s="281" t="s">
        <v>235</v>
      </c>
      <c r="E54" s="281">
        <v>22940040</v>
      </c>
      <c r="F54" s="281" t="s">
        <v>1139</v>
      </c>
      <c r="G54" s="282" t="s">
        <v>283</v>
      </c>
      <c r="H54" s="291" t="s">
        <v>884</v>
      </c>
      <c r="I54" s="281" t="s">
        <v>30</v>
      </c>
      <c r="J54" s="281" t="s">
        <v>57</v>
      </c>
      <c r="K54" s="281" t="s">
        <v>846</v>
      </c>
      <c r="L54" s="281" t="s">
        <v>847</v>
      </c>
      <c r="M54" s="283" t="str">
        <f>IF(L54="NJAD","AA",IF(L54="AA","L",IF(L54="L","LK","GB")))</f>
        <v>L</v>
      </c>
      <c r="N54" s="281" t="s">
        <v>511</v>
      </c>
      <c r="O54" s="281">
        <v>150</v>
      </c>
      <c r="P54" s="281" t="s">
        <v>30</v>
      </c>
      <c r="Q54" s="284">
        <v>45597</v>
      </c>
      <c r="R54" s="281" t="str">
        <f ca="1">DATEDIF(Q54,TODAY(), "Y") &amp; " Tahun " &amp; DATEDIF(Q54, TODAY(), "YM") &amp; " Bulan"</f>
        <v>1 Tahun 2 Bulan</v>
      </c>
      <c r="S54" s="281" t="s">
        <v>849</v>
      </c>
      <c r="T54" s="285">
        <v>45717</v>
      </c>
      <c r="U54" s="281" t="str">
        <f ca="1">DATEDIF(T54,TODAY(), "Y") &amp; " Tahun " &amp; DATEDIF(T54, TODAY(), "YM") &amp; " Bulan"</f>
        <v>0 Tahun 10 Bulan</v>
      </c>
      <c r="V54" s="281" t="s">
        <v>933</v>
      </c>
      <c r="W54" s="281" t="s">
        <v>851</v>
      </c>
      <c r="X54" s="283" t="str">
        <f ca="1">IF(AND(OR(L54="AA",L54="L"),OR(S54="Penata Muda Tk. I Golongan III/b",S54="Penata Golongan III/c"),DATEDIF(Q54,TODAY(),"m")&gt;=23,ISBLANK(Z54),C54="Aktif"),"Nominasi Serdos","-")</f>
        <v>-</v>
      </c>
      <c r="Y54" s="281"/>
      <c r="Z54" s="282"/>
      <c r="AA54" s="295"/>
      <c r="AB54" s="281" t="s">
        <v>30</v>
      </c>
      <c r="AC54" s="282" t="s">
        <v>511</v>
      </c>
      <c r="AD54" s="281" t="s">
        <v>30</v>
      </c>
      <c r="AE54" s="281" t="s">
        <v>30</v>
      </c>
      <c r="AF54" s="281" t="s">
        <v>30</v>
      </c>
      <c r="AG54" s="281" t="s">
        <v>30</v>
      </c>
      <c r="AH54" s="281" t="s">
        <v>854</v>
      </c>
      <c r="AI54" s="281" t="s">
        <v>30</v>
      </c>
      <c r="AJ54" s="281" t="s">
        <v>30</v>
      </c>
      <c r="AK54" s="281" t="s">
        <v>30</v>
      </c>
      <c r="AM54" s="286">
        <v>44832</v>
      </c>
      <c r="AN54" s="287" t="str">
        <f ca="1">DATEDIF(AM54,TODAY(),"y")&amp;" tahun "&amp;DATEDIF(AM54,TODAY(),"ym")&amp;" bulan "</f>
        <v xml:space="preserve">3 tahun 3 bulan </v>
      </c>
      <c r="AO54" s="281" t="s">
        <v>858</v>
      </c>
      <c r="AP54" s="281" t="s">
        <v>934</v>
      </c>
      <c r="AQ54" s="281" t="s">
        <v>1140</v>
      </c>
      <c r="AR54" s="281" t="s">
        <v>284</v>
      </c>
      <c r="AS54" s="281">
        <v>82229846221</v>
      </c>
      <c r="AT54" s="281" t="s">
        <v>285</v>
      </c>
      <c r="AU54" s="281" t="s">
        <v>30</v>
      </c>
      <c r="AV54" s="281"/>
      <c r="AW54" s="281" t="str">
        <f>VLOOKUP(B54,Sheet2!A80:I197,9,FALSE)</f>
        <v>Adzanil Rachmadhi Putra, S.Kom., M.Kom.</v>
      </c>
      <c r="AX54" s="281" t="s">
        <v>861</v>
      </c>
      <c r="AY54" s="281" t="str">
        <f>VLOOKUP(B54,Sheet2!A80:C197,2,FALSE)</f>
        <v>Malang</v>
      </c>
      <c r="AZ54" s="288">
        <f>VLOOKUP(B54,Sheet2!A80:C197,3,FALSE)</f>
        <v>34556</v>
      </c>
      <c r="BA54" s="281">
        <f ca="1">DATEDIF(AZ54, TODAY(),"y")</f>
        <v>31</v>
      </c>
      <c r="BB54" s="281"/>
      <c r="BC54" s="281"/>
      <c r="BD54" s="281"/>
      <c r="BE54" s="281"/>
      <c r="BF54" s="289"/>
      <c r="BG54" s="289"/>
      <c r="BH54" s="289"/>
      <c r="BI54" s="289"/>
      <c r="BJ54" s="289"/>
      <c r="BK54" s="289"/>
      <c r="BL54" s="288" t="str">
        <f>VLOOKUP(B54,Sheet2!A80:D197,4,FALSE)</f>
        <v>Dosen</v>
      </c>
      <c r="BM54" s="281"/>
      <c r="BN54" s="281"/>
      <c r="BO54" s="281"/>
      <c r="BP54" s="281"/>
      <c r="BQ54" s="281"/>
      <c r="BR54" s="288" t="str">
        <f>VLOOKUP(B54,Sheet2!A80:E197,5,FALSE)</f>
        <v>Cybernetics</v>
      </c>
      <c r="BS54" s="288" t="str">
        <f>VLOOKUP(B54,Sheet2!A80:F197,6,FALSE)</f>
        <v>ARX</v>
      </c>
      <c r="BT54" s="288" t="str">
        <f>VLOOKUP(B54,Sheet2!A80:G197,7,FALSE)</f>
        <v>Fakultas Rekayasa Industri</v>
      </c>
      <c r="BU54" s="288" t="str">
        <f>VLOOKUP(B54,Sheet2!A80:H197,8,FALSE)</f>
        <v>adzrachmadhip@telkomuniversity.ac.id</v>
      </c>
      <c r="BV54" s="280">
        <f>COUNTIFS('Join TPA Dosen'!B:B,'Dosen sorted'!B80)</f>
        <v>1</v>
      </c>
      <c r="BW54" s="273" t="str">
        <f>DATEDIF(AM54,DATE(2026,1,1),"y")&amp;" tahun "&amp;DATEDIF(AM54,DATE(2026,1,1),"ym")&amp;" bulan "</f>
        <v xml:space="preserve">3 tahun 3 bulan </v>
      </c>
      <c r="BX54" s="280" t="str">
        <f>VLOOKUP($B54,Sheet1!$A:$G,2,FALSE)</f>
        <v>UB</v>
      </c>
      <c r="BY54" s="280" t="str">
        <f>VLOOKUP($B54,Sheet1!$A:$G,3,FALSE)</f>
        <v>Sistem Informasi</v>
      </c>
      <c r="BZ54" s="280" t="str">
        <f>VLOOKUP($B54,Sheet1!$A:$G,4,FALSE)</f>
        <v>UB</v>
      </c>
      <c r="CA54" s="280" t="str">
        <f>VLOOKUP($B54,Sheet1!$A:$G,5,FALSE)</f>
        <v>Ilmu Komputer</v>
      </c>
      <c r="CB54" s="280" t="str">
        <f>VLOOKUP($B54,Sheet1!$A:$G,6,FALSE)</f>
        <v>-</v>
      </c>
      <c r="CC54" s="280">
        <f>VLOOKUP($B54,Sheet1!$A:$G,7,FALSE)</f>
        <v>0</v>
      </c>
      <c r="CD54" s="280" t="s">
        <v>862</v>
      </c>
      <c r="CE54" s="280" t="s">
        <v>903</v>
      </c>
    </row>
    <row r="55" spans="1:84" ht="19.5" hidden="1">
      <c r="A55" s="281">
        <v>80</v>
      </c>
      <c r="B55" s="281" t="s">
        <v>286</v>
      </c>
      <c r="C55" s="281" t="s">
        <v>46</v>
      </c>
      <c r="D55" s="281" t="s">
        <v>235</v>
      </c>
      <c r="E55" s="281">
        <v>22930047</v>
      </c>
      <c r="F55" s="281" t="s">
        <v>1146</v>
      </c>
      <c r="G55" s="282" t="s">
        <v>287</v>
      </c>
      <c r="H55" s="291" t="s">
        <v>884</v>
      </c>
      <c r="I55" s="281" t="s">
        <v>30</v>
      </c>
      <c r="J55" s="281" t="s">
        <v>57</v>
      </c>
      <c r="K55" s="281" t="s">
        <v>917</v>
      </c>
      <c r="L55" s="281" t="s">
        <v>918</v>
      </c>
      <c r="M55" s="283" t="str">
        <f>IF(L55="NJAD","AA",IF(L55="AA","L",IF(L55="L","LK","GB")))</f>
        <v>AA</v>
      </c>
      <c r="N55" s="282" t="s">
        <v>511</v>
      </c>
      <c r="O55" s="281">
        <v>0</v>
      </c>
      <c r="P55" s="281" t="s">
        <v>30</v>
      </c>
      <c r="Q55" s="284">
        <v>44835</v>
      </c>
      <c r="R55" s="281" t="str">
        <f ca="1">DATEDIF(Q55,TODAY(), "Y") &amp; " Tahun " &amp; DATEDIF(Q55, TODAY(), "YM") &amp; " Bulan"</f>
        <v>3 Tahun 3 Bulan</v>
      </c>
      <c r="S55" s="282" t="s">
        <v>511</v>
      </c>
      <c r="T55" s="282" t="s">
        <v>511</v>
      </c>
      <c r="U55" s="281" t="e">
        <f ca="1">DATEDIF(T55,TODAY(), "Y") &amp; " Tahun " &amp; DATEDIF(T55, TODAY(), "YM") &amp; " Bulan"</f>
        <v>#VALUE!</v>
      </c>
      <c r="V55" s="281" t="s">
        <v>933</v>
      </c>
      <c r="W55" s="281" t="s">
        <v>851</v>
      </c>
      <c r="X55" s="283" t="str">
        <f ca="1">IF(AND(OR(L55="AA",L55="L"),OR(S55="Penata Muda Tk. I Golongan III/b",S55="Penata Golongan III/c"),DATEDIF(Q55,TODAY(),"m")&gt;=23,ISBLANK(Z55),C55="Aktif"),"Nominasi Serdos","-")</f>
        <v>-</v>
      </c>
      <c r="Y55" s="281"/>
      <c r="Z55" s="282"/>
      <c r="AA55" s="295"/>
      <c r="AB55" s="281" t="s">
        <v>30</v>
      </c>
      <c r="AC55" s="282" t="s">
        <v>511</v>
      </c>
      <c r="AD55" s="281" t="s">
        <v>30</v>
      </c>
      <c r="AE55" s="281" t="s">
        <v>30</v>
      </c>
      <c r="AF55" s="281" t="s">
        <v>30</v>
      </c>
      <c r="AG55" s="281" t="s">
        <v>30</v>
      </c>
      <c r="AH55" s="281" t="s">
        <v>854</v>
      </c>
      <c r="AI55" s="289" t="s">
        <v>30</v>
      </c>
      <c r="AJ55" s="281" t="s">
        <v>30</v>
      </c>
      <c r="AK55" s="281" t="s">
        <v>30</v>
      </c>
      <c r="AM55" s="286">
        <v>44832</v>
      </c>
      <c r="AN55" s="287" t="str">
        <f ca="1">DATEDIF(AM55,TODAY(),"y")&amp;" tahun "&amp;DATEDIF(AM55,TODAY(),"ym")&amp;" bulan "</f>
        <v xml:space="preserve">3 tahun 3 bulan </v>
      </c>
      <c r="AO55" s="281" t="s">
        <v>858</v>
      </c>
      <c r="AP55" s="281" t="s">
        <v>934</v>
      </c>
      <c r="AQ55" s="281" t="s">
        <v>1147</v>
      </c>
      <c r="AR55" s="281" t="s">
        <v>288</v>
      </c>
      <c r="AS55" s="281">
        <v>81321003564</v>
      </c>
      <c r="AT55" s="281" t="s">
        <v>289</v>
      </c>
      <c r="AU55" s="281" t="s">
        <v>30</v>
      </c>
      <c r="AV55" s="281"/>
      <c r="AW55" s="281" t="str">
        <f>VLOOKUP(B55,Sheet2!A81:I198,9,FALSE)</f>
        <v>Affifiana Prisyanti, S.Kom., M.Kom.</v>
      </c>
      <c r="AX55" s="281" t="s">
        <v>902</v>
      </c>
      <c r="AY55" s="281" t="str">
        <f>VLOOKUP(B55,Sheet2!A81:C198,2,FALSE)</f>
        <v>Jember</v>
      </c>
      <c r="AZ55" s="288">
        <f>VLOOKUP(B55,Sheet2!A81:C198,3,FALSE)</f>
        <v>34188</v>
      </c>
      <c r="BA55" s="281">
        <f ca="1">DATEDIF(AZ55, TODAY(),"y")</f>
        <v>32</v>
      </c>
      <c r="BB55" s="281"/>
      <c r="BC55" s="281"/>
      <c r="BD55" s="281"/>
      <c r="BE55" s="281"/>
      <c r="BF55" s="289"/>
      <c r="BG55" s="289"/>
      <c r="BH55" s="289"/>
      <c r="BI55" s="289"/>
      <c r="BJ55" s="289"/>
      <c r="BK55" s="289"/>
      <c r="BL55" s="288" t="str">
        <f>VLOOKUP(B55,Sheet2!A81:D198,4,FALSE)</f>
        <v>Dosen</v>
      </c>
      <c r="BM55" s="281"/>
      <c r="BN55" s="281"/>
      <c r="BO55" s="281"/>
      <c r="BP55" s="281"/>
      <c r="BQ55" s="281"/>
      <c r="BR55" s="288" t="str">
        <f>VLOOKUP(B55,Sheet2!A81:E198,5,FALSE)</f>
        <v>Enterprise and Industrial System (EINS)</v>
      </c>
      <c r="BS55" s="288" t="str">
        <f>VLOOKUP(B55,Sheet2!A81:F198,6,FALSE)</f>
        <v>APX</v>
      </c>
      <c r="BT55" s="288" t="str">
        <f>VLOOKUP(B55,Sheet2!A81:G198,7,FALSE)</f>
        <v>Fakultas Rekayasa Industri</v>
      </c>
      <c r="BU55" s="288" t="str">
        <f>VLOOKUP(B55,Sheet2!A81:H198,8,FALSE)</f>
        <v>affifiana@telkomuniversity.ac.id</v>
      </c>
      <c r="BV55" s="280">
        <f>COUNTIFS('Join TPA Dosen'!B:B,'Dosen sorted'!B81)</f>
        <v>1</v>
      </c>
      <c r="BW55" s="273" t="str">
        <f>DATEDIF(AM55,DATE(2026,1,1),"y")&amp;" tahun "&amp;DATEDIF(AM55,DATE(2026,1,1),"ym")&amp;" bulan "</f>
        <v xml:space="preserve">3 tahun 3 bulan </v>
      </c>
      <c r="BX55" s="280" t="str">
        <f>VLOOKUP($B55,Sheet1!$A:$G,2,FALSE)</f>
        <v>Tel-U</v>
      </c>
      <c r="BY55" s="280" t="str">
        <f>VLOOKUP($B55,Sheet1!$A:$G,3,FALSE)</f>
        <v>Sistem Informasi</v>
      </c>
      <c r="BZ55" s="280" t="str">
        <f>VLOOKUP($B55,Sheet1!$A:$G,4,FALSE)</f>
        <v>UNDIP</v>
      </c>
      <c r="CA55" s="280" t="str">
        <f>VLOOKUP($B55,Sheet1!$A:$G,5,FALSE)</f>
        <v>Sistem Informasi</v>
      </c>
      <c r="CB55" s="280" t="str">
        <f>VLOOKUP($B55,Sheet1!$A:$G,6,FALSE)</f>
        <v>-</v>
      </c>
      <c r="CC55" s="280">
        <f>VLOOKUP($B55,Sheet1!$A:$G,7,FALSE)</f>
        <v>0</v>
      </c>
      <c r="CD55" s="280" t="e">
        <v>#N/A</v>
      </c>
      <c r="CE55" s="280" t="e">
        <v>#N/A</v>
      </c>
    </row>
    <row r="56" spans="1:84" ht="19.5" hidden="1">
      <c r="A56" s="281">
        <v>41</v>
      </c>
      <c r="B56" s="281" t="s">
        <v>255</v>
      </c>
      <c r="C56" s="281" t="s">
        <v>20</v>
      </c>
      <c r="D56" s="281" t="s">
        <v>235</v>
      </c>
      <c r="E56" s="281">
        <v>19750005</v>
      </c>
      <c r="F56" s="341" t="s">
        <v>988</v>
      </c>
      <c r="G56" s="294" t="s">
        <v>256</v>
      </c>
      <c r="H56" s="281" t="s">
        <v>989</v>
      </c>
      <c r="I56" s="281" t="s">
        <v>30</v>
      </c>
      <c r="J56" s="281" t="s">
        <v>257</v>
      </c>
      <c r="K56" s="281" t="s">
        <v>874</v>
      </c>
      <c r="L56" s="281" t="s">
        <v>775</v>
      </c>
      <c r="M56" s="283" t="str">
        <f>IF(L56="NJAD","AA",IF(L56="AA","L",IF(L56="L","LK","GB")))</f>
        <v>LK</v>
      </c>
      <c r="N56" s="282" t="s">
        <v>511</v>
      </c>
      <c r="O56" s="281">
        <v>200</v>
      </c>
      <c r="P56" s="281" t="s">
        <v>990</v>
      </c>
      <c r="Q56" s="284">
        <v>45444</v>
      </c>
      <c r="R56" s="281" t="str">
        <f ca="1">DATEDIF(Q56,TODAY(), "Y") &amp; " Tahun " &amp; DATEDIF(Q56, TODAY(), "YM") &amp; " Bulan"</f>
        <v>1 Tahun 7 Bulan</v>
      </c>
      <c r="S56" s="281" t="s">
        <v>876</v>
      </c>
      <c r="T56" s="285">
        <v>45748</v>
      </c>
      <c r="U56" s="281" t="str">
        <f ca="1">DATEDIF(T56,TODAY(), "Y") &amp; " Tahun " &amp; DATEDIF(T56, TODAY(), "YM") &amp; " Bulan"</f>
        <v>0 Tahun 9 Bulan</v>
      </c>
      <c r="V56" s="281" t="s">
        <v>991</v>
      </c>
      <c r="W56" s="281" t="s">
        <v>851</v>
      </c>
      <c r="X56" s="283" t="str">
        <f ca="1">IF(AND(OR(L56="AA",L56="L"),OR(S56="Penata Muda Tk. I Golongan III/b",S56="Penata Golongan III/c"),DATEDIF(Q56,TODAY(),"m")&gt;=23,ISBLANK(Z56),C56="Aktif"),"Nominasi Serdos","-")</f>
        <v>-</v>
      </c>
      <c r="Y56" s="281"/>
      <c r="Z56" s="282"/>
      <c r="AA56" s="281"/>
      <c r="AB56" s="281" t="s">
        <v>30</v>
      </c>
      <c r="AC56" s="282" t="s">
        <v>511</v>
      </c>
      <c r="AD56" s="281" t="s">
        <v>30</v>
      </c>
      <c r="AE56" s="281" t="s">
        <v>30</v>
      </c>
      <c r="AF56" s="281" t="s">
        <v>30</v>
      </c>
      <c r="AG56" s="281" t="s">
        <v>30</v>
      </c>
      <c r="AH56" s="281" t="s">
        <v>879</v>
      </c>
      <c r="AI56" s="281" t="s">
        <v>30</v>
      </c>
      <c r="AJ56" s="281" t="s">
        <v>30</v>
      </c>
      <c r="AK56" s="281" t="s">
        <v>30</v>
      </c>
      <c r="AM56" s="286">
        <v>43770</v>
      </c>
      <c r="AN56" s="287" t="str">
        <f ca="1">DATEDIF(AM56,TODAY(),"y")&amp;" tahun "&amp;DATEDIF(AM56,TODAY(),"ym")&amp;" bulan "</f>
        <v xml:space="preserve">6 tahun 2 bulan </v>
      </c>
      <c r="AO56" s="281" t="s">
        <v>858</v>
      </c>
      <c r="AP56" s="281" t="s">
        <v>934</v>
      </c>
      <c r="AQ56" s="281" t="s">
        <v>992</v>
      </c>
      <c r="AR56" s="305" t="s">
        <v>258</v>
      </c>
      <c r="AS56" s="281">
        <v>8127041015</v>
      </c>
      <c r="AT56" s="281" t="s">
        <v>259</v>
      </c>
      <c r="AU56" s="281" t="s">
        <v>30</v>
      </c>
      <c r="AV56" s="281"/>
      <c r="AW56" s="281" t="str">
        <f>VLOOKUP(B56,Sheet2!A42:I159,9,FALSE)</f>
        <v>Agus Sulistya, S.T., M.Sc., Ph.D</v>
      </c>
      <c r="AX56" s="281" t="s">
        <v>861</v>
      </c>
      <c r="AY56" s="281" t="str">
        <f>VLOOKUP(B56,Sheet2!A42:C159,2,FALSE)</f>
        <v>Magelang</v>
      </c>
      <c r="AZ56" s="288">
        <f>VLOOKUP(B56,Sheet2!A42:C159,3,FALSE)</f>
        <v>27624</v>
      </c>
      <c r="BA56" s="281">
        <f ca="1">DATEDIF(AZ56, TODAY(),"y")</f>
        <v>50</v>
      </c>
      <c r="BB56" s="281"/>
      <c r="BC56" s="281"/>
      <c r="BD56" s="281"/>
      <c r="BE56" s="281"/>
      <c r="BF56" s="289"/>
      <c r="BG56" s="289"/>
      <c r="BH56" s="289"/>
      <c r="BI56" s="289"/>
      <c r="BJ56" s="289"/>
      <c r="BK56" s="289"/>
      <c r="BL56" s="288" t="str">
        <f>VLOOKUP(B56,Sheet2!A42:D159,4,FALSE)</f>
        <v>Wakil Direktur Bidang Sumber Daya</v>
      </c>
      <c r="BM56" s="281"/>
      <c r="BN56" s="281"/>
      <c r="BO56" s="281"/>
      <c r="BP56" s="281"/>
      <c r="BQ56" s="281"/>
      <c r="BR56" s="288" t="str">
        <f>VLOOKUP(B56,Sheet2!A42:E159,5,FALSE)</f>
        <v>Cybernetics</v>
      </c>
      <c r="BS56" s="288" t="str">
        <f>VLOOKUP(B56,Sheet2!A42:F159,6,FALSE)</f>
        <v>AGX</v>
      </c>
      <c r="BT56" s="288" t="str">
        <f>VLOOKUP(B56,Sheet2!A42:G159,7,FALSE)</f>
        <v>Fakultas Rekayasa Industri</v>
      </c>
      <c r="BU56" s="288" t="str">
        <f>VLOOKUP(B56,Sheet2!A42:H159,8,FALSE)</f>
        <v>sulistya@telkomuniversity.ac.id</v>
      </c>
      <c r="BV56" s="280">
        <f>COUNTIFS('Join TPA Dosen'!B:B,'Dosen sorted'!B42)</f>
        <v>1</v>
      </c>
      <c r="BW56" s="273" t="str">
        <f>DATEDIF(AM56,DATE(2026,1,1),"y")&amp;" tahun "&amp;DATEDIF(AM56,DATE(2026,1,1),"ym")&amp;" bulan "</f>
        <v xml:space="preserve">6 tahun 2 bulan </v>
      </c>
      <c r="BX56" s="280" t="str">
        <f>VLOOKUP($B56,Sheet1!$A:$G,2,FALSE)</f>
        <v>STT Telkom</v>
      </c>
      <c r="BY56" s="280" t="str">
        <f>VLOOKUP($B56,Sheet1!$A:$G,3,FALSE)</f>
        <v>Teknik Informatika</v>
      </c>
      <c r="BZ56" s="280" t="str">
        <f>VLOOKUP($B56,Sheet1!$A:$G,4,FALSE)</f>
        <v>Northeastern Univ</v>
      </c>
      <c r="CA56" s="280" t="str">
        <f>VLOOKUP($B56,Sheet1!$A:$G,5,FALSE)</f>
        <v>Information Systems</v>
      </c>
      <c r="CB56" s="280" t="str">
        <f>VLOOKUP($B56,Sheet1!$A:$G,6,FALSE)</f>
        <v>Singapore Manajement Univ</v>
      </c>
      <c r="CC56" s="280" t="str">
        <f>VLOOKUP($B56,Sheet1!$A:$G,7,FALSE)</f>
        <v>Information Systems</v>
      </c>
      <c r="CD56" s="280" t="s">
        <v>871</v>
      </c>
      <c r="CE56" s="280" t="s">
        <v>903</v>
      </c>
    </row>
    <row r="57" spans="1:84" ht="19.5" hidden="1">
      <c r="A57" s="281">
        <v>81</v>
      </c>
      <c r="B57" s="281" t="s">
        <v>290</v>
      </c>
      <c r="C57" s="281" t="s">
        <v>20</v>
      </c>
      <c r="D57" s="281" t="s">
        <v>235</v>
      </c>
      <c r="E57" s="281">
        <v>22960061</v>
      </c>
      <c r="F57" s="281" t="s">
        <v>1141</v>
      </c>
      <c r="G57" s="282" t="s">
        <v>291</v>
      </c>
      <c r="H57" s="291" t="s">
        <v>884</v>
      </c>
      <c r="I57" s="281" t="s">
        <v>30</v>
      </c>
      <c r="J57" s="281" t="s">
        <v>57</v>
      </c>
      <c r="K57" s="281" t="s">
        <v>846</v>
      </c>
      <c r="L57" s="281" t="s">
        <v>847</v>
      </c>
      <c r="M57" s="283" t="str">
        <f>IF(L57="NJAD","AA",IF(L57="AA","L",IF(L57="L","LK","GB")))</f>
        <v>L</v>
      </c>
      <c r="N57" s="292"/>
      <c r="O57" s="281">
        <v>150</v>
      </c>
      <c r="P57" s="281" t="s">
        <v>1142</v>
      </c>
      <c r="Q57" s="284">
        <v>45870</v>
      </c>
      <c r="R57" s="281" t="str">
        <f ca="1">DATEDIF(Q57,TODAY(), "Y") &amp; " Tahun " &amp; DATEDIF(Q57, TODAY(), "YM") &amp; " Bulan"</f>
        <v>0 Tahun 5 Bulan</v>
      </c>
      <c r="S57" s="281" t="s">
        <v>849</v>
      </c>
      <c r="T57" s="285">
        <v>45931</v>
      </c>
      <c r="U57" s="281" t="str">
        <f ca="1">DATEDIF(T57,TODAY(), "Y") &amp; " Tahun " &amp; DATEDIF(T57, TODAY(), "YM") &amp; " Bulan"</f>
        <v>0 Tahun 3 Bulan</v>
      </c>
      <c r="V57" s="281" t="s">
        <v>933</v>
      </c>
      <c r="W57" s="281" t="s">
        <v>851</v>
      </c>
      <c r="X57" s="283" t="str">
        <f ca="1">IF(AND(OR(L57="AA",L57="L"),OR(S57="Penata Muda Tk. I Golongan III/b",S57="Penata Golongan III/c"),DATEDIF(Q57,TODAY(),"m")&gt;=23,ISBLANK(Z57),C57="Aktif"),"Nominasi Serdos","-")</f>
        <v>-</v>
      </c>
      <c r="Y57" s="281"/>
      <c r="Z57" s="282"/>
      <c r="AA57" s="295"/>
      <c r="AB57" s="281" t="s">
        <v>30</v>
      </c>
      <c r="AC57" s="282" t="s">
        <v>511</v>
      </c>
      <c r="AD57" s="281" t="s">
        <v>30</v>
      </c>
      <c r="AE57" s="281" t="s">
        <v>30</v>
      </c>
      <c r="AF57" s="281" t="s">
        <v>30</v>
      </c>
      <c r="AG57" s="281" t="s">
        <v>30</v>
      </c>
      <c r="AH57" s="281" t="s">
        <v>854</v>
      </c>
      <c r="AI57" s="281" t="s">
        <v>30</v>
      </c>
      <c r="AJ57" s="281" t="s">
        <v>30</v>
      </c>
      <c r="AK57" s="281" t="s">
        <v>30</v>
      </c>
      <c r="AM57" s="286">
        <v>44832</v>
      </c>
      <c r="AN57" s="287" t="str">
        <f ca="1">DATEDIF(AM57,TODAY(),"y")&amp;" tahun "&amp;DATEDIF(AM57,TODAY(),"ym")&amp;" bulan "</f>
        <v xml:space="preserve">3 tahun 3 bulan </v>
      </c>
      <c r="AO57" s="281" t="s">
        <v>858</v>
      </c>
      <c r="AP57" s="281" t="s">
        <v>934</v>
      </c>
      <c r="AQ57" s="281" t="s">
        <v>1143</v>
      </c>
      <c r="AR57" s="281" t="s">
        <v>292</v>
      </c>
      <c r="AS57" s="281">
        <v>82140046812</v>
      </c>
      <c r="AT57" s="281" t="s">
        <v>293</v>
      </c>
      <c r="AU57" s="281" t="s">
        <v>30</v>
      </c>
      <c r="AV57" s="281"/>
      <c r="AW57" s="281" t="str">
        <f>VLOOKUP(B57,Sheet2!A82:I199,9,FALSE)</f>
        <v>Alifiansyah Arrizqy Hidayat, S.Kom., M.Kom.</v>
      </c>
      <c r="AX57" s="281" t="s">
        <v>861</v>
      </c>
      <c r="AY57" s="281" t="str">
        <f>VLOOKUP(B57,Sheet2!A82:C199,2,FALSE)</f>
        <v>Jakarta</v>
      </c>
      <c r="AZ57" s="288">
        <f>VLOOKUP(B57,Sheet2!A82:C199,3,FALSE)</f>
        <v>35214</v>
      </c>
      <c r="BA57" s="281">
        <f ca="1">DATEDIF(AZ57, TODAY(),"y")</f>
        <v>29</v>
      </c>
      <c r="BB57" s="281"/>
      <c r="BC57" s="281"/>
      <c r="BD57" s="281"/>
      <c r="BE57" s="281"/>
      <c r="BF57" s="289"/>
      <c r="BG57" s="289"/>
      <c r="BH57" s="289"/>
      <c r="BI57" s="289"/>
      <c r="BJ57" s="289"/>
      <c r="BK57" s="289"/>
      <c r="BL57" s="288" t="str">
        <f>VLOOKUP(B57,Sheet2!A82:D199,4,FALSE)</f>
        <v>Dosen</v>
      </c>
      <c r="BM57" s="281"/>
      <c r="BN57" s="281"/>
      <c r="BO57" s="281"/>
      <c r="BP57" s="281"/>
      <c r="BQ57" s="281"/>
      <c r="BR57" s="288" t="str">
        <f>VLOOKUP(B57,Sheet2!A82:E199,5,FALSE)</f>
        <v>Enterprise and Industrial System (EINS)</v>
      </c>
      <c r="BS57" s="288" t="str">
        <f>VLOOKUP(B57,Sheet2!A82:F199,6,FALSE)</f>
        <v>AQH</v>
      </c>
      <c r="BT57" s="288" t="str">
        <f>VLOOKUP(B57,Sheet2!A82:G199,7,FALSE)</f>
        <v>Fakultas Rekayasa Industri</v>
      </c>
      <c r="BU57" s="288" t="str">
        <f>VLOOKUP(B57,Sheet2!A82:H199,8,FALSE)</f>
        <v>deandrys@telkomuniversity.ac.id</v>
      </c>
      <c r="BV57" s="280">
        <f>COUNTIFS('Join TPA Dosen'!B:B,'Dosen sorted'!B82)</f>
        <v>1</v>
      </c>
      <c r="BW57" s="273" t="str">
        <f>DATEDIF(AM57,DATE(2026,1,1),"y")&amp;" tahun "&amp;DATEDIF(AM57,DATE(2026,1,1),"ym")&amp;" bulan "</f>
        <v xml:space="preserve">3 tahun 3 bulan </v>
      </c>
      <c r="BX57" s="280" t="str">
        <f>VLOOKUP($B57,Sheet1!$A:$G,2,FALSE)</f>
        <v>ITS</v>
      </c>
      <c r="BY57" s="280" t="str">
        <f>VLOOKUP($B57,Sheet1!$A:$G,3,FALSE)</f>
        <v>Sistem Informasi</v>
      </c>
      <c r="BZ57" s="280" t="str">
        <f>VLOOKUP($B57,Sheet1!$A:$G,4,FALSE)</f>
        <v>ITS</v>
      </c>
      <c r="CA57" s="280" t="str">
        <f>VLOOKUP($B57,Sheet1!$A:$G,5,FALSE)</f>
        <v>Sistem Informasi</v>
      </c>
      <c r="CB57" s="280" t="str">
        <f>VLOOKUP($B57,Sheet1!$A:$G,6,FALSE)</f>
        <v>-</v>
      </c>
      <c r="CC57" s="280">
        <f>VLOOKUP($B57,Sheet1!$A:$G,7,FALSE)</f>
        <v>0</v>
      </c>
      <c r="CD57" s="280" t="s">
        <v>862</v>
      </c>
      <c r="CE57" s="280" t="s">
        <v>863</v>
      </c>
    </row>
    <row r="58" spans="1:84" ht="19.5" hidden="1">
      <c r="A58" s="281">
        <v>15</v>
      </c>
      <c r="B58" s="281" t="s">
        <v>234</v>
      </c>
      <c r="C58" s="281" t="s">
        <v>20</v>
      </c>
      <c r="D58" s="281" t="s">
        <v>235</v>
      </c>
      <c r="E58" s="281">
        <v>19900002</v>
      </c>
      <c r="F58" s="281" t="s">
        <v>931</v>
      </c>
      <c r="G58" s="282" t="s">
        <v>236</v>
      </c>
      <c r="H58" s="281" t="s">
        <v>845</v>
      </c>
      <c r="I58" s="281" t="s">
        <v>30</v>
      </c>
      <c r="J58" s="281" t="s">
        <v>57</v>
      </c>
      <c r="K58" s="281" t="s">
        <v>846</v>
      </c>
      <c r="L58" s="281" t="s">
        <v>847</v>
      </c>
      <c r="M58" s="283" t="str">
        <f>IF(L58="NJAD","AA",IF(L58="AA","L",IF(L58="L","LK","GB")))</f>
        <v>L</v>
      </c>
      <c r="N58" s="282" t="s">
        <v>511</v>
      </c>
      <c r="O58" s="281">
        <v>150</v>
      </c>
      <c r="P58" s="281" t="s">
        <v>932</v>
      </c>
      <c r="Q58" s="284">
        <v>44117</v>
      </c>
      <c r="R58" s="281" t="str">
        <f ca="1">DATEDIF(Q58,TODAY(), "Y") &amp; " Tahun " &amp; DATEDIF(Q58, TODAY(), "YM") &amp; " Bulan"</f>
        <v>5 Tahun 3 Bulan</v>
      </c>
      <c r="S58" s="281" t="s">
        <v>849</v>
      </c>
      <c r="T58" s="285">
        <v>44440</v>
      </c>
      <c r="U58" s="281" t="str">
        <f ca="1">DATEDIF(T58,TODAY(), "Y") &amp; " Tahun " &amp; DATEDIF(T58, TODAY(), "YM") &amp; " Bulan"</f>
        <v>4 Tahun 4 Bulan</v>
      </c>
      <c r="V58" s="281" t="s">
        <v>933</v>
      </c>
      <c r="W58" s="281" t="s">
        <v>851</v>
      </c>
      <c r="X58" s="283" t="str">
        <f ca="1">IF(AND(OR(L58="AA",L58="L"),OR(S58="Penata Muda Tk. I Golongan III/b",S58="Penata Golongan III/c"),DATEDIF(Q58,TODAY(),"m")&gt;=23,ISBLANK(Z58),C58="Aktif"),"Nominasi Serdos","-")</f>
        <v>Nominasi Serdos</v>
      </c>
      <c r="Y58" s="281"/>
      <c r="Z58" s="282"/>
      <c r="AA58" s="281"/>
      <c r="AB58" s="281" t="s">
        <v>30</v>
      </c>
      <c r="AC58" s="282" t="s">
        <v>511</v>
      </c>
      <c r="AD58" s="281" t="s">
        <v>30</v>
      </c>
      <c r="AE58" s="281" t="s">
        <v>30</v>
      </c>
      <c r="AF58" s="281" t="s">
        <v>30</v>
      </c>
      <c r="AG58" s="281" t="s">
        <v>30</v>
      </c>
      <c r="AH58" s="281" t="s">
        <v>854</v>
      </c>
      <c r="AI58" s="307" t="s">
        <v>855</v>
      </c>
      <c r="AJ58" s="307" t="s">
        <v>897</v>
      </c>
      <c r="AK58" s="307" t="s">
        <v>898</v>
      </c>
      <c r="AL58" s="307" t="s">
        <v>899</v>
      </c>
      <c r="AM58" s="286">
        <v>43101</v>
      </c>
      <c r="AN58" s="287" t="str">
        <f ca="1">DATEDIF(AM58,TODAY(),"y")&amp;" tahun "&amp;DATEDIF(AM58,TODAY(),"ym")&amp;" bulan "</f>
        <v xml:space="preserve">8 tahun 0 bulan </v>
      </c>
      <c r="AO58" s="281" t="s">
        <v>858</v>
      </c>
      <c r="AP58" s="281" t="s">
        <v>934</v>
      </c>
      <c r="AQ58" s="281" t="s">
        <v>935</v>
      </c>
      <c r="AR58" s="281" t="s">
        <v>237</v>
      </c>
      <c r="AS58" s="281">
        <v>82232504468</v>
      </c>
      <c r="AT58" s="281" t="s">
        <v>238</v>
      </c>
      <c r="AU58" s="281" t="s">
        <v>30</v>
      </c>
      <c r="AV58" s="281"/>
      <c r="AW58" s="281" t="str">
        <f>VLOOKUP(B58,Sheet2!A16:I133,9,FALSE)</f>
        <v>Anfazul Faridatul Azizah, S.Kom., M.Kom.</v>
      </c>
      <c r="AX58" s="281" t="s">
        <v>902</v>
      </c>
      <c r="AY58" s="281" t="str">
        <f>VLOOKUP(B58,Sheet2!A16:C133,2,FALSE)</f>
        <v>Surabaya</v>
      </c>
      <c r="AZ58" s="288">
        <f>VLOOKUP(B58,Sheet2!A16:C133,3,FALSE)</f>
        <v>32947</v>
      </c>
      <c r="BA58" s="281">
        <f ca="1">DATEDIF(AZ58, TODAY(),"y")</f>
        <v>35</v>
      </c>
      <c r="BB58" s="281"/>
      <c r="BC58" s="281"/>
      <c r="BD58" s="281"/>
      <c r="BE58" s="281"/>
      <c r="BF58" s="289"/>
      <c r="BG58" s="289"/>
      <c r="BH58" s="289"/>
      <c r="BI58" s="289"/>
      <c r="BJ58" s="289"/>
      <c r="BK58" s="289"/>
      <c r="BL58" s="288" t="str">
        <f>VLOOKUP(B58,Sheet2!A16:D133,4,FALSE)</f>
        <v>Dosen</v>
      </c>
      <c r="BM58" s="281"/>
      <c r="BN58" s="281"/>
      <c r="BO58" s="281"/>
      <c r="BP58" s="281"/>
      <c r="BQ58" s="281"/>
      <c r="BR58" s="288" t="str">
        <f>VLOOKUP(B58,Sheet2!A16:E133,5,FALSE)</f>
        <v>Cybernetics</v>
      </c>
      <c r="BS58" s="288" t="str">
        <f>VLOOKUP(B58,Sheet2!A16:F133,6,FALSE)</f>
        <v>AFC</v>
      </c>
      <c r="BT58" s="288" t="str">
        <f>VLOOKUP(B58,Sheet2!A16:G133,7,FALSE)</f>
        <v>Fakultas Rekayasa Industri</v>
      </c>
      <c r="BU58" s="288" t="str">
        <f>VLOOKUP(B58,Sheet2!A16:H133,8,FALSE)</f>
        <v>anfazulazizah@telkomuniversity.ac.id</v>
      </c>
      <c r="BV58" s="280">
        <f>COUNTIFS('Join TPA Dosen'!B:B,'Dosen sorted'!B16)</f>
        <v>1</v>
      </c>
      <c r="BW58" s="273" t="str">
        <f>DATEDIF(AM58,DATE(2026,1,1),"y")&amp;" tahun "&amp;DATEDIF(AM58,DATE(2026,1,1),"ym")&amp;" bulan "</f>
        <v xml:space="preserve">8 tahun 0 bulan </v>
      </c>
      <c r="BX58" s="280" t="str">
        <f>VLOOKUP($B58,Sheet1!$A:$G,2,FALSE)</f>
        <v>ITS</v>
      </c>
      <c r="BY58" s="280" t="str">
        <f>VLOOKUP($B58,Sheet1!$A:$G,3,FALSE)</f>
        <v>Sistem Informasi</v>
      </c>
      <c r="BZ58" s="280" t="str">
        <f>VLOOKUP($B58,Sheet1!$A:$G,4,FALSE)</f>
        <v>ITS</v>
      </c>
      <c r="CA58" s="280" t="str">
        <f>VLOOKUP($B58,Sheet1!$A:$G,5,FALSE)</f>
        <v>Teknik Informatika - Sistem Informasi</v>
      </c>
      <c r="CB58" s="280" t="str">
        <f>VLOOKUP($B58,Sheet1!$A:$G,6,FALSE)</f>
        <v>ITS</v>
      </c>
      <c r="CC58" s="280" t="str">
        <f>VLOOKUP($B58,Sheet1!$A:$G,7,FALSE)</f>
        <v>Ilmu Komputer</v>
      </c>
      <c r="CE58" s="280" t="s">
        <v>863</v>
      </c>
    </row>
    <row r="59" spans="1:84" ht="19.5" hidden="1">
      <c r="A59" s="281">
        <v>82</v>
      </c>
      <c r="B59" s="281" t="s">
        <v>294</v>
      </c>
      <c r="C59" s="281" t="s">
        <v>20</v>
      </c>
      <c r="D59" s="281" t="s">
        <v>235</v>
      </c>
      <c r="E59" s="281">
        <v>22950050</v>
      </c>
      <c r="F59" s="281" t="s">
        <v>1144</v>
      </c>
      <c r="G59" s="282" t="s">
        <v>295</v>
      </c>
      <c r="H59" s="291" t="s">
        <v>884</v>
      </c>
      <c r="I59" s="281" t="s">
        <v>30</v>
      </c>
      <c r="J59" s="281" t="s">
        <v>57</v>
      </c>
      <c r="K59" s="281" t="s">
        <v>846</v>
      </c>
      <c r="L59" s="281" t="s">
        <v>847</v>
      </c>
      <c r="M59" s="283" t="str">
        <f>IF(L59="NJAD","AA",IF(L59="AA","L",IF(L59="L","LK","GB")))</f>
        <v>L</v>
      </c>
      <c r="N59" s="281" t="s">
        <v>511</v>
      </c>
      <c r="O59" s="281">
        <v>150</v>
      </c>
      <c r="P59" s="281" t="s">
        <v>30</v>
      </c>
      <c r="Q59" s="284">
        <v>45597</v>
      </c>
      <c r="R59" s="281" t="str">
        <f ca="1">DATEDIF(Q59,TODAY(), "Y") &amp; " Tahun " &amp; DATEDIF(Q59, TODAY(), "YM") &amp; " Bulan"</f>
        <v>1 Tahun 2 Bulan</v>
      </c>
      <c r="S59" s="281" t="s">
        <v>849</v>
      </c>
      <c r="T59" s="285">
        <v>45717</v>
      </c>
      <c r="U59" s="281" t="str">
        <f ca="1">DATEDIF(T59,TODAY(), "Y") &amp; " Tahun " &amp; DATEDIF(T59, TODAY(), "YM") &amp; " Bulan"</f>
        <v>0 Tahun 10 Bulan</v>
      </c>
      <c r="V59" s="281" t="s">
        <v>933</v>
      </c>
      <c r="W59" s="281" t="s">
        <v>851</v>
      </c>
      <c r="X59" s="283" t="str">
        <f ca="1">IF(AND(OR(L59="AA",L59="L"),OR(S59="Penata Muda Tk. I Golongan III/b",S59="Penata Golongan III/c"),DATEDIF(Q59,TODAY(),"m")&gt;=23,ISBLANK(Z59),C59="Aktif"),"Nominasi Serdos","-")</f>
        <v>-</v>
      </c>
      <c r="Y59" s="281"/>
      <c r="Z59" s="282"/>
      <c r="AA59" s="295"/>
      <c r="AB59" s="281" t="s">
        <v>30</v>
      </c>
      <c r="AC59" s="282" t="s">
        <v>511</v>
      </c>
      <c r="AD59" s="281" t="s">
        <v>30</v>
      </c>
      <c r="AE59" s="281" t="s">
        <v>30</v>
      </c>
      <c r="AF59" s="281" t="s">
        <v>30</v>
      </c>
      <c r="AG59" s="281" t="s">
        <v>30</v>
      </c>
      <c r="AH59" s="281" t="s">
        <v>854</v>
      </c>
      <c r="AI59" s="281" t="s">
        <v>30</v>
      </c>
      <c r="AJ59" s="281" t="s">
        <v>30</v>
      </c>
      <c r="AK59" s="281" t="s">
        <v>30</v>
      </c>
      <c r="AM59" s="286">
        <v>44832</v>
      </c>
      <c r="AN59" s="287" t="str">
        <f ca="1">DATEDIF(AM59,TODAY(),"y")&amp;" tahun "&amp;DATEDIF(AM59,TODAY(),"ym")&amp;" bulan "</f>
        <v xml:space="preserve">3 tahun 3 bulan </v>
      </c>
      <c r="AO59" s="281" t="s">
        <v>858</v>
      </c>
      <c r="AP59" s="281" t="s">
        <v>934</v>
      </c>
      <c r="AQ59" s="281" t="s">
        <v>1145</v>
      </c>
      <c r="AR59" s="281" t="s">
        <v>296</v>
      </c>
      <c r="AS59" s="281">
        <v>81359720852</v>
      </c>
      <c r="AT59" s="281" t="s">
        <v>297</v>
      </c>
      <c r="AU59" s="281" t="s">
        <v>30</v>
      </c>
      <c r="AV59" s="281"/>
      <c r="AW59" s="281" t="str">
        <f>VLOOKUP(B59,Sheet2!A83:I200,9,FALSE)</f>
        <v>Anisa Dzulkarnain, S.Kom., M.Kom.</v>
      </c>
      <c r="AX59" s="281" t="s">
        <v>902</v>
      </c>
      <c r="AY59" s="281" t="str">
        <f>VLOOKUP(B59,Sheet2!A83:C200,2,FALSE)</f>
        <v>Pamekasan</v>
      </c>
      <c r="AZ59" s="288">
        <f>VLOOKUP(B59,Sheet2!A83:C200,3,FALSE)</f>
        <v>34966</v>
      </c>
      <c r="BA59" s="281">
        <f ca="1">DATEDIF(AZ59, TODAY(),"y")</f>
        <v>30</v>
      </c>
      <c r="BB59" s="281"/>
      <c r="BC59" s="281"/>
      <c r="BD59" s="281"/>
      <c r="BE59" s="281"/>
      <c r="BF59" s="289"/>
      <c r="BG59" s="289"/>
      <c r="BH59" s="289"/>
      <c r="BI59" s="289"/>
      <c r="BJ59" s="289"/>
      <c r="BK59" s="289"/>
      <c r="BL59" s="288" t="str">
        <f>VLOOKUP(B59,Sheet2!A83:D200,4,FALSE)</f>
        <v>Dosen</v>
      </c>
      <c r="BM59" s="281"/>
      <c r="BN59" s="281"/>
      <c r="BO59" s="281"/>
      <c r="BP59" s="281"/>
      <c r="BQ59" s="281"/>
      <c r="BR59" s="288" t="str">
        <f>VLOOKUP(B59,Sheet2!A83:E200,5,FALSE)</f>
        <v>Cybernetics</v>
      </c>
      <c r="BS59" s="288" t="str">
        <f>VLOOKUP(B59,Sheet2!A83:F200,6,FALSE)</f>
        <v>AZQ</v>
      </c>
      <c r="BT59" s="288" t="str">
        <f>VLOOKUP(B59,Sheet2!A83:G200,7,FALSE)</f>
        <v>Fakultas Rekayasa Industri</v>
      </c>
      <c r="BU59" s="288" t="str">
        <f>VLOOKUP(B59,Sheet2!A83:H200,8,FALSE)</f>
        <v>anisadzulkarnain@telkomuniversity.ac.id</v>
      </c>
      <c r="BV59" s="280">
        <f>COUNTIFS('Join TPA Dosen'!B:B,'Dosen sorted'!B83)</f>
        <v>1</v>
      </c>
      <c r="BW59" s="273" t="str">
        <f>DATEDIF(AM59,DATE(2026,1,1),"y")&amp;" tahun "&amp;DATEDIF(AM59,DATE(2026,1,1),"ym")&amp;" bulan "</f>
        <v xml:space="preserve">3 tahun 3 bulan </v>
      </c>
      <c r="BX59" s="280" t="str">
        <f>VLOOKUP($B59,Sheet1!$A:$G,2,FALSE)</f>
        <v>UNEJ</v>
      </c>
      <c r="BY59" s="280" t="str">
        <f>VLOOKUP($B59,Sheet1!$A:$G,3,FALSE)</f>
        <v>Sistem Informasi</v>
      </c>
      <c r="BZ59" s="280" t="str">
        <f>VLOOKUP($B59,Sheet1!$A:$G,4,FALSE)</f>
        <v>ITS</v>
      </c>
      <c r="CA59" s="280" t="str">
        <f>VLOOKUP($B59,Sheet1!$A:$G,5,FALSE)</f>
        <v>Sistem Informasi</v>
      </c>
      <c r="CB59" s="280" t="str">
        <f>VLOOKUP($B59,Sheet1!$A:$G,6,FALSE)</f>
        <v>-</v>
      </c>
      <c r="CC59" s="280">
        <f>VLOOKUP($B59,Sheet1!$A:$G,7,FALSE)</f>
        <v>0</v>
      </c>
      <c r="CD59" s="280" t="s">
        <v>862</v>
      </c>
      <c r="CE59" s="280" t="s">
        <v>903</v>
      </c>
    </row>
    <row r="60" spans="1:84" ht="19.5" hidden="1">
      <c r="A60" s="281">
        <v>83</v>
      </c>
      <c r="B60" s="281" t="s">
        <v>298</v>
      </c>
      <c r="C60" s="281" t="s">
        <v>20</v>
      </c>
      <c r="D60" s="281" t="s">
        <v>235</v>
      </c>
      <c r="E60" s="281">
        <v>22900033</v>
      </c>
      <c r="F60" s="281" t="s">
        <v>1148</v>
      </c>
      <c r="G60" s="282" t="s">
        <v>299</v>
      </c>
      <c r="H60" s="291" t="s">
        <v>884</v>
      </c>
      <c r="I60" s="281" t="s">
        <v>30</v>
      </c>
      <c r="J60" s="281" t="s">
        <v>176</v>
      </c>
      <c r="K60" s="281" t="s">
        <v>846</v>
      </c>
      <c r="L60" s="281" t="s">
        <v>847</v>
      </c>
      <c r="M60" s="283" t="str">
        <f>IF(L60="NJAD","AA",IF(L60="AA","L",IF(L60="L","LK","GB")))</f>
        <v>L</v>
      </c>
      <c r="N60" s="282" t="s">
        <v>511</v>
      </c>
      <c r="O60" s="281">
        <v>150</v>
      </c>
      <c r="P60" s="281" t="s">
        <v>1149</v>
      </c>
      <c r="Q60" s="284">
        <v>45962</v>
      </c>
      <c r="R60" s="281" t="str">
        <f ca="1">DATEDIF(Q60,TODAY(), "Y") &amp; " Tahun " &amp; DATEDIF(Q60, TODAY(), "YM") &amp; " Bulan"</f>
        <v>0 Tahun 2 Bulan</v>
      </c>
      <c r="S60" s="282" t="s">
        <v>511</v>
      </c>
      <c r="T60" s="282" t="s">
        <v>511</v>
      </c>
      <c r="U60" s="281" t="e">
        <f ca="1">DATEDIF(T60,TODAY(), "Y") &amp; " Tahun " &amp; DATEDIF(T60, TODAY(), "YM") &amp; " Bulan"</f>
        <v>#VALUE!</v>
      </c>
      <c r="V60" s="281" t="s">
        <v>933</v>
      </c>
      <c r="W60" s="281" t="s">
        <v>851</v>
      </c>
      <c r="X60" s="283" t="str">
        <f ca="1">IF(AND(OR(L60="AA",L60="L"),OR(S60="Penata Muda Tk. I Golongan III/b",S60="Penata Golongan III/c"),DATEDIF(Q60,TODAY(),"m")&gt;=23,ISBLANK(Z60),C60="Aktif"),"Nominasi Serdos","-")</f>
        <v>-</v>
      </c>
      <c r="Y60" s="281"/>
      <c r="Z60" s="282"/>
      <c r="AA60" s="295"/>
      <c r="AB60" s="281" t="s">
        <v>30</v>
      </c>
      <c r="AC60" s="282" t="s">
        <v>511</v>
      </c>
      <c r="AD60" s="281" t="s">
        <v>30</v>
      </c>
      <c r="AE60" s="281" t="s">
        <v>30</v>
      </c>
      <c r="AF60" s="281" t="s">
        <v>30</v>
      </c>
      <c r="AG60" s="281" t="s">
        <v>30</v>
      </c>
      <c r="AH60" s="281" t="s">
        <v>854</v>
      </c>
      <c r="AI60" s="281" t="s">
        <v>30</v>
      </c>
      <c r="AJ60" s="281" t="s">
        <v>30</v>
      </c>
      <c r="AK60" s="281" t="s">
        <v>30</v>
      </c>
      <c r="AM60" s="286">
        <v>44832</v>
      </c>
      <c r="AN60" s="287" t="str">
        <f ca="1">DATEDIF(AM60,TODAY(),"y")&amp;" tahun "&amp;DATEDIF(AM60,TODAY(),"ym")&amp;" bulan "</f>
        <v xml:space="preserve">3 tahun 3 bulan </v>
      </c>
      <c r="AO60" s="281" t="s">
        <v>858</v>
      </c>
      <c r="AP60" s="281" t="s">
        <v>934</v>
      </c>
      <c r="AQ60" s="281" t="s">
        <v>1150</v>
      </c>
      <c r="AR60" s="281" t="s">
        <v>300</v>
      </c>
      <c r="AS60" s="281">
        <v>81231358055</v>
      </c>
      <c r="AT60" s="281" t="s">
        <v>301</v>
      </c>
      <c r="AU60" s="281" t="s">
        <v>30</v>
      </c>
      <c r="AV60" s="281"/>
      <c r="AW60" s="281" t="str">
        <f>VLOOKUP(B60,Sheet2!A84:I201,9,FALSE)</f>
        <v>Anita Hakim Nasution, S.T., M.T.</v>
      </c>
      <c r="AX60" s="281" t="s">
        <v>902</v>
      </c>
      <c r="AY60" s="281" t="str">
        <f>VLOOKUP(B60,Sheet2!A84:C201,2,FALSE)</f>
        <v>Jember</v>
      </c>
      <c r="AZ60" s="288">
        <f>VLOOKUP(B60,Sheet2!A84:C201,3,FALSE)</f>
        <v>32887</v>
      </c>
      <c r="BA60" s="281">
        <f ca="1">DATEDIF(AZ60, TODAY(),"y")</f>
        <v>36</v>
      </c>
      <c r="BB60" s="281"/>
      <c r="BC60" s="281"/>
      <c r="BD60" s="281"/>
      <c r="BE60" s="281"/>
      <c r="BF60" s="289"/>
      <c r="BG60" s="289"/>
      <c r="BH60" s="289"/>
      <c r="BI60" s="289"/>
      <c r="BJ60" s="289"/>
      <c r="BK60" s="289"/>
      <c r="BL60" s="288" t="str">
        <f>VLOOKUP(B60,Sheet2!A84:D201,4,FALSE)</f>
        <v>Dosen</v>
      </c>
      <c r="BM60" s="281"/>
      <c r="BN60" s="281"/>
      <c r="BO60" s="281"/>
      <c r="BP60" s="281"/>
      <c r="BQ60" s="281"/>
      <c r="BR60" s="288" t="str">
        <f>VLOOKUP(B60,Sheet2!A84:E201,5,FALSE)</f>
        <v>Enterprise and Industrial System (EINS)</v>
      </c>
      <c r="BS60" s="288" t="str">
        <f>VLOOKUP(B60,Sheet2!A84:F201,6,FALSE)</f>
        <v>AXA</v>
      </c>
      <c r="BT60" s="288" t="str">
        <f>VLOOKUP(B60,Sheet2!A84:G201,7,FALSE)</f>
        <v>Fakultas Rekayasa Industri</v>
      </c>
      <c r="BU60" s="288" t="str">
        <f>VLOOKUP(B60,Sheet2!A84:H201,8,FALSE)</f>
        <v>anitahakimnst@telkomuniversity.ac.id</v>
      </c>
      <c r="BV60" s="280">
        <f>COUNTIFS('Join TPA Dosen'!B:B,'Dosen sorted'!B84)</f>
        <v>1</v>
      </c>
      <c r="BW60" s="273" t="str">
        <f>DATEDIF(AM60,DATE(2026,1,1),"y")&amp;" tahun "&amp;DATEDIF(AM60,DATE(2026,1,1),"ym")&amp;" bulan "</f>
        <v xml:space="preserve">3 tahun 3 bulan </v>
      </c>
      <c r="BX60" s="280" t="str">
        <f>VLOOKUP($B60,Sheet1!$A:$G,2,FALSE)</f>
        <v>ITS</v>
      </c>
      <c r="BY60" s="280" t="str">
        <f>VLOOKUP($B60,Sheet1!$A:$G,3,FALSE)</f>
        <v>Teknik Industri</v>
      </c>
      <c r="BZ60" s="280" t="str">
        <f>VLOOKUP($B60,Sheet1!$A:$G,4,FALSE)</f>
        <v>ITATS</v>
      </c>
      <c r="CA60" s="280" t="str">
        <f>VLOOKUP($B60,Sheet1!$A:$G,5,FALSE)</f>
        <v>Teknik Industri</v>
      </c>
      <c r="CB60" s="280" t="str">
        <f>VLOOKUP($B60,Sheet1!$A:$G,6,FALSE)</f>
        <v>-</v>
      </c>
      <c r="CC60" s="280">
        <f>VLOOKUP($B60,Sheet1!$A:$G,7,FALSE)</f>
        <v>0</v>
      </c>
      <c r="CD60" s="280" t="s">
        <v>862</v>
      </c>
      <c r="CE60" s="280" t="s">
        <v>863</v>
      </c>
      <c r="CF60" s="336">
        <v>45839</v>
      </c>
    </row>
    <row r="61" spans="1:84" ht="19.5" hidden="1">
      <c r="A61" s="281">
        <v>84</v>
      </c>
      <c r="B61" s="281" t="s">
        <v>302</v>
      </c>
      <c r="C61" s="281" t="s">
        <v>20</v>
      </c>
      <c r="D61" s="281" t="s">
        <v>235</v>
      </c>
      <c r="E61" s="281">
        <v>22930045</v>
      </c>
      <c r="F61" s="281" t="s">
        <v>1151</v>
      </c>
      <c r="G61" s="282" t="s">
        <v>303</v>
      </c>
      <c r="H61" s="291" t="s">
        <v>884</v>
      </c>
      <c r="I61" s="281" t="s">
        <v>143</v>
      </c>
      <c r="J61" s="281" t="s">
        <v>304</v>
      </c>
      <c r="K61" s="281" t="s">
        <v>917</v>
      </c>
      <c r="L61" s="281" t="s">
        <v>847</v>
      </c>
      <c r="M61" s="283" t="str">
        <f>IF(L61="NJAD","AA",IF(L61="AA","L",IF(L61="L","LK","GB")))</f>
        <v>L</v>
      </c>
      <c r="N61" s="282" t="s">
        <v>511</v>
      </c>
      <c r="O61" s="281">
        <v>0</v>
      </c>
      <c r="P61" s="281" t="s">
        <v>30</v>
      </c>
      <c r="Q61" s="284">
        <v>45809</v>
      </c>
      <c r="R61" s="281" t="str">
        <f ca="1">DATEDIF(Q61,TODAY(), "Y") &amp; " Tahun " &amp; DATEDIF(Q61, TODAY(), "YM") &amp; " Bulan"</f>
        <v>0 Tahun 7 Bulan</v>
      </c>
      <c r="S61" s="281" t="s">
        <v>849</v>
      </c>
      <c r="T61" s="285">
        <v>45901</v>
      </c>
      <c r="U61" s="281" t="str">
        <f ca="1">DATEDIF(T61,TODAY(), "Y") &amp; " Tahun " &amp; DATEDIF(T61, TODAY(), "YM") &amp; " Bulan"</f>
        <v>0 Tahun 4 Bulan</v>
      </c>
      <c r="V61" s="281" t="s">
        <v>933</v>
      </c>
      <c r="W61" s="281" t="s">
        <v>851</v>
      </c>
      <c r="X61" s="283" t="str">
        <f ca="1">IF(AND(OR(L61="AA",L61="L"),OR(S61="Penata Muda Tk. I Golongan III/b",S61="Penata Golongan III/c"),DATEDIF(Q61,TODAY(),"m")&gt;=23,ISBLANK(Z61),C61="Aktif"),"Nominasi Serdos","-")</f>
        <v>-</v>
      </c>
      <c r="Y61" s="281"/>
      <c r="Z61" s="282"/>
      <c r="AA61" s="295"/>
      <c r="AB61" s="281" t="s">
        <v>30</v>
      </c>
      <c r="AC61" s="282" t="s">
        <v>511</v>
      </c>
      <c r="AD61" s="281" t="s">
        <v>30</v>
      </c>
      <c r="AE61" s="281" t="s">
        <v>30</v>
      </c>
      <c r="AF61" s="281" t="s">
        <v>30</v>
      </c>
      <c r="AG61" s="281" t="s">
        <v>30</v>
      </c>
      <c r="AH61" s="281" t="s">
        <v>879</v>
      </c>
      <c r="AI61" s="281"/>
      <c r="AJ61" s="281"/>
      <c r="AK61" s="281"/>
      <c r="AL61" s="281"/>
      <c r="AM61" s="286">
        <v>44832</v>
      </c>
      <c r="AN61" s="287" t="str">
        <f ca="1">DATEDIF(AM61,TODAY(),"y")&amp;" tahun "&amp;DATEDIF(AM61,TODAY(),"ym")&amp;" bulan "</f>
        <v xml:space="preserve">3 tahun 3 bulan </v>
      </c>
      <c r="AO61" s="281" t="s">
        <v>858</v>
      </c>
      <c r="AP61" s="281" t="s">
        <v>934</v>
      </c>
      <c r="AQ61" s="281" t="s">
        <v>1152</v>
      </c>
      <c r="AR61" s="281" t="s">
        <v>305</v>
      </c>
      <c r="AS61" s="281">
        <v>85288421363</v>
      </c>
      <c r="AT61" s="281" t="s">
        <v>306</v>
      </c>
      <c r="AU61" s="281" t="s">
        <v>30</v>
      </c>
      <c r="AV61" s="281"/>
      <c r="AW61" s="281" t="str">
        <f>VLOOKUP(B61,Sheet2!A85:I202,9,FALSE)</f>
        <v>Arip Ramadan, S.Si., M.Stat.</v>
      </c>
      <c r="AX61" s="281" t="s">
        <v>861</v>
      </c>
      <c r="AY61" s="281" t="str">
        <f>VLOOKUP(B61,Sheet2!A85:C202,2,FALSE)</f>
        <v>Ciamis</v>
      </c>
      <c r="AZ61" s="288">
        <f>VLOOKUP(B61,Sheet2!A85:C202,3,FALSE)</f>
        <v>34040</v>
      </c>
      <c r="BA61" s="281">
        <f ca="1">DATEDIF(AZ61, TODAY(),"y")</f>
        <v>32</v>
      </c>
      <c r="BB61" s="281"/>
      <c r="BC61" s="281"/>
      <c r="BD61" s="281"/>
      <c r="BE61" s="281"/>
      <c r="BF61" s="289"/>
      <c r="BG61" s="289"/>
      <c r="BH61" s="289"/>
      <c r="BI61" s="289"/>
      <c r="BJ61" s="289"/>
      <c r="BK61" s="289"/>
      <c r="BL61" s="288" t="s">
        <v>1153</v>
      </c>
      <c r="BM61" s="281"/>
      <c r="BN61" s="281"/>
      <c r="BO61" s="281"/>
      <c r="BP61" s="281"/>
      <c r="BQ61" s="281"/>
      <c r="BR61" s="288" t="str">
        <f>VLOOKUP(B61,Sheet2!A85:E202,5,FALSE)</f>
        <v>Cybernetics</v>
      </c>
      <c r="BS61" s="288" t="str">
        <f>VLOOKUP(B61,Sheet2!A85:F202,6,FALSE)</f>
        <v>RMV</v>
      </c>
      <c r="BT61" s="288" t="str">
        <f>VLOOKUP(B61,Sheet2!A85:G202,7,FALSE)</f>
        <v>Fakultas Rekayasa Industri</v>
      </c>
      <c r="BU61" s="288" t="str">
        <f>VLOOKUP(B61,Sheet2!A85:H202,8,FALSE)</f>
        <v>aripramadan@telkomuniversity.ac.id</v>
      </c>
      <c r="BV61" s="280">
        <f>COUNTIFS('Join TPA Dosen'!B:B,'Dosen sorted'!B85)</f>
        <v>1</v>
      </c>
      <c r="BW61" s="273" t="str">
        <f>DATEDIF(AM61,DATE(2026,1,1),"y")&amp;" tahun "&amp;DATEDIF(AM61,DATE(2026,1,1),"ym")&amp;" bulan "</f>
        <v xml:space="preserve">3 tahun 3 bulan </v>
      </c>
      <c r="BX61" s="280" t="str">
        <f>VLOOKUP($B61,Sheet1!$A:$G,2,FALSE)</f>
        <v>IST AKPRIND JOGJA</v>
      </c>
      <c r="BY61" s="280" t="str">
        <f>VLOOKUP($B61,Sheet1!$A:$G,3,FALSE)</f>
        <v>Statistika</v>
      </c>
      <c r="BZ61" s="280" t="str">
        <f>VLOOKUP($B61,Sheet1!$A:$G,4,FALSE)</f>
        <v>ITS</v>
      </c>
      <c r="CA61" s="280" t="str">
        <f>VLOOKUP($B61,Sheet1!$A:$G,5,FALSE)</f>
        <v>Statistika</v>
      </c>
      <c r="CB61" s="280" t="str">
        <f>VLOOKUP($B61,Sheet1!$A:$G,6,FALSE)</f>
        <v>Unair</v>
      </c>
      <c r="CC61" s="280" t="str">
        <f>VLOOKUP($B61,Sheet1!$A:$G,7,FALSE)</f>
        <v>Matematika dan Ilmu Pengetahuan Alam</v>
      </c>
      <c r="CD61" s="280" t="s">
        <v>862</v>
      </c>
      <c r="CE61" s="280" t="s">
        <v>903</v>
      </c>
    </row>
    <row r="62" spans="1:84" ht="19.5" hidden="1">
      <c r="A62" s="281">
        <v>61</v>
      </c>
      <c r="B62" s="281" t="s">
        <v>264</v>
      </c>
      <c r="C62" s="281" t="s">
        <v>20</v>
      </c>
      <c r="D62" s="281" t="s">
        <v>235</v>
      </c>
      <c r="E62" s="281">
        <v>21890010</v>
      </c>
      <c r="F62" s="281" t="s">
        <v>1061</v>
      </c>
      <c r="G62" s="282" t="s">
        <v>265</v>
      </c>
      <c r="H62" s="291" t="s">
        <v>884</v>
      </c>
      <c r="I62" s="281" t="s">
        <v>30</v>
      </c>
      <c r="J62" s="281" t="s">
        <v>57</v>
      </c>
      <c r="K62" s="281" t="s">
        <v>846</v>
      </c>
      <c r="L62" s="281" t="s">
        <v>847</v>
      </c>
      <c r="M62" s="283" t="str">
        <f>IF(L62="NJAD","AA",IF(L62="AA","L",IF(L62="L","LK","GB")))</f>
        <v>L</v>
      </c>
      <c r="N62" s="292"/>
      <c r="O62" s="281">
        <v>150</v>
      </c>
      <c r="P62" s="281" t="s">
        <v>1062</v>
      </c>
      <c r="Q62" s="284">
        <v>45870</v>
      </c>
      <c r="R62" s="281" t="str">
        <f ca="1">DATEDIF(Q62,TODAY(), "Y") &amp; " Tahun " &amp; DATEDIF(Q62, TODAY(), "YM") &amp; " Bulan"</f>
        <v>0 Tahun 5 Bulan</v>
      </c>
      <c r="S62" s="281" t="s">
        <v>849</v>
      </c>
      <c r="T62" s="285">
        <v>45931</v>
      </c>
      <c r="U62" s="281" t="str">
        <f ca="1">DATEDIF(T62,TODAY(), "Y") &amp; " Tahun " &amp; DATEDIF(T62, TODAY(), "YM") &amp; " Bulan"</f>
        <v>0 Tahun 3 Bulan</v>
      </c>
      <c r="V62" s="281" t="s">
        <v>933</v>
      </c>
      <c r="W62" s="281" t="s">
        <v>851</v>
      </c>
      <c r="X62" s="283" t="str">
        <f ca="1">IF(AND(OR(L62="AA",L62="L"),OR(S62="Penata Muda Tk. I Golongan III/b",S62="Penata Golongan III/c"),DATEDIF(Q62,TODAY(),"m")&gt;=23,ISBLANK(Z62),C62="Aktif"),"Nominasi Serdos","-")</f>
        <v>-</v>
      </c>
      <c r="Y62" s="281"/>
      <c r="Z62" s="282"/>
      <c r="AA62" s="281"/>
      <c r="AB62" s="281" t="s">
        <v>30</v>
      </c>
      <c r="AC62" s="282" t="s">
        <v>511</v>
      </c>
      <c r="AD62" s="281" t="s">
        <v>30</v>
      </c>
      <c r="AE62" s="281" t="s">
        <v>30</v>
      </c>
      <c r="AF62" s="281" t="s">
        <v>30</v>
      </c>
      <c r="AG62" s="281" t="s">
        <v>30</v>
      </c>
      <c r="AH62" s="281" t="s">
        <v>854</v>
      </c>
      <c r="AI62" s="281" t="s">
        <v>30</v>
      </c>
      <c r="AJ62" s="281" t="s">
        <v>30</v>
      </c>
      <c r="AK62" s="281" t="s">
        <v>30</v>
      </c>
      <c r="AM62" s="286">
        <v>44470</v>
      </c>
      <c r="AN62" s="287" t="str">
        <f ca="1">DATEDIF(AM62,TODAY(),"y")&amp;" tahun "&amp;DATEDIF(AM62,TODAY(),"ym")&amp;" bulan "</f>
        <v xml:space="preserve">4 tahun 3 bulan </v>
      </c>
      <c r="AO62" s="281" t="s">
        <v>858</v>
      </c>
      <c r="AP62" s="281" t="s">
        <v>934</v>
      </c>
      <c r="AQ62" s="281" t="s">
        <v>1063</v>
      </c>
      <c r="AR62" s="281" t="s">
        <v>266</v>
      </c>
      <c r="AS62" s="281">
        <v>81330823998</v>
      </c>
      <c r="AT62" s="281" t="s">
        <v>267</v>
      </c>
      <c r="AU62" s="281" t="s">
        <v>30</v>
      </c>
      <c r="AV62" s="281"/>
      <c r="AW62" s="281" t="str">
        <f>VLOOKUP(B62,Sheet2!A62:I179,9,FALSE)</f>
        <v>Aris Kusumawati, S.Kom., M.Kom.</v>
      </c>
      <c r="AX62" s="281" t="s">
        <v>902</v>
      </c>
      <c r="AY62" s="281" t="str">
        <f>VLOOKUP(B62,Sheet2!A62:C179,2,FALSE)</f>
        <v>Lamongan</v>
      </c>
      <c r="AZ62" s="288">
        <f>VLOOKUP(B62,Sheet2!A62:C179,3,FALSE)</f>
        <v>32740</v>
      </c>
      <c r="BA62" s="281">
        <f ca="1">DATEDIF(AZ62, TODAY(),"y")</f>
        <v>36</v>
      </c>
      <c r="BB62" s="281"/>
      <c r="BC62" s="281"/>
      <c r="BD62" s="281"/>
      <c r="BE62" s="281"/>
      <c r="BF62" s="289"/>
      <c r="BG62" s="289"/>
      <c r="BH62" s="289"/>
      <c r="BI62" s="304"/>
      <c r="BJ62" s="304"/>
      <c r="BK62" s="304"/>
      <c r="BL62" s="288" t="str">
        <f>VLOOKUP(B62,Sheet2!A62:D179,4,FALSE)</f>
        <v>Dosen</v>
      </c>
      <c r="BM62" s="281"/>
      <c r="BN62" s="281"/>
      <c r="BO62" s="281"/>
      <c r="BP62" s="281"/>
      <c r="BQ62" s="281"/>
      <c r="BR62" s="288" t="str">
        <f>VLOOKUP(B62,Sheet2!A62:E179,5,FALSE)</f>
        <v>Enterprise and Industrial System (EINS)</v>
      </c>
      <c r="BS62" s="288" t="str">
        <f>VLOOKUP(B62,Sheet2!A62:F179,6,FALSE)</f>
        <v>KUZ</v>
      </c>
      <c r="BT62" s="288" t="str">
        <f>VLOOKUP(B62,Sheet2!A62:G179,7,FALSE)</f>
        <v>Fakultas Rekayasa Industri</v>
      </c>
      <c r="BU62" s="288" t="str">
        <f>VLOOKUP(B62,Sheet2!A62:H179,8,FALSE)</f>
        <v>ariskusumawati@telkomuniversity.ac.id</v>
      </c>
      <c r="BV62" s="280">
        <f>COUNTIFS('Join TPA Dosen'!B:B,'Dosen sorted'!B62)</f>
        <v>1</v>
      </c>
      <c r="BW62" s="273" t="str">
        <f>DATEDIF(AM62,DATE(2026,1,1),"y")&amp;" tahun "&amp;DATEDIF(AM62,DATE(2026,1,1),"ym")&amp;" bulan "</f>
        <v xml:space="preserve">4 tahun 3 bulan </v>
      </c>
      <c r="BX62" s="280" t="str">
        <f>VLOOKUP($B62,Sheet1!$A:$G,2,FALSE)</f>
        <v>ITS</v>
      </c>
      <c r="BY62" s="280" t="str">
        <f>VLOOKUP($B62,Sheet1!$A:$G,3,FALSE)</f>
        <v>Sistem Informasi</v>
      </c>
      <c r="BZ62" s="280" t="str">
        <f>VLOOKUP($B62,Sheet1!$A:$G,4,FALSE)</f>
        <v>ITS</v>
      </c>
      <c r="CA62" s="280" t="str">
        <f>VLOOKUP($B62,Sheet1!$A:$G,5,FALSE)</f>
        <v>Sistem Informasi</v>
      </c>
      <c r="CB62" s="280" t="str">
        <f>VLOOKUP($B62,Sheet1!$A:$G,6,FALSE)</f>
        <v>-</v>
      </c>
      <c r="CC62" s="280">
        <f>VLOOKUP($B62,Sheet1!$A:$G,7,FALSE)</f>
        <v>0</v>
      </c>
      <c r="CD62" s="280" t="s">
        <v>882</v>
      </c>
      <c r="CE62" s="280" t="s">
        <v>863</v>
      </c>
    </row>
    <row r="63" spans="1:84" ht="19.5" hidden="1">
      <c r="A63" s="281">
        <v>96</v>
      </c>
      <c r="B63" s="281" t="s">
        <v>316</v>
      </c>
      <c r="C63" s="281" t="s">
        <v>20</v>
      </c>
      <c r="D63" s="281" t="s">
        <v>235</v>
      </c>
      <c r="E63" s="281">
        <v>22940041</v>
      </c>
      <c r="F63" s="281" t="s">
        <v>1202</v>
      </c>
      <c r="G63" s="282" t="s">
        <v>317</v>
      </c>
      <c r="H63" s="291" t="s">
        <v>884</v>
      </c>
      <c r="I63" s="281" t="s">
        <v>143</v>
      </c>
      <c r="J63" s="281" t="s">
        <v>318</v>
      </c>
      <c r="K63" s="281" t="s">
        <v>846</v>
      </c>
      <c r="L63" s="281" t="s">
        <v>847</v>
      </c>
      <c r="M63" s="283" t="str">
        <f>IF(L63="NJAD","AA",IF(L63="AA","L",IF(L63="L","LK","GB")))</f>
        <v>L</v>
      </c>
      <c r="N63" s="282" t="s">
        <v>511</v>
      </c>
      <c r="O63" s="281">
        <v>150</v>
      </c>
      <c r="P63" s="281" t="s">
        <v>1203</v>
      </c>
      <c r="Q63" s="284">
        <v>45748</v>
      </c>
      <c r="R63" s="281" t="str">
        <f ca="1">DATEDIF(Q63,TODAY(), "Y") &amp; " Tahun " &amp; DATEDIF(Q63, TODAY(), "YM") &amp; " Bulan"</f>
        <v>0 Tahun 9 Bulan</v>
      </c>
      <c r="S63" s="281" t="s">
        <v>849</v>
      </c>
      <c r="T63" s="285">
        <v>45809</v>
      </c>
      <c r="U63" s="281" t="str">
        <f ca="1">DATEDIF(T63,TODAY(), "Y") &amp; " Tahun " &amp; DATEDIF(T63, TODAY(), "YM") &amp; " Bulan"</f>
        <v>0 Tahun 7 Bulan</v>
      </c>
      <c r="V63" s="281" t="s">
        <v>933</v>
      </c>
      <c r="W63" s="281" t="s">
        <v>851</v>
      </c>
      <c r="X63" s="283" t="str">
        <f ca="1">IF(AND(OR(L63="AA",L63="L"),OR(S63="Penata Muda Tk. I Golongan III/b",S63="Penata Golongan III/c"),DATEDIF(Q63,TODAY(),"m")&gt;=23,ISBLANK(Z63),C63="Aktif"),"Nominasi Serdos","-")</f>
        <v>-</v>
      </c>
      <c r="Y63" s="281"/>
      <c r="Z63" s="282"/>
      <c r="AA63" s="295"/>
      <c r="AB63" s="281" t="s">
        <v>30</v>
      </c>
      <c r="AC63" s="282" t="s">
        <v>511</v>
      </c>
      <c r="AD63" s="281" t="s">
        <v>30</v>
      </c>
      <c r="AE63" s="281" t="s">
        <v>30</v>
      </c>
      <c r="AF63" s="281" t="s">
        <v>30</v>
      </c>
      <c r="AG63" s="281" t="s">
        <v>30</v>
      </c>
      <c r="AH63" s="281" t="s">
        <v>879</v>
      </c>
      <c r="AI63" s="281"/>
      <c r="AJ63" s="281"/>
      <c r="AK63" s="281"/>
      <c r="AL63" s="281"/>
      <c r="AM63" s="286">
        <v>44832</v>
      </c>
      <c r="AN63" s="287" t="str">
        <f ca="1">DATEDIF(AM63,TODAY(),"y")&amp;" tahun "&amp;DATEDIF(AM63,TODAY(),"ym")&amp;" bulan "</f>
        <v xml:space="preserve">3 tahun 3 bulan </v>
      </c>
      <c r="AO63" s="281" t="s">
        <v>858</v>
      </c>
      <c r="AP63" s="281" t="s">
        <v>934</v>
      </c>
      <c r="AQ63" s="281" t="s">
        <v>1204</v>
      </c>
      <c r="AR63" s="281" t="s">
        <v>319</v>
      </c>
      <c r="AS63" s="281">
        <v>81333283721</v>
      </c>
      <c r="AT63" s="281" t="s">
        <v>320</v>
      </c>
      <c r="AU63" s="281" t="s">
        <v>30</v>
      </c>
      <c r="AV63" s="302"/>
      <c r="AW63" s="281" t="str">
        <f>VLOOKUP(B63,Sheet2!A97:I214,9,FALSE)</f>
        <v>Berlian Rahmy Lidiawaty, S.ST., M.MT.</v>
      </c>
      <c r="AX63" s="302" t="s">
        <v>902</v>
      </c>
      <c r="AY63" s="281" t="str">
        <f>VLOOKUP(B63,Sheet2!A97:C214,2,FALSE)</f>
        <v>Kediri</v>
      </c>
      <c r="AZ63" s="288">
        <f>VLOOKUP(B63,Sheet2!A97:C214,3,FALSE)</f>
        <v>34617</v>
      </c>
      <c r="BA63" s="281">
        <f ca="1">DATEDIF(AZ63, TODAY(),"y")</f>
        <v>31</v>
      </c>
      <c r="BB63" s="302"/>
      <c r="BC63" s="302"/>
      <c r="BD63" s="302"/>
      <c r="BE63" s="302"/>
      <c r="BF63" s="306"/>
      <c r="BG63" s="306"/>
      <c r="BH63" s="306"/>
      <c r="BI63" s="306"/>
      <c r="BJ63" s="306"/>
      <c r="BK63" s="306"/>
      <c r="BL63" s="288" t="str">
        <f>VLOOKUP(B63,Sheet2!A97:D214,4,FALSE)</f>
        <v>Dosen</v>
      </c>
      <c r="BM63" s="302"/>
      <c r="BN63" s="302"/>
      <c r="BO63" s="302"/>
      <c r="BP63" s="302"/>
      <c r="BQ63" s="302"/>
      <c r="BR63" s="288" t="str">
        <f>VLOOKUP(B63,Sheet2!A97:E214,5,FALSE)</f>
        <v>Cybernetics</v>
      </c>
      <c r="BS63" s="288" t="str">
        <f>VLOOKUP(B63,Sheet2!A97:F214,6,FALSE)</f>
        <v>BRL</v>
      </c>
      <c r="BT63" s="288" t="str">
        <f>VLOOKUP(B63,Sheet2!A97:G214,7,FALSE)</f>
        <v>Fakultas Rekayasa Industri</v>
      </c>
      <c r="BU63" s="288" t="str">
        <f>VLOOKUP(B63,Sheet2!A97:H214,8,FALSE)</f>
        <v>berlianerel@telkomuniversity.ac.id</v>
      </c>
      <c r="BV63" s="280">
        <f>COUNTIFS('Join TPA Dosen'!B:B,'Dosen sorted'!B97)</f>
        <v>1</v>
      </c>
      <c r="BW63" s="273" t="str">
        <f>DATEDIF(AM63,DATE(2026,1,1),"y")&amp;" tahun "&amp;DATEDIF(AM63,DATE(2026,1,1),"ym")&amp;" bulan "</f>
        <v xml:space="preserve">3 tahun 3 bulan </v>
      </c>
      <c r="BX63" s="280" t="str">
        <f>VLOOKUP($B63,Sheet1!$A:$G,2,FALSE)</f>
        <v>PENS</v>
      </c>
      <c r="BY63" s="280" t="str">
        <f>VLOOKUP($B63,Sheet1!$A:$G,3,FALSE)</f>
        <v>Teknik Informatika</v>
      </c>
      <c r="BZ63" s="280" t="str">
        <f>VLOOKUP($B63,Sheet1!$A:$G,4,FALSE)</f>
        <v>ITS</v>
      </c>
      <c r="CA63" s="280" t="str">
        <f>VLOOKUP($B63,Sheet1!$A:$G,5,FALSE)</f>
        <v>Manajemen Teknologi - Manajemen Teknologi Informasi</v>
      </c>
      <c r="CB63" s="280" t="str">
        <f>VLOOKUP($B63,Sheet1!$A:$G,6,FALSE)</f>
        <v>ITS</v>
      </c>
      <c r="CC63" s="280" t="str">
        <f>VLOOKUP($B63,Sheet1!$A:$G,7,FALSE)</f>
        <v>Sistem Informasi</v>
      </c>
      <c r="CD63" s="280" t="s">
        <v>862</v>
      </c>
      <c r="CE63" s="280" t="s">
        <v>903</v>
      </c>
    </row>
    <row r="64" spans="1:84" ht="19.5" hidden="1">
      <c r="A64" s="281">
        <v>37</v>
      </c>
      <c r="B64" s="281" t="s">
        <v>239</v>
      </c>
      <c r="C64" s="281" t="s">
        <v>20</v>
      </c>
      <c r="D64" s="281" t="s">
        <v>235</v>
      </c>
      <c r="E64" s="281">
        <v>20920039</v>
      </c>
      <c r="F64" s="281" t="s">
        <v>1114</v>
      </c>
      <c r="G64" s="282" t="s">
        <v>240</v>
      </c>
      <c r="H64" s="281" t="s">
        <v>845</v>
      </c>
      <c r="I64" s="281" t="s">
        <v>30</v>
      </c>
      <c r="J64" s="281" t="s">
        <v>57</v>
      </c>
      <c r="K64" s="281" t="s">
        <v>846</v>
      </c>
      <c r="L64" s="281" t="s">
        <v>847</v>
      </c>
      <c r="M64" s="283" t="str">
        <f>IF(L64="NJAD","AA",IF(L64="AA","L",IF(L64="L","LK","GB")))</f>
        <v>L</v>
      </c>
      <c r="N64" s="282" t="s">
        <v>511</v>
      </c>
      <c r="O64" s="281">
        <v>150</v>
      </c>
      <c r="P64" s="281" t="s">
        <v>1115</v>
      </c>
      <c r="Q64" s="284">
        <v>44162</v>
      </c>
      <c r="R64" s="281" t="str">
        <f ca="1">DATEDIF(Q64,TODAY(), "Y") &amp; " Tahun " &amp; DATEDIF(Q64, TODAY(), "YM") &amp; " Bulan"</f>
        <v>5 Tahun 1 Bulan</v>
      </c>
      <c r="S64" s="281" t="s">
        <v>849</v>
      </c>
      <c r="T64" s="285">
        <v>44348</v>
      </c>
      <c r="U64" s="281" t="str">
        <f ca="1">DATEDIF(T64,TODAY(), "Y") &amp; " Tahun " &amp; DATEDIF(T64, TODAY(), "YM") &amp; " Bulan"</f>
        <v>4 Tahun 7 Bulan</v>
      </c>
      <c r="V64" s="281" t="s">
        <v>1116</v>
      </c>
      <c r="W64" s="281" t="s">
        <v>851</v>
      </c>
      <c r="X64" s="283" t="str">
        <f ca="1">IF(AND(OR(L64="AA",L64="L"),OR(S64="Penata Muda Tk. I Golongan III/b",S64="Penata Golongan III/c"),DATEDIF(Q64,TODAY(),"m")&gt;=23,ISBLANK(Z64),C64="Aktif"),"Nominasi Serdos","-")</f>
        <v>-</v>
      </c>
      <c r="Y64" s="281"/>
      <c r="Z64" s="281" t="s">
        <v>852</v>
      </c>
      <c r="AA64" s="290">
        <v>2.41072E+18</v>
      </c>
      <c r="AB64" s="281" t="s">
        <v>1117</v>
      </c>
      <c r="AC64" s="285">
        <v>45351</v>
      </c>
      <c r="AD64" s="281" t="s">
        <v>30</v>
      </c>
      <c r="AE64" s="281" t="s">
        <v>30</v>
      </c>
      <c r="AF64" s="281" t="s">
        <v>30</v>
      </c>
      <c r="AG64" s="281" t="s">
        <v>30</v>
      </c>
      <c r="AH64" s="281" t="s">
        <v>854</v>
      </c>
      <c r="AI64" s="281" t="s">
        <v>855</v>
      </c>
      <c r="AJ64" s="281" t="s">
        <v>856</v>
      </c>
      <c r="AK64" s="281" t="s">
        <v>855</v>
      </c>
      <c r="AL64" s="281" t="s">
        <v>857</v>
      </c>
      <c r="AM64" s="286">
        <v>43282</v>
      </c>
      <c r="AN64" s="287" t="str">
        <f ca="1">DATEDIF(AM64,TODAY(),"y")&amp;" tahun "&amp;DATEDIF(AM64,TODAY(),"ym")&amp;" bulan "</f>
        <v xml:space="preserve">7 tahun 6 bulan </v>
      </c>
      <c r="AO64" s="281" t="s">
        <v>858</v>
      </c>
      <c r="AP64" s="281" t="s">
        <v>934</v>
      </c>
      <c r="AQ64" s="281" t="s">
        <v>1118</v>
      </c>
      <c r="AR64" s="281" t="s">
        <v>241</v>
      </c>
      <c r="AS64" s="281">
        <v>81259106836</v>
      </c>
      <c r="AT64" s="281" t="s">
        <v>242</v>
      </c>
      <c r="AU64" s="281" t="s">
        <v>30</v>
      </c>
      <c r="AV64" s="281"/>
      <c r="AW64" s="281" t="str">
        <f>VLOOKUP(B64,Sheet2!A38:I155,9,FALSE)</f>
        <v>Hawwin Mardhiana, S.Kom., M.Kom.</v>
      </c>
      <c r="AX64" s="281" t="s">
        <v>902</v>
      </c>
      <c r="AY64" s="281" t="str">
        <f>VLOOKUP(B64,Sheet2!A38:C155,2,FALSE)</f>
        <v>Magetan</v>
      </c>
      <c r="AZ64" s="288">
        <f>VLOOKUP(B64,Sheet2!A38:C155,3,FALSE)</f>
        <v>33840</v>
      </c>
      <c r="BA64" s="281">
        <f ca="1">DATEDIF(AZ64, TODAY(),"y")</f>
        <v>33</v>
      </c>
      <c r="BB64" s="281"/>
      <c r="BC64" s="281"/>
      <c r="BD64" s="281"/>
      <c r="BE64" s="281"/>
      <c r="BF64" s="289"/>
      <c r="BG64" s="289"/>
      <c r="BH64" s="289"/>
      <c r="BI64" s="289"/>
      <c r="BJ64" s="289"/>
      <c r="BK64" s="289"/>
      <c r="BL64" s="288" t="str">
        <f>VLOOKUP(B64,Sheet2!A38:D155,4,FALSE)</f>
        <v>Dosen</v>
      </c>
      <c r="BM64" s="281"/>
      <c r="BN64" s="281"/>
      <c r="BO64" s="281"/>
      <c r="BP64" s="281"/>
      <c r="BQ64" s="281"/>
      <c r="BR64" s="288" t="str">
        <f>VLOOKUP(B64,Sheet2!A38:E155,5,FALSE)</f>
        <v>Enterprise and Industrial System (EINS)</v>
      </c>
      <c r="BS64" s="288" t="str">
        <f>VLOOKUP(B64,Sheet2!A38:F155,6,FALSE)</f>
        <v>MAE</v>
      </c>
      <c r="BT64" s="288" t="str">
        <f>VLOOKUP(B64,Sheet2!A38:G155,7,FALSE)</f>
        <v>Fakultas Rekayasa Industri</v>
      </c>
      <c r="BU64" s="288" t="str">
        <f>VLOOKUP(B64,Sheet2!A38:H155,8,FALSE)</f>
        <v>hawwinmardhiana@telkomuniversity.ac.id</v>
      </c>
      <c r="BV64" s="280">
        <f>COUNTIFS('Join TPA Dosen'!B:B,'Dosen sorted'!B28)</f>
        <v>0</v>
      </c>
      <c r="BW64" s="273" t="str">
        <f>DATEDIF(AM64,DATE(2026,1,1),"y")&amp;" tahun "&amp;DATEDIF(AM64,DATE(2026,1,1),"ym")&amp;" bulan "</f>
        <v xml:space="preserve">7 tahun 6 bulan </v>
      </c>
      <c r="BX64" s="280" t="str">
        <f>VLOOKUP($B64,Sheet1!$A:$G,2,FALSE)</f>
        <v>UNEJ</v>
      </c>
      <c r="BY64" s="280" t="str">
        <f>VLOOKUP($B64,Sheet1!$A:$G,3,FALSE)</f>
        <v>Sistem Informasi</v>
      </c>
      <c r="BZ64" s="280" t="str">
        <f>VLOOKUP($B64,Sheet1!$A:$G,4,FALSE)</f>
        <v>ITS</v>
      </c>
      <c r="CA64" s="280" t="str">
        <f>VLOOKUP($B64,Sheet1!$A:$G,5,FALSE)</f>
        <v>Sistem Informasi</v>
      </c>
      <c r="CB64" s="280" t="str">
        <f>VLOOKUP($B64,Sheet1!$A:$G,6,FALSE)</f>
        <v>UGM</v>
      </c>
      <c r="CC64" s="280" t="str">
        <f>VLOOKUP($B64,Sheet1!$A:$G,7,FALSE)</f>
        <v>Ilmu Komputer</v>
      </c>
      <c r="CD64" s="280" t="s">
        <v>862</v>
      </c>
      <c r="CE64" s="280" t="s">
        <v>863</v>
      </c>
    </row>
    <row r="65" spans="1:83" ht="19.5" hidden="1">
      <c r="A65" s="281">
        <v>62</v>
      </c>
      <c r="B65" s="281" t="s">
        <v>268</v>
      </c>
      <c r="C65" s="281" t="s">
        <v>20</v>
      </c>
      <c r="D65" s="281" t="s">
        <v>235</v>
      </c>
      <c r="E65" s="281">
        <v>21910012</v>
      </c>
      <c r="F65" s="281" t="s">
        <v>1064</v>
      </c>
      <c r="G65" s="282" t="s">
        <v>269</v>
      </c>
      <c r="H65" s="291" t="s">
        <v>884</v>
      </c>
      <c r="I65" s="281" t="s">
        <v>30</v>
      </c>
      <c r="J65" s="281" t="s">
        <v>1065</v>
      </c>
      <c r="K65" s="281" t="s">
        <v>846</v>
      </c>
      <c r="L65" s="281" t="s">
        <v>847</v>
      </c>
      <c r="M65" s="283" t="str">
        <f>IF(L65="NJAD","AA",IF(L65="AA","L",IF(L65="L","LK","GB")))</f>
        <v>L</v>
      </c>
      <c r="N65" s="282" t="s">
        <v>511</v>
      </c>
      <c r="O65" s="281">
        <v>150</v>
      </c>
      <c r="P65" s="281" t="s">
        <v>1066</v>
      </c>
      <c r="Q65" s="284">
        <v>45444</v>
      </c>
      <c r="R65" s="281" t="str">
        <f ca="1">DATEDIF(Q65,TODAY(), "Y") &amp; " Tahun " &amp; DATEDIF(Q65, TODAY(), "YM") &amp; " Bulan"</f>
        <v>1 Tahun 7 Bulan</v>
      </c>
      <c r="S65" s="281" t="s">
        <v>849</v>
      </c>
      <c r="T65" s="284">
        <v>45717</v>
      </c>
      <c r="U65" s="281" t="str">
        <f ca="1">DATEDIF(T65,TODAY(), "Y") &amp; " Tahun " &amp; DATEDIF(T65, TODAY(), "YM") &amp; " Bulan"</f>
        <v>0 Tahun 10 Bulan</v>
      </c>
      <c r="V65" s="281" t="s">
        <v>1067</v>
      </c>
      <c r="W65" s="281" t="s">
        <v>851</v>
      </c>
      <c r="X65" s="283" t="str">
        <f ca="1">IF(AND(OR(L65="AA",L65="L"),OR(S65="Penata Muda Tk. I Golongan III/b",S65="Penata Golongan III/c"),DATEDIF(Q65,TODAY(),"m")&gt;=23,ISBLANK(Z65),C65="Aktif"),"Nominasi Serdos","-")</f>
        <v>-</v>
      </c>
      <c r="Y65" s="281"/>
      <c r="Z65" s="282"/>
      <c r="AA65" s="281"/>
      <c r="AB65" s="281" t="s">
        <v>30</v>
      </c>
      <c r="AC65" s="282" t="s">
        <v>511</v>
      </c>
      <c r="AD65" s="281" t="s">
        <v>30</v>
      </c>
      <c r="AE65" s="281" t="s">
        <v>30</v>
      </c>
      <c r="AF65" s="281" t="s">
        <v>30</v>
      </c>
      <c r="AG65" s="281" t="s">
        <v>30</v>
      </c>
      <c r="AH65" s="281" t="s">
        <v>854</v>
      </c>
      <c r="AI65" s="281" t="s">
        <v>30</v>
      </c>
      <c r="AJ65" s="281" t="s">
        <v>30</v>
      </c>
      <c r="AK65" s="281" t="s">
        <v>30</v>
      </c>
      <c r="AM65" s="286">
        <v>44562</v>
      </c>
      <c r="AN65" s="287" t="str">
        <f ca="1">DATEDIF(AM65,TODAY(),"y")&amp;" tahun "&amp;DATEDIF(AM65,TODAY(),"ym")&amp;" bulan "</f>
        <v xml:space="preserve">4 tahun 0 bulan </v>
      </c>
      <c r="AO65" s="281" t="s">
        <v>858</v>
      </c>
      <c r="AP65" s="281" t="s">
        <v>934</v>
      </c>
      <c r="AQ65" s="281" t="s">
        <v>1068</v>
      </c>
      <c r="AR65" s="281" t="s">
        <v>271</v>
      </c>
      <c r="AS65" s="281">
        <v>8123122708</v>
      </c>
      <c r="AT65" s="281" t="s">
        <v>272</v>
      </c>
      <c r="AU65" s="281" t="s">
        <v>30</v>
      </c>
      <c r="AV65" s="281"/>
      <c r="AW65" s="281" t="str">
        <f>VLOOKUP(B65,Sheet2!A63:I180,9,FALSE)</f>
        <v>Mochamad Nizar Palefi Ma'ady, S.Kom., M.Kom., M.IM.</v>
      </c>
      <c r="AX65" s="281" t="s">
        <v>861</v>
      </c>
      <c r="AY65" s="281" t="str">
        <f>VLOOKUP(B65,Sheet2!A63:C180,2,FALSE)</f>
        <v>Bojonegoro</v>
      </c>
      <c r="AZ65" s="288">
        <f>VLOOKUP(B65,Sheet2!A63:C180,3,FALSE)</f>
        <v>33550</v>
      </c>
      <c r="BA65" s="281">
        <f ca="1">DATEDIF(AZ65, TODAY(),"y")</f>
        <v>34</v>
      </c>
      <c r="BB65" s="281"/>
      <c r="BC65" s="281"/>
      <c r="BD65" s="281"/>
      <c r="BE65" s="281"/>
      <c r="BF65" s="289"/>
      <c r="BG65" s="289"/>
      <c r="BH65" s="289"/>
      <c r="BI65" s="304"/>
      <c r="BJ65" s="304"/>
      <c r="BK65" s="304"/>
      <c r="BL65" s="288" t="s">
        <v>922</v>
      </c>
      <c r="BM65" s="281"/>
      <c r="BN65" s="281"/>
      <c r="BO65" s="281"/>
      <c r="BP65" s="281"/>
      <c r="BQ65" s="281"/>
      <c r="BR65" s="288" t="str">
        <f>VLOOKUP(B65,Sheet2!A63:E180,5,FALSE)</f>
        <v>Cybernetics</v>
      </c>
      <c r="BS65" s="288" t="str">
        <f>VLOOKUP(B65,Sheet2!A63:F180,6,FALSE)</f>
        <v>NZR</v>
      </c>
      <c r="BT65" s="288" t="str">
        <f>VLOOKUP(B65,Sheet2!A63:G180,7,FALSE)</f>
        <v>Fakultas Rekayasa Industri</v>
      </c>
      <c r="BU65" s="288" t="str">
        <f>VLOOKUP(B65,Sheet2!A63:H180,8,FALSE)</f>
        <v>mnizarpm@telkomuniversity.ac.id</v>
      </c>
      <c r="BV65" s="280">
        <f>COUNTIFS('Join TPA Dosen'!B:B,'Dosen sorted'!B63)</f>
        <v>1</v>
      </c>
      <c r="BW65" s="273" t="str">
        <f>DATEDIF(AM65,DATE(2026,1,1),"y")&amp;" tahun "&amp;DATEDIF(AM65,DATE(2026,1,1),"ym")&amp;" bulan "</f>
        <v xml:space="preserve">4 tahun 0 bulan </v>
      </c>
      <c r="BX65" s="280" t="str">
        <f>VLOOKUP($B65,Sheet1!$A:$G,2,FALSE)</f>
        <v>ITS</v>
      </c>
      <c r="BY65" s="280" t="str">
        <f>VLOOKUP($B65,Sheet1!$A:$G,3,FALSE)</f>
        <v>Sistem Informasi</v>
      </c>
      <c r="BZ65" s="280" t="str">
        <f>VLOOKUP($B65,Sheet1!$A:$G,4,FALSE)</f>
        <v>ITS &amp; NTUST</v>
      </c>
      <c r="CA65" s="280" t="str">
        <f>VLOOKUP($B65,Sheet1!$A:$G,5,FALSE)</f>
        <v>Teknik Informatika - Sistem Informasi &amp; Information Management</v>
      </c>
      <c r="CB65" s="280" t="str">
        <f>VLOOKUP($B65,Sheet1!$A:$G,6,FALSE)</f>
        <v>-</v>
      </c>
      <c r="CC65" s="280">
        <f>VLOOKUP($B65,Sheet1!$A:$G,7,FALSE)</f>
        <v>0</v>
      </c>
      <c r="CD65" s="280" t="s">
        <v>862</v>
      </c>
      <c r="CE65" s="280" t="s">
        <v>863</v>
      </c>
    </row>
    <row r="66" spans="1:83" ht="19.5" hidden="1">
      <c r="A66" s="281">
        <v>45</v>
      </c>
      <c r="B66" s="281" t="s">
        <v>260</v>
      </c>
      <c r="C66" s="281" t="s">
        <v>20</v>
      </c>
      <c r="D66" s="281" t="s">
        <v>235</v>
      </c>
      <c r="E66" s="281">
        <v>23900009</v>
      </c>
      <c r="F66" s="281" t="s">
        <v>1005</v>
      </c>
      <c r="G66" s="282" t="s">
        <v>261</v>
      </c>
      <c r="H66" s="281" t="s">
        <v>845</v>
      </c>
      <c r="I66" s="281" t="s">
        <v>30</v>
      </c>
      <c r="J66" s="281" t="s">
        <v>57</v>
      </c>
      <c r="K66" s="281" t="s">
        <v>846</v>
      </c>
      <c r="L66" s="281" t="s">
        <v>847</v>
      </c>
      <c r="M66" s="283" t="str">
        <f>IF(L66="NJAD","AA",IF(L66="AA","L",IF(L66="L","LK","GB")))</f>
        <v>L</v>
      </c>
      <c r="N66" s="282" t="s">
        <v>511</v>
      </c>
      <c r="O66" s="281">
        <v>150</v>
      </c>
      <c r="P66" s="281" t="s">
        <v>1006</v>
      </c>
      <c r="Q66" s="284">
        <v>44743</v>
      </c>
      <c r="R66" s="281" t="str">
        <f ca="1">DATEDIF(Q66,TODAY(), "Y") &amp; " Tahun " &amp; DATEDIF(Q66, TODAY(), "YM") &amp; " Bulan"</f>
        <v>3 Tahun 6 Bulan</v>
      </c>
      <c r="S66" s="281" t="s">
        <v>849</v>
      </c>
      <c r="T66" s="285">
        <v>44896</v>
      </c>
      <c r="U66" s="281" t="str">
        <f ca="1">DATEDIF(T66,TODAY(), "Y") &amp; " Tahun " &amp; DATEDIF(T66, TODAY(), "YM") &amp; " Bulan"</f>
        <v>3 Tahun 1 Bulan</v>
      </c>
      <c r="V66" s="281" t="s">
        <v>1007</v>
      </c>
      <c r="W66" s="281" t="s">
        <v>851</v>
      </c>
      <c r="X66" s="283" t="str">
        <f ca="1">IF(AND(OR(L66="AA",L66="L"),OR(S66="Penata Muda Tk. I Golongan III/b",S66="Penata Golongan III/c"),DATEDIF(Q66,TODAY(),"m")&gt;=23,ISBLANK(Z66),C66="Aktif"),"Nominasi Serdos","-")</f>
        <v>-</v>
      </c>
      <c r="Y66" s="281"/>
      <c r="Z66" s="282" t="s">
        <v>852</v>
      </c>
      <c r="AA66" s="290">
        <v>25104105713091</v>
      </c>
      <c r="AB66" s="281" t="s">
        <v>1008</v>
      </c>
      <c r="AC66" s="285">
        <v>45917</v>
      </c>
      <c r="AD66" s="281" t="s">
        <v>30</v>
      </c>
      <c r="AE66" s="281" t="s">
        <v>30</v>
      </c>
      <c r="AF66" s="281" t="s">
        <v>30</v>
      </c>
      <c r="AG66" s="281" t="s">
        <v>30</v>
      </c>
      <c r="AH66" s="281" t="s">
        <v>854</v>
      </c>
      <c r="AI66" s="281" t="s">
        <v>855</v>
      </c>
      <c r="AJ66" s="281" t="s">
        <v>856</v>
      </c>
      <c r="AK66" s="281" t="s">
        <v>855</v>
      </c>
      <c r="AM66" s="286">
        <v>44075</v>
      </c>
      <c r="AN66" s="287" t="str">
        <f ca="1">DATEDIF(AM66,TODAY(),"y")&amp;" tahun "&amp;DATEDIF(AM66,TODAY(),"ym")&amp;" bulan "</f>
        <v xml:space="preserve">5 tahun 4 bulan </v>
      </c>
      <c r="AO66" s="281" t="s">
        <v>858</v>
      </c>
      <c r="AP66" s="281" t="s">
        <v>934</v>
      </c>
      <c r="AQ66" s="281" t="s">
        <v>1009</v>
      </c>
      <c r="AR66" s="281" t="s">
        <v>262</v>
      </c>
      <c r="AS66" s="281">
        <v>85259501314</v>
      </c>
      <c r="AT66" s="281" t="s">
        <v>263</v>
      </c>
      <c r="AU66" s="281" t="s">
        <v>30</v>
      </c>
      <c r="AV66" s="281"/>
      <c r="AW66" s="281" t="str">
        <f>VLOOKUP(B66,Sheet2!A46:I163,9,FALSE)</f>
        <v>Muhamad Nasrullah, S.Kom., M.Kom.</v>
      </c>
      <c r="AX66" s="281" t="s">
        <v>861</v>
      </c>
      <c r="AY66" s="281" t="str">
        <f>VLOOKUP(B66,Sheet2!A46:C163,2,FALSE)</f>
        <v>Sidoarjo</v>
      </c>
      <c r="AZ66" s="288">
        <f>VLOOKUP(B66,Sheet2!A46:C163,3,FALSE)</f>
        <v>33002</v>
      </c>
      <c r="BA66" s="281">
        <f ca="1">DATEDIF(AZ66, TODAY(),"y")</f>
        <v>35</v>
      </c>
      <c r="BB66" s="281"/>
      <c r="BC66" s="281"/>
      <c r="BD66" s="281"/>
      <c r="BE66" s="281"/>
      <c r="BF66" s="289"/>
      <c r="BG66" s="289"/>
      <c r="BH66" s="289"/>
      <c r="BI66" s="289"/>
      <c r="BJ66" s="289"/>
      <c r="BK66" s="289"/>
      <c r="BL66" s="288" t="s">
        <v>21</v>
      </c>
      <c r="BM66" s="281"/>
      <c r="BN66" s="281"/>
      <c r="BO66" s="281"/>
      <c r="BP66" s="281"/>
      <c r="BQ66" s="281"/>
      <c r="BR66" s="288" t="str">
        <f>VLOOKUP(B66,Sheet2!A46:E163,5,FALSE)</f>
        <v>Enterprise and Industrial System (EINS)</v>
      </c>
      <c r="BS66" s="288" t="str">
        <f>VLOOKUP(B66,Sheet2!A46:F163,6,FALSE)</f>
        <v>RLH</v>
      </c>
      <c r="BT66" s="288" t="str">
        <f>VLOOKUP(B66,Sheet2!A46:G163,7,FALSE)</f>
        <v>Fakultas Rekayasa Industri</v>
      </c>
      <c r="BU66" s="288" t="str">
        <f>VLOOKUP(B66,Sheet2!A46:H163,8,FALSE)</f>
        <v>emnasrul@telkomuniversity.ac.id</v>
      </c>
      <c r="BV66" s="280">
        <f>COUNTIFS('Join TPA Dosen'!B:B,'Dosen sorted'!B46)</f>
        <v>1</v>
      </c>
      <c r="BW66" s="273" t="str">
        <f>DATEDIF(AM66,DATE(2026,1,1),"y")&amp;" tahun "&amp;DATEDIF(AM66,DATE(2026,1,1),"ym")&amp;" bulan "</f>
        <v xml:space="preserve">5 tahun 4 bulan </v>
      </c>
      <c r="BX66" s="280" t="str">
        <f>VLOOKUP($B66,Sheet1!$A:$G,2,FALSE)</f>
        <v>ITS</v>
      </c>
      <c r="BY66" s="280" t="str">
        <f>VLOOKUP($B66,Sheet1!$A:$G,3,FALSE)</f>
        <v>Sistem Informasi</v>
      </c>
      <c r="BZ66" s="280" t="str">
        <f>VLOOKUP($B66,Sheet1!$A:$G,4,FALSE)</f>
        <v>ITS</v>
      </c>
      <c r="CA66" s="280" t="str">
        <f>VLOOKUP($B66,Sheet1!$A:$G,5,FALSE)</f>
        <v>Sistem Informasi</v>
      </c>
      <c r="CB66" s="280" t="str">
        <f>VLOOKUP($B66,Sheet1!$A:$G,6,FALSE)</f>
        <v>-</v>
      </c>
      <c r="CC66" s="280">
        <f>VLOOKUP($B66,Sheet1!$A:$G,7,FALSE)</f>
        <v>0</v>
      </c>
      <c r="CD66" s="280" t="s">
        <v>882</v>
      </c>
      <c r="CE66" s="280" t="s">
        <v>903</v>
      </c>
    </row>
    <row r="67" spans="1:83" ht="19.5" hidden="1">
      <c r="A67" s="281">
        <v>100</v>
      </c>
      <c r="B67" s="281" t="s">
        <v>325</v>
      </c>
      <c r="C67" s="281" t="s">
        <v>20</v>
      </c>
      <c r="D67" s="281" t="s">
        <v>235</v>
      </c>
      <c r="E67" s="281">
        <v>23990020</v>
      </c>
      <c r="F67" s="291" t="s">
        <v>1239</v>
      </c>
      <c r="G67" s="296" t="s">
        <v>326</v>
      </c>
      <c r="H67" s="291" t="s">
        <v>884</v>
      </c>
      <c r="I67" s="295" t="s">
        <v>30</v>
      </c>
      <c r="J67" s="281" t="s">
        <v>57</v>
      </c>
      <c r="K67" s="281" t="s">
        <v>917</v>
      </c>
      <c r="L67" s="281" t="s">
        <v>918</v>
      </c>
      <c r="M67" s="283" t="str">
        <f>IF(L67="NJAD","AA",IF(L67="AA","L",IF(L67="L","LK","GB")))</f>
        <v>AA</v>
      </c>
      <c r="N67" s="282" t="s">
        <v>511</v>
      </c>
      <c r="O67" s="281">
        <v>0</v>
      </c>
      <c r="P67" s="281" t="s">
        <v>30</v>
      </c>
      <c r="Q67" s="284">
        <v>45170</v>
      </c>
      <c r="R67" s="281" t="str">
        <f ca="1">DATEDIF(Q67,TODAY(), "Y") &amp; " Tahun " &amp; DATEDIF(Q67, TODAY(), "YM") &amp; " Bulan"</f>
        <v>2 Tahun 4 Bulan</v>
      </c>
      <c r="S67" s="282" t="s">
        <v>511</v>
      </c>
      <c r="T67" s="282" t="s">
        <v>511</v>
      </c>
      <c r="U67" s="281" t="e">
        <f ca="1">DATEDIF(T67,TODAY(), "Y") &amp; " Tahun " &amp; DATEDIF(T67, TODAY(), "YM") &amp; " Bulan"</f>
        <v>#VALUE!</v>
      </c>
      <c r="V67" s="281" t="s">
        <v>933</v>
      </c>
      <c r="W67" s="281" t="s">
        <v>851</v>
      </c>
      <c r="X67" s="283" t="str">
        <f ca="1">IF(AND(OR(L67="AA",L67="L"),OR(S67="Penata Muda Tk. I Golongan III/b",S67="Penata Golongan III/c"),DATEDIF(Q67,TODAY(),"m")&gt;=23,ISBLANK(Z67),C67="Aktif"),"Nominasi Serdos","-")</f>
        <v>-</v>
      </c>
      <c r="Y67" s="281"/>
      <c r="Z67" s="297"/>
      <c r="AA67" s="297"/>
      <c r="AB67" s="295" t="s">
        <v>30</v>
      </c>
      <c r="AC67" s="297" t="s">
        <v>511</v>
      </c>
      <c r="AD67" s="281" t="s">
        <v>30</v>
      </c>
      <c r="AE67" s="281" t="s">
        <v>30</v>
      </c>
      <c r="AF67" s="281" t="s">
        <v>30</v>
      </c>
      <c r="AG67" s="281" t="s">
        <v>30</v>
      </c>
      <c r="AH67" s="281" t="s">
        <v>854</v>
      </c>
      <c r="AI67" s="293" t="s">
        <v>855</v>
      </c>
      <c r="AJ67" s="293" t="s">
        <v>897</v>
      </c>
      <c r="AK67" s="281" t="s">
        <v>898</v>
      </c>
      <c r="AL67" s="293" t="s">
        <v>899</v>
      </c>
      <c r="AM67" s="286">
        <v>45170</v>
      </c>
      <c r="AN67" s="287" t="str">
        <f ca="1">DATEDIF(AM67,TODAY(),"y")&amp;" tahun "&amp;DATEDIF(AM67,TODAY(),"ym")&amp;" bulan "</f>
        <v xml:space="preserve">2 tahun 4 bulan </v>
      </c>
      <c r="AO67" s="281" t="s">
        <v>858</v>
      </c>
      <c r="AP67" s="281" t="s">
        <v>934</v>
      </c>
      <c r="AQ67" s="281" t="s">
        <v>1240</v>
      </c>
      <c r="AR67" s="281" t="s">
        <v>327</v>
      </c>
      <c r="AS67" s="281">
        <v>85200022100</v>
      </c>
      <c r="AT67" s="281" t="s">
        <v>328</v>
      </c>
      <c r="AU67" s="281" t="s">
        <v>30</v>
      </c>
      <c r="AV67" s="281"/>
      <c r="AW67" s="281" t="str">
        <f>VLOOKUP(B67,Sheet2!A101:I218,9,FALSE)</f>
        <v>Muhammad Ilham Alhari, S.Kom., M.Kom.</v>
      </c>
      <c r="AX67" s="281" t="s">
        <v>861</v>
      </c>
      <c r="AY67" s="281" t="str">
        <f>VLOOKUP(B67,Sheet2!A101:C218,2,FALSE)</f>
        <v>Sragen</v>
      </c>
      <c r="AZ67" s="288">
        <f>VLOOKUP(B67,Sheet2!A101:C218,3,FALSE)</f>
        <v>36363</v>
      </c>
      <c r="BA67" s="281">
        <f ca="1">DATEDIF(AZ67, TODAY(),"y")</f>
        <v>26</v>
      </c>
      <c r="BB67" s="281"/>
      <c r="BC67" s="281"/>
      <c r="BD67" s="281"/>
      <c r="BE67" s="295"/>
      <c r="BF67" s="289"/>
      <c r="BG67" s="289"/>
      <c r="BH67" s="289"/>
      <c r="BI67" s="289"/>
      <c r="BJ67" s="289"/>
      <c r="BK67" s="289"/>
      <c r="BL67" s="288" t="str">
        <f>VLOOKUP(B67,Sheet2!A101:D218,4,FALSE)</f>
        <v>Dosen</v>
      </c>
      <c r="BM67" s="281"/>
      <c r="BN67" s="281"/>
      <c r="BO67" s="281"/>
      <c r="BP67" s="281"/>
      <c r="BQ67" s="281"/>
      <c r="BR67" s="288" t="str">
        <f>VLOOKUP(B67,Sheet2!A101:E218,5,FALSE)</f>
        <v>Enterprise and Industrial System (EINS)</v>
      </c>
      <c r="BS67" s="288" t="str">
        <f>VLOOKUP(B67,Sheet2!A101:F218,6,FALSE)</f>
        <v>LHA</v>
      </c>
      <c r="BT67" s="288" t="str">
        <f>VLOOKUP(B67,Sheet2!A101:G218,7,FALSE)</f>
        <v>Fakultas Rekayasa Industri</v>
      </c>
      <c r="BU67" s="288" t="str">
        <f>VLOOKUP(B67,Sheet2!A101:H218,8,FALSE)</f>
        <v>ilhamalhari@telkomuniversity.ac.id</v>
      </c>
      <c r="BV67" s="280">
        <f>COUNTIFS('Join TPA Dosen'!B:B,'Dosen sorted'!B101)</f>
        <v>1</v>
      </c>
      <c r="BW67" s="273" t="str">
        <f>DATEDIF(AM67,DATE(2026,1,1),"y")&amp;" tahun "&amp;DATEDIF(AM67,DATE(2026,1,1),"ym")&amp;" bulan "</f>
        <v xml:space="preserve">2 tahun 4 bulan </v>
      </c>
      <c r="BX67" s="280" t="str">
        <f>VLOOKUP($B67,Sheet1!$A:$G,2,FALSE)</f>
        <v>Tel-U</v>
      </c>
      <c r="BY67" s="280" t="str">
        <f>VLOOKUP($B67,Sheet1!$A:$G,3,FALSE)</f>
        <v>Sistem Informasi</v>
      </c>
      <c r="BZ67" s="280" t="str">
        <f>VLOOKUP($B67,Sheet1!$A:$G,4,FALSE)</f>
        <v>Tel-U</v>
      </c>
      <c r="CA67" s="280" t="str">
        <f>VLOOKUP($B67,Sheet1!$A:$G,5,FALSE)</f>
        <v>Sistem Informasi</v>
      </c>
      <c r="CB67" s="280" t="str">
        <f>VLOOKUP($B67,Sheet1!$A:$G,6,FALSE)</f>
        <v>ITS</v>
      </c>
      <c r="CC67" s="280" t="str">
        <f>VLOOKUP($B67,Sheet1!$A:$G,7,FALSE)</f>
        <v>Sistem Informasi</v>
      </c>
      <c r="CD67" s="280" t="s">
        <v>882</v>
      </c>
      <c r="CE67" s="280" t="s">
        <v>863</v>
      </c>
    </row>
    <row r="68" spans="1:83" ht="19.5" hidden="1">
      <c r="A68" s="281">
        <v>21</v>
      </c>
      <c r="B68" s="281" t="s">
        <v>247</v>
      </c>
      <c r="C68" s="281" t="s">
        <v>20</v>
      </c>
      <c r="D68" s="281" t="s">
        <v>235</v>
      </c>
      <c r="E68" s="281">
        <v>19900003</v>
      </c>
      <c r="F68" s="281" t="s">
        <v>1101</v>
      </c>
      <c r="G68" s="282" t="s">
        <v>248</v>
      </c>
      <c r="H68" s="281" t="s">
        <v>845</v>
      </c>
      <c r="I68" s="281" t="s">
        <v>30</v>
      </c>
      <c r="J68" s="281" t="s">
        <v>57</v>
      </c>
      <c r="K68" s="281" t="s">
        <v>893</v>
      </c>
      <c r="L68" s="281" t="s">
        <v>775</v>
      </c>
      <c r="M68" s="283" t="str">
        <f>IF(L68="NJAD","AA",IF(L68="AA","L",IF(L68="L","LK","GB")))</f>
        <v>LK</v>
      </c>
      <c r="N68" s="282" t="s">
        <v>511</v>
      </c>
      <c r="O68" s="281">
        <v>200</v>
      </c>
      <c r="P68" s="281" t="s">
        <v>1102</v>
      </c>
      <c r="Q68" s="284">
        <v>45108</v>
      </c>
      <c r="R68" s="281" t="str">
        <f ca="1">DATEDIF(Q68,TODAY(), "Y") &amp; " Tahun " &amp; DATEDIF(Q68, TODAY(), "YM") &amp; " Bulan"</f>
        <v>2 Tahun 6 Bulan</v>
      </c>
      <c r="S68" s="281" t="s">
        <v>876</v>
      </c>
      <c r="T68" s="285">
        <v>45658</v>
      </c>
      <c r="U68" s="281" t="str">
        <f ca="1">DATEDIF(T68,TODAY(), "Y") &amp; " Tahun " &amp; DATEDIF(T68, TODAY(), "YM") &amp; " Bulan"</f>
        <v>1 Tahun 0 Bulan</v>
      </c>
      <c r="V68" s="281" t="s">
        <v>933</v>
      </c>
      <c r="W68" s="281" t="s">
        <v>851</v>
      </c>
      <c r="X68" s="283" t="str">
        <f ca="1">IF(AND(OR(L68="AA",L68="L"),OR(S68="Penata Muda Tk. I Golongan III/b",S68="Penata Golongan III/c"),DATEDIF(Q68,TODAY(),"m")&gt;=23,ISBLANK(Z68),C68="Aktif"),"Nominasi Serdos","-")</f>
        <v>-</v>
      </c>
      <c r="Y68" s="281"/>
      <c r="Z68" s="281" t="s">
        <v>852</v>
      </c>
      <c r="AA68" s="281">
        <v>22107201905189</v>
      </c>
      <c r="AB68" s="291" t="s">
        <v>1103</v>
      </c>
      <c r="AC68" s="285">
        <v>44846</v>
      </c>
      <c r="AD68" s="281" t="s">
        <v>30</v>
      </c>
      <c r="AE68" s="281" t="s">
        <v>30</v>
      </c>
      <c r="AF68" s="281" t="s">
        <v>30</v>
      </c>
      <c r="AG68" s="281" t="s">
        <v>30</v>
      </c>
      <c r="AH68" s="281" t="s">
        <v>854</v>
      </c>
      <c r="AI68" s="281" t="s">
        <v>855</v>
      </c>
      <c r="AJ68" s="281" t="s">
        <v>856</v>
      </c>
      <c r="AK68" s="281" t="s">
        <v>855</v>
      </c>
      <c r="AL68" s="281" t="s">
        <v>857</v>
      </c>
      <c r="AM68" s="286">
        <v>43101</v>
      </c>
      <c r="AN68" s="287" t="str">
        <f ca="1">DATEDIF(AM68,TODAY(),"y")&amp;" tahun "&amp;DATEDIF(AM68,TODAY(),"ym")&amp;" bulan "</f>
        <v xml:space="preserve">8 tahun 0 bulan </v>
      </c>
      <c r="AO68" s="281" t="s">
        <v>858</v>
      </c>
      <c r="AP68" s="281" t="s">
        <v>934</v>
      </c>
      <c r="AQ68" s="281" t="s">
        <v>1104</v>
      </c>
      <c r="AR68" s="281" t="s">
        <v>249</v>
      </c>
      <c r="AS68" s="281">
        <v>85326721456</v>
      </c>
      <c r="AT68" s="281" t="s">
        <v>250</v>
      </c>
      <c r="AU68" s="281" t="s">
        <v>30</v>
      </c>
      <c r="AV68" s="281"/>
      <c r="AW68" s="281" t="str">
        <f>VLOOKUP(B68,Sheet2!A22:I139,9,FALSE)</f>
        <v>Noerma Pudji Istyanto, S.Kom., M.Kom.</v>
      </c>
      <c r="AX68" s="281" t="s">
        <v>861</v>
      </c>
      <c r="AY68" s="281" t="str">
        <f>VLOOKUP(B68,Sheet2!A22:C139,2,FALSE)</f>
        <v>Sampang</v>
      </c>
      <c r="AZ68" s="288">
        <f>VLOOKUP(B68,Sheet2!A22:C139,3,FALSE)</f>
        <v>33018</v>
      </c>
      <c r="BA68" s="281">
        <f ca="1">DATEDIF(AZ68, TODAY(),"y")</f>
        <v>35</v>
      </c>
      <c r="BB68" s="281"/>
      <c r="BC68" s="281"/>
      <c r="BD68" s="281"/>
      <c r="BE68" s="281"/>
      <c r="BF68" s="289"/>
      <c r="BG68" s="289"/>
      <c r="BH68" s="289"/>
      <c r="BI68" s="289"/>
      <c r="BJ68" s="289"/>
      <c r="BK68" s="289"/>
      <c r="BL68" s="288" t="str">
        <f>VLOOKUP(B68,Sheet2!A22:D139,4,FALSE)</f>
        <v>Dosen</v>
      </c>
      <c r="BM68" s="281"/>
      <c r="BN68" s="281"/>
      <c r="BO68" s="281"/>
      <c r="BP68" s="281"/>
      <c r="BQ68" s="281"/>
      <c r="BR68" s="288" t="str">
        <f>VLOOKUP(B68,Sheet2!A22:E139,5,FALSE)</f>
        <v>Enterprise and Industrial System (EINS)</v>
      </c>
      <c r="BS68" s="288" t="str">
        <f>VLOOKUP(B68,Sheet2!A22:F139,6,FALSE)</f>
        <v>NOE</v>
      </c>
      <c r="BT68" s="288" t="str">
        <f>VLOOKUP(B68,Sheet2!A22:G139,7,FALSE)</f>
        <v>Fakultas Rekayasa Industri</v>
      </c>
      <c r="BU68" s="288" t="str">
        <f>VLOOKUP(B68,Sheet2!A22:H139,8,FALSE)</f>
        <v>totonsiplho@telkomuniversity.ac.id</v>
      </c>
      <c r="BV68" s="280">
        <f>COUNTIFS('Join TPA Dosen'!B:B,'Dosen sorted'!B38)</f>
        <v>1</v>
      </c>
      <c r="BW68" s="273" t="str">
        <f>DATEDIF(AM68,DATE(2026,1,1),"y")&amp;" tahun "&amp;DATEDIF(AM68,DATE(2026,1,1),"ym")&amp;" bulan "</f>
        <v xml:space="preserve">8 tahun 0 bulan </v>
      </c>
      <c r="BX68" s="280" t="str">
        <f>VLOOKUP($B68,Sheet1!$A:$G,2,FALSE)</f>
        <v>ITS</v>
      </c>
      <c r="BY68" s="280" t="str">
        <f>VLOOKUP($B68,Sheet1!$A:$G,3,FALSE)</f>
        <v>Sistem Informasi</v>
      </c>
      <c r="BZ68" s="280" t="str">
        <f>VLOOKUP($B68,Sheet1!$A:$G,4,FALSE)</f>
        <v>ITS</v>
      </c>
      <c r="CA68" s="280" t="str">
        <f>VLOOKUP($B68,Sheet1!$A:$G,5,FALSE)</f>
        <v>Teknik Informatika - Sistem Informasi</v>
      </c>
      <c r="CB68" s="280" t="str">
        <f>VLOOKUP($B68,Sheet1!$A:$G,6,FALSE)</f>
        <v>ITS</v>
      </c>
      <c r="CC68" s="280" t="str">
        <f>VLOOKUP($B68,Sheet1!$A:$G,7,FALSE)</f>
        <v>Sistem Informasi</v>
      </c>
      <c r="CD68" s="280" t="s">
        <v>882</v>
      </c>
      <c r="CE68" s="280" t="s">
        <v>863</v>
      </c>
    </row>
    <row r="69" spans="1:83" ht="19.5" hidden="1">
      <c r="A69" s="281">
        <v>63</v>
      </c>
      <c r="B69" s="281" t="s">
        <v>273</v>
      </c>
      <c r="C69" s="281" t="s">
        <v>20</v>
      </c>
      <c r="D69" s="281" t="s">
        <v>235</v>
      </c>
      <c r="E69" s="281">
        <v>21870007</v>
      </c>
      <c r="F69" s="281" t="s">
        <v>1077</v>
      </c>
      <c r="G69" s="282" t="s">
        <v>274</v>
      </c>
      <c r="H69" s="291" t="s">
        <v>884</v>
      </c>
      <c r="I69" s="281" t="s">
        <v>30</v>
      </c>
      <c r="J69" s="281" t="s">
        <v>57</v>
      </c>
      <c r="K69" s="281" t="s">
        <v>917</v>
      </c>
      <c r="L69" s="281" t="s">
        <v>918</v>
      </c>
      <c r="M69" s="283" t="str">
        <f>IF(L69="NJAD","AA",IF(L69="AA","L",IF(L69="L","LK","GB")))</f>
        <v>AA</v>
      </c>
      <c r="N69" s="282" t="s">
        <v>511</v>
      </c>
      <c r="O69" s="281">
        <v>0</v>
      </c>
      <c r="P69" s="281" t="s">
        <v>30</v>
      </c>
      <c r="Q69" s="284">
        <v>44562</v>
      </c>
      <c r="R69" s="281" t="str">
        <f ca="1">DATEDIF(Q69,TODAY(), "Y") &amp; " Tahun " &amp; DATEDIF(Q69, TODAY(), "YM") &amp; " Bulan"</f>
        <v>4 Tahun 0 Bulan</v>
      </c>
      <c r="S69" s="282" t="s">
        <v>511</v>
      </c>
      <c r="T69" s="282" t="s">
        <v>511</v>
      </c>
      <c r="U69" s="281" t="e">
        <f ca="1">DATEDIF(T69,TODAY(), "Y") &amp; " Tahun " &amp; DATEDIF(T69, TODAY(), "YM") &amp; " Bulan"</f>
        <v>#VALUE!</v>
      </c>
      <c r="V69" s="281" t="s">
        <v>933</v>
      </c>
      <c r="W69" s="281" t="s">
        <v>851</v>
      </c>
      <c r="X69" s="283" t="str">
        <f ca="1">IF(AND(OR(L69="AA",L69="L"),OR(S69="Penata Muda Tk. I Golongan III/b",S69="Penata Golongan III/c"),DATEDIF(Q69,TODAY(),"m")&gt;=23,ISBLANK(Z69),C69="Aktif"),"Nominasi Serdos","-")</f>
        <v>-</v>
      </c>
      <c r="Y69" s="281"/>
      <c r="Z69" s="282"/>
      <c r="AA69" s="281"/>
      <c r="AB69" s="281" t="s">
        <v>30</v>
      </c>
      <c r="AC69" s="282" t="s">
        <v>511</v>
      </c>
      <c r="AD69" s="281" t="s">
        <v>30</v>
      </c>
      <c r="AE69" s="281" t="s">
        <v>30</v>
      </c>
      <c r="AF69" s="281" t="s">
        <v>30</v>
      </c>
      <c r="AG69" s="281" t="s">
        <v>30</v>
      </c>
      <c r="AH69" s="281" t="s">
        <v>854</v>
      </c>
      <c r="AI69" s="281" t="s">
        <v>30</v>
      </c>
      <c r="AJ69" s="281" t="s">
        <v>30</v>
      </c>
      <c r="AK69" s="281" t="s">
        <v>30</v>
      </c>
      <c r="AM69" s="286">
        <v>44562</v>
      </c>
      <c r="AN69" s="287" t="str">
        <f ca="1">DATEDIF(AM69,TODAY(),"y")&amp;" tahun "&amp;DATEDIF(AM69,TODAY(),"ym")&amp;" bulan "</f>
        <v xml:space="preserve">4 tahun 0 bulan </v>
      </c>
      <c r="AO69" s="281" t="s">
        <v>858</v>
      </c>
      <c r="AP69" s="281" t="s">
        <v>934</v>
      </c>
      <c r="AQ69" s="281" t="s">
        <v>1078</v>
      </c>
      <c r="AR69" s="281" t="s">
        <v>275</v>
      </c>
      <c r="AS69" s="281">
        <v>81239428683</v>
      </c>
      <c r="AT69" s="281" t="s">
        <v>276</v>
      </c>
      <c r="AU69" s="281" t="s">
        <v>30</v>
      </c>
      <c r="AV69" s="281"/>
      <c r="AW69" s="281" t="str">
        <f>VLOOKUP(B69,Sheet2!A64:I181,9,FALSE)</f>
        <v>Purnama Anaking, S.Kom., M.Kom.</v>
      </c>
      <c r="AX69" s="281" t="s">
        <v>861</v>
      </c>
      <c r="AY69" s="281" t="str">
        <f>VLOOKUP(B69,Sheet2!A64:C181,2,FALSE)</f>
        <v>Jakarta</v>
      </c>
      <c r="AZ69" s="288">
        <f>VLOOKUP(B69,Sheet2!A64:C181,3,FALSE)</f>
        <v>32044</v>
      </c>
      <c r="BA69" s="281">
        <f ca="1">DATEDIF(AZ69, TODAY(),"y")</f>
        <v>38</v>
      </c>
      <c r="BB69" s="281"/>
      <c r="BC69" s="281"/>
      <c r="BD69" s="281"/>
      <c r="BE69" s="281"/>
      <c r="BF69" s="289"/>
      <c r="BG69" s="289"/>
      <c r="BH69" s="289"/>
      <c r="BI69" s="289"/>
      <c r="BJ69" s="289"/>
      <c r="BK69" s="289"/>
      <c r="BL69" s="288" t="str">
        <f>VLOOKUP(B69,Sheet2!A64:D181,4,FALSE)</f>
        <v>Dosen</v>
      </c>
      <c r="BM69" s="281"/>
      <c r="BN69" s="281"/>
      <c r="BO69" s="281"/>
      <c r="BP69" s="281"/>
      <c r="BQ69" s="281"/>
      <c r="BR69" s="288" t="str">
        <f>VLOOKUP(B69,Sheet2!A64:E181,5,FALSE)</f>
        <v>Cybernetics</v>
      </c>
      <c r="BS69" s="288" t="str">
        <f>VLOOKUP(B69,Sheet2!A64:F181,6,FALSE)</f>
        <v>PAK</v>
      </c>
      <c r="BT69" s="288" t="str">
        <f>VLOOKUP(B69,Sheet2!A64:G181,7,FALSE)</f>
        <v>Fakultas Rekayasa Industri</v>
      </c>
      <c r="BU69" s="288" t="str">
        <f>VLOOKUP(B69,Sheet2!A64:H181,8,FALSE)</f>
        <v>purnamaanaking@telkomuniversity.ac.id</v>
      </c>
      <c r="BV69" s="280">
        <f>COUNTIFS('Join TPA Dosen'!B:B,'Dosen sorted'!B64)</f>
        <v>1</v>
      </c>
      <c r="BW69" s="273" t="str">
        <f>DATEDIF(AM69,DATE(2026,1,1),"y")&amp;" tahun "&amp;DATEDIF(AM69,DATE(2026,1,1),"ym")&amp;" bulan "</f>
        <v xml:space="preserve">4 tahun 0 bulan </v>
      </c>
      <c r="BX69" s="280" t="str">
        <f>VLOOKUP($B69,Sheet1!$A:$G,2,FALSE)</f>
        <v>ITS</v>
      </c>
      <c r="BY69" s="280" t="str">
        <f>VLOOKUP($B69,Sheet1!$A:$G,3,FALSE)</f>
        <v>Sistem Informasi</v>
      </c>
      <c r="BZ69" s="280" t="str">
        <f>VLOOKUP($B69,Sheet1!$A:$G,4,FALSE)</f>
        <v>ITS</v>
      </c>
      <c r="CA69" s="280" t="str">
        <f>VLOOKUP($B69,Sheet1!$A:$G,5,FALSE)</f>
        <v>Sistem Informasi</v>
      </c>
      <c r="CB69" s="280" t="str">
        <f>VLOOKUP($B69,Sheet1!$A:$G,6,FALSE)</f>
        <v>-</v>
      </c>
      <c r="CC69" s="280">
        <f>VLOOKUP($B69,Sheet1!$A:$G,7,FALSE)</f>
        <v>0</v>
      </c>
      <c r="CD69" s="280" t="s">
        <v>882</v>
      </c>
      <c r="CE69" s="280" t="s">
        <v>903</v>
      </c>
    </row>
    <row r="70" spans="1:83" ht="19.5" hidden="1">
      <c r="A70" s="281">
        <v>69</v>
      </c>
      <c r="B70" s="281" t="s">
        <v>277</v>
      </c>
      <c r="C70" s="281" t="s">
        <v>20</v>
      </c>
      <c r="D70" s="281" t="s">
        <v>235</v>
      </c>
      <c r="E70" s="281">
        <v>22940003</v>
      </c>
      <c r="F70" s="281" t="s">
        <v>1090</v>
      </c>
      <c r="G70" s="282" t="s">
        <v>278</v>
      </c>
      <c r="H70" s="291" t="s">
        <v>884</v>
      </c>
      <c r="I70" s="281" t="s">
        <v>30</v>
      </c>
      <c r="J70" s="281" t="s">
        <v>279</v>
      </c>
      <c r="K70" s="281" t="s">
        <v>846</v>
      </c>
      <c r="L70" s="281" t="s">
        <v>847</v>
      </c>
      <c r="M70" s="283" t="str">
        <f>IF(L70="NJAD","AA",IF(L70="AA","L",IF(L70="L","LK","GB")))</f>
        <v>L</v>
      </c>
      <c r="N70" s="282" t="s">
        <v>511</v>
      </c>
      <c r="O70" s="281">
        <v>150</v>
      </c>
      <c r="P70" s="281" t="s">
        <v>1091</v>
      </c>
      <c r="Q70" s="284">
        <v>45444</v>
      </c>
      <c r="R70" s="281" t="str">
        <f ca="1">DATEDIF(Q70,TODAY(), "Y") &amp; " Tahun " &amp; DATEDIF(Q70, TODAY(), "YM") &amp; " Bulan"</f>
        <v>1 Tahun 7 Bulan</v>
      </c>
      <c r="S70" s="281" t="s">
        <v>849</v>
      </c>
      <c r="T70" s="284">
        <v>45717</v>
      </c>
      <c r="U70" s="281" t="str">
        <f ca="1">DATEDIF(T70,TODAY(), "Y") &amp; " Tahun " &amp; DATEDIF(T70, TODAY(), "YM") &amp; " Bulan"</f>
        <v>0 Tahun 10 Bulan</v>
      </c>
      <c r="V70" s="281" t="s">
        <v>933</v>
      </c>
      <c r="W70" s="281" t="s">
        <v>851</v>
      </c>
      <c r="X70" s="283" t="str">
        <f ca="1">IF(AND(OR(L70="AA",L70="L"),OR(S70="Penata Muda Tk. I Golongan III/b",S70="Penata Golongan III/c"),DATEDIF(Q70,TODAY(),"m")&gt;=23,ISBLANK(Z70),C70="Aktif"),"Nominasi Serdos","-")</f>
        <v>-</v>
      </c>
      <c r="Y70" s="281"/>
      <c r="Z70" s="282"/>
      <c r="AA70" s="281"/>
      <c r="AB70" s="281" t="s">
        <v>30</v>
      </c>
      <c r="AC70" s="282" t="s">
        <v>511</v>
      </c>
      <c r="AD70" s="281" t="s">
        <v>30</v>
      </c>
      <c r="AE70" s="281" t="s">
        <v>30</v>
      </c>
      <c r="AF70" s="281" t="s">
        <v>30</v>
      </c>
      <c r="AG70" s="281" t="s">
        <v>30</v>
      </c>
      <c r="AH70" s="281" t="s">
        <v>854</v>
      </c>
      <c r="AI70" s="281" t="s">
        <v>30</v>
      </c>
      <c r="AJ70" s="281" t="s">
        <v>30</v>
      </c>
      <c r="AK70" s="281" t="s">
        <v>30</v>
      </c>
      <c r="AM70" s="286">
        <v>44627</v>
      </c>
      <c r="AN70" s="287" t="str">
        <f ca="1">DATEDIF(AM70,TODAY(),"y")&amp;" tahun "&amp;DATEDIF(AM70,TODAY(),"ym")&amp;" bulan "</f>
        <v xml:space="preserve">3 tahun 10 bulan </v>
      </c>
      <c r="AO70" s="281" t="s">
        <v>858</v>
      </c>
      <c r="AP70" s="281" t="s">
        <v>934</v>
      </c>
      <c r="AQ70" s="281" t="s">
        <v>1092</v>
      </c>
      <c r="AR70" s="281" t="s">
        <v>280</v>
      </c>
      <c r="AS70" s="281">
        <v>81357644374</v>
      </c>
      <c r="AT70" s="281" t="s">
        <v>281</v>
      </c>
      <c r="AU70" s="281" t="s">
        <v>30</v>
      </c>
      <c r="AV70" s="281"/>
      <c r="AW70" s="281" t="str">
        <f>VLOOKUP(B70,Sheet2!A70:I187,9,FALSE)</f>
        <v>Raulia Riski, S.Kom., M.Kom., M.M.S.</v>
      </c>
      <c r="AX70" s="281" t="s">
        <v>902</v>
      </c>
      <c r="AY70" s="281" t="str">
        <f>VLOOKUP(B70,Sheet2!A70:C187,2,FALSE)</f>
        <v>Manggarai</v>
      </c>
      <c r="AZ70" s="288">
        <f>VLOOKUP(B70,Sheet2!A70:C187,3,FALSE)</f>
        <v>34626</v>
      </c>
      <c r="BA70" s="281">
        <f ca="1">DATEDIF(AZ70, TODAY(),"y")</f>
        <v>31</v>
      </c>
      <c r="BB70" s="281"/>
      <c r="BC70" s="281"/>
      <c r="BD70" s="281"/>
      <c r="BE70" s="281"/>
      <c r="BF70" s="289"/>
      <c r="BG70" s="289"/>
      <c r="BH70" s="289"/>
      <c r="BI70" s="289"/>
      <c r="BJ70" s="289"/>
      <c r="BK70" s="289"/>
      <c r="BL70" s="288" t="str">
        <f>VLOOKUP(B70,Sheet2!A70:D187,4,FALSE)</f>
        <v>Dosen</v>
      </c>
      <c r="BM70" s="281"/>
      <c r="BN70" s="281"/>
      <c r="BO70" s="281"/>
      <c r="BP70" s="281"/>
      <c r="BQ70" s="281"/>
      <c r="BR70" s="288" t="str">
        <f>VLOOKUP(B70,Sheet2!A70:E187,5,FALSE)</f>
        <v>Enterprise and Industrial System (EINS)</v>
      </c>
      <c r="BS70" s="288" t="str">
        <f>VLOOKUP(B70,Sheet2!A70:F187,6,FALSE)</f>
        <v>IKI</v>
      </c>
      <c r="BT70" s="288" t="str">
        <f>VLOOKUP(B70,Sheet2!A70:G187,7,FALSE)</f>
        <v>Fakultas Rekayasa Industri</v>
      </c>
      <c r="BU70" s="288" t="str">
        <f>VLOOKUP(B70,Sheet2!A70:H187,8,FALSE)</f>
        <v>riskiraulia@telkomuniversity.ac.id</v>
      </c>
      <c r="BV70" s="280">
        <f>COUNTIFS('Join TPA Dosen'!B:B,'Dosen sorted'!B70)</f>
        <v>1</v>
      </c>
      <c r="BW70" s="273" t="str">
        <f>DATEDIF(AM70,DATE(2026,1,1),"y")&amp;" tahun "&amp;DATEDIF(AM70,DATE(2026,1,1),"ym")&amp;" bulan "</f>
        <v xml:space="preserve">3 tahun 9 bulan </v>
      </c>
      <c r="BX70" s="280" t="str">
        <f>VLOOKUP($B70,Sheet1!$A:$G,2,FALSE)</f>
        <v>Tel-U</v>
      </c>
      <c r="BY70" s="280" t="str">
        <f>VLOOKUP($B70,Sheet1!$A:$G,3,FALSE)</f>
        <v>Sistem Informasi</v>
      </c>
      <c r="BZ70" s="280" t="str">
        <f>VLOOKUP($B70,Sheet1!$A:$G,4,FALSE)</f>
        <v>ITS &amp; NCKU</v>
      </c>
      <c r="CA70" s="280" t="str">
        <f>VLOOKUP($B70,Sheet1!$A:$G,5,FALSE)</f>
        <v>Sistem Informasi &amp; Industrial and Information Management</v>
      </c>
      <c r="CB70" s="280" t="str">
        <f>VLOOKUP($B70,Sheet1!$A:$G,6,FALSE)</f>
        <v>-</v>
      </c>
      <c r="CC70" s="280">
        <f>VLOOKUP($B70,Sheet1!$A:$G,7,FALSE)</f>
        <v>0</v>
      </c>
      <c r="CD70" s="280" t="s">
        <v>862</v>
      </c>
      <c r="CE70" s="280" t="s">
        <v>863</v>
      </c>
    </row>
    <row r="71" spans="1:83" ht="19.5" hidden="1">
      <c r="A71" s="281">
        <v>128</v>
      </c>
      <c r="B71" s="281" t="s">
        <v>755</v>
      </c>
      <c r="C71" s="281" t="s">
        <v>20</v>
      </c>
      <c r="D71" s="281" t="s">
        <v>235</v>
      </c>
      <c r="E71" s="281">
        <v>25990026</v>
      </c>
      <c r="F71" s="281"/>
      <c r="G71" s="282"/>
      <c r="H71" s="291" t="s">
        <v>884</v>
      </c>
      <c r="I71" s="281"/>
      <c r="J71" s="281" t="s">
        <v>424</v>
      </c>
      <c r="K71" s="281" t="s">
        <v>917</v>
      </c>
      <c r="L71" s="281" t="s">
        <v>918</v>
      </c>
      <c r="M71" s="283" t="str">
        <f>IF(L71="NJAD","AA",IF(L71="AA","L",IF(L71="L","LK","GB")))</f>
        <v>AA</v>
      </c>
      <c r="N71" s="282" t="s">
        <v>511</v>
      </c>
      <c r="O71" s="281">
        <v>0</v>
      </c>
      <c r="P71" s="281"/>
      <c r="Q71" s="284">
        <v>45870</v>
      </c>
      <c r="R71" s="281" t="str">
        <f ca="1">DATEDIF(Q71,TODAY(), "Y") &amp; " Tahun " &amp; DATEDIF(Q71, TODAY(), "YM") &amp; " Bulan"</f>
        <v>0 Tahun 5 Bulan</v>
      </c>
      <c r="S71" s="281" t="s">
        <v>511</v>
      </c>
      <c r="T71" s="282" t="s">
        <v>511</v>
      </c>
      <c r="U71" s="281" t="e">
        <f ca="1">DATEDIF(T71,TODAY(), "Y") &amp; " Tahun " &amp; DATEDIF(T71, TODAY(), "YM") &amp; " Bulan"</f>
        <v>#VALUE!</v>
      </c>
      <c r="V71" s="281" t="s">
        <v>933</v>
      </c>
      <c r="W71" s="281" t="s">
        <v>851</v>
      </c>
      <c r="X71" s="283" t="str">
        <f ca="1">IF(AND(OR(L71="AA",L71="L"),OR(S71="Penata Muda Tk. I Golongan III/b",S71="Penata Golongan III/c"),DATEDIF(Q71,TODAY(),"m")&gt;=23,ISBLANK(Z71),C71="Aktif"),"Nominasi Serdos","-")</f>
        <v>-</v>
      </c>
      <c r="Y71" s="281"/>
      <c r="Z71" s="282"/>
      <c r="AA71" s="295"/>
      <c r="AB71" s="281"/>
      <c r="AC71" s="282"/>
      <c r="AD71" s="281"/>
      <c r="AE71" s="281"/>
      <c r="AF71" s="281"/>
      <c r="AG71" s="281"/>
      <c r="AH71" s="281" t="s">
        <v>854</v>
      </c>
      <c r="AI71" s="281" t="s">
        <v>855</v>
      </c>
      <c r="AJ71" s="281" t="s">
        <v>897</v>
      </c>
      <c r="AK71" s="281" t="s">
        <v>898</v>
      </c>
      <c r="AL71" s="280" t="s">
        <v>899</v>
      </c>
      <c r="AM71" s="286">
        <v>45870</v>
      </c>
      <c r="AN71" s="287" t="str">
        <f ca="1">DATEDIF(AM71,TODAY(),"y")&amp;" tahun "&amp;DATEDIF(AM71,TODAY(),"ym")&amp;" bulan "</f>
        <v xml:space="preserve">0 tahun 5 bulan </v>
      </c>
      <c r="AO71" s="281"/>
      <c r="AP71" s="281"/>
      <c r="AQ71" s="281" t="s">
        <v>1344</v>
      </c>
      <c r="AR71" s="281" t="s">
        <v>1345</v>
      </c>
      <c r="AS71" s="281">
        <v>82146514032</v>
      </c>
      <c r="AT71" s="281" t="s">
        <v>1346</v>
      </c>
      <c r="AU71" s="281"/>
      <c r="AV71" s="281"/>
      <c r="AW71" s="281" t="str">
        <f>VLOOKUP(B71,Sheet2!A113:I230,9,FALSE)</f>
        <v>Rizqi Ramadhan, S.T., M.Kom.</v>
      </c>
      <c r="AX71" s="281" t="s">
        <v>861</v>
      </c>
      <c r="AY71" s="281" t="str">
        <f>VLOOKUP(B71,Sheet2!A113:C230,2,FALSE)</f>
        <v>Banyuwangi</v>
      </c>
      <c r="AZ71" s="288">
        <f>VLOOKUP(B71,Sheet2!A113:C230,3,FALSE)</f>
        <v>36171</v>
      </c>
      <c r="BA71" s="281">
        <f ca="1">DATEDIF(AZ71, TODAY(),"y")</f>
        <v>27</v>
      </c>
      <c r="BB71" s="281"/>
      <c r="BC71" s="281"/>
      <c r="BD71" s="281"/>
      <c r="BE71" s="281"/>
      <c r="BF71" s="289"/>
      <c r="BG71" s="289"/>
      <c r="BH71" s="289"/>
      <c r="BI71" s="289"/>
      <c r="BJ71" s="289"/>
      <c r="BK71" s="289"/>
      <c r="BL71" s="288" t="s">
        <v>21</v>
      </c>
      <c r="BM71" s="281"/>
      <c r="BN71" s="281"/>
      <c r="BO71" s="281"/>
      <c r="BP71" s="281"/>
      <c r="BQ71" s="281"/>
      <c r="BR71" s="288"/>
      <c r="BS71" s="288" t="str">
        <f>VLOOKUP(B71,Sheet2!A113:F230,6,FALSE)</f>
        <v>ZQI</v>
      </c>
      <c r="BT71" s="288" t="str">
        <f>VLOOKUP(B71,Sheet2!A113:G230,7,FALSE)</f>
        <v>Fakultas Rekayasa Industri</v>
      </c>
      <c r="BU71" s="288" t="s">
        <v>1347</v>
      </c>
      <c r="BW71" s="273"/>
    </row>
    <row r="72" spans="1:83" ht="19.5" hidden="1">
      <c r="A72" s="281">
        <v>40</v>
      </c>
      <c r="B72" s="281" t="s">
        <v>251</v>
      </c>
      <c r="C72" s="281" t="s">
        <v>20</v>
      </c>
      <c r="D72" s="281" t="s">
        <v>235</v>
      </c>
      <c r="E72" s="281">
        <v>23890011</v>
      </c>
      <c r="F72" s="281" t="s">
        <v>1119</v>
      </c>
      <c r="G72" s="282" t="s">
        <v>252</v>
      </c>
      <c r="H72" s="281" t="s">
        <v>845</v>
      </c>
      <c r="I72" s="281" t="s">
        <v>30</v>
      </c>
      <c r="J72" s="281" t="s">
        <v>176</v>
      </c>
      <c r="K72" s="281" t="s">
        <v>846</v>
      </c>
      <c r="L72" s="281" t="s">
        <v>847</v>
      </c>
      <c r="M72" s="283" t="str">
        <f>IF(L72="NJAD","AA",IF(L72="AA","L",IF(L72="L","LK","GB")))</f>
        <v>L</v>
      </c>
      <c r="N72" s="282" t="s">
        <v>511</v>
      </c>
      <c r="O72" s="281">
        <v>150</v>
      </c>
      <c r="P72" s="281" t="s">
        <v>1120</v>
      </c>
      <c r="Q72" s="284">
        <v>44743</v>
      </c>
      <c r="R72" s="281" t="str">
        <f ca="1">DATEDIF(Q72,TODAY(), "Y") &amp; " Tahun " &amp; DATEDIF(Q72, TODAY(), "YM") &amp; " Bulan"</f>
        <v>3 Tahun 6 Bulan</v>
      </c>
      <c r="S72" s="281" t="s">
        <v>849</v>
      </c>
      <c r="T72" s="285">
        <v>44896</v>
      </c>
      <c r="U72" s="281" t="str">
        <f ca="1">DATEDIF(T72,TODAY(), "Y") &amp; " Tahun " &amp; DATEDIF(T72, TODAY(), "YM") &amp; " Bulan"</f>
        <v>3 Tahun 1 Bulan</v>
      </c>
      <c r="V72" s="281" t="s">
        <v>1121</v>
      </c>
      <c r="W72" s="281" t="s">
        <v>851</v>
      </c>
      <c r="X72" s="283" t="str">
        <f ca="1">IF(AND(OR(L72="AA",L72="L"),OR(S72="Penata Muda Tk. I Golongan III/b",S72="Penata Golongan III/c"),DATEDIF(Q72,TODAY(),"m")&gt;=23,ISBLANK(Z72),C72="Aktif"),"Nominasi Serdos","-")</f>
        <v>-</v>
      </c>
      <c r="Y72" s="281"/>
      <c r="Z72" s="282" t="s">
        <v>852</v>
      </c>
      <c r="AA72" s="290">
        <v>25104105712562</v>
      </c>
      <c r="AB72" s="281" t="s">
        <v>1122</v>
      </c>
      <c r="AC72" s="285">
        <v>45917</v>
      </c>
      <c r="AD72" s="281" t="s">
        <v>30</v>
      </c>
      <c r="AE72" s="281" t="s">
        <v>30</v>
      </c>
      <c r="AF72" s="281" t="s">
        <v>30</v>
      </c>
      <c r="AG72" s="281" t="s">
        <v>30</v>
      </c>
      <c r="AH72" s="281" t="s">
        <v>854</v>
      </c>
      <c r="AI72" s="281" t="s">
        <v>855</v>
      </c>
      <c r="AJ72" s="281" t="s">
        <v>856</v>
      </c>
      <c r="AK72" s="281" t="s">
        <v>855</v>
      </c>
      <c r="AL72" s="281" t="s">
        <v>857</v>
      </c>
      <c r="AM72" s="286">
        <v>43831</v>
      </c>
      <c r="AN72" s="287" t="str">
        <f ca="1">DATEDIF(AM72,TODAY(),"y")&amp;" tahun "&amp;DATEDIF(AM72,TODAY(),"ym")&amp;" bulan "</f>
        <v xml:space="preserve">6 tahun 0 bulan </v>
      </c>
      <c r="AO72" s="281" t="s">
        <v>858</v>
      </c>
      <c r="AP72" s="281" t="s">
        <v>934</v>
      </c>
      <c r="AQ72" s="281" t="s">
        <v>1123</v>
      </c>
      <c r="AR72" s="281" t="s">
        <v>253</v>
      </c>
      <c r="AS72" s="281">
        <v>85232959894</v>
      </c>
      <c r="AT72" s="281" t="s">
        <v>254</v>
      </c>
      <c r="AU72" s="281" t="s">
        <v>30</v>
      </c>
      <c r="AV72" s="281"/>
      <c r="AW72" s="281" t="str">
        <f>VLOOKUP(B72,Sheet2!A41:I158,9,FALSE)</f>
        <v>Rokhmatul Insani, S.T., M.T.</v>
      </c>
      <c r="AX72" s="281" t="s">
        <v>902</v>
      </c>
      <c r="AY72" s="281" t="str">
        <f>VLOOKUP(B72,Sheet2!A41:C158,2,FALSE)</f>
        <v>Mojokerto</v>
      </c>
      <c r="AZ72" s="288">
        <f>VLOOKUP(B72,Sheet2!A41:C158,3,FALSE)</f>
        <v>32663</v>
      </c>
      <c r="BA72" s="281">
        <f ca="1">DATEDIF(AZ72, TODAY(),"y")</f>
        <v>36</v>
      </c>
      <c r="BB72" s="281"/>
      <c r="BC72" s="281"/>
      <c r="BD72" s="281"/>
      <c r="BE72" s="281"/>
      <c r="BF72" s="289"/>
      <c r="BG72" s="289"/>
      <c r="BH72" s="289"/>
      <c r="BI72" s="289"/>
      <c r="BJ72" s="289"/>
      <c r="BK72" s="289"/>
      <c r="BL72" s="288" t="str">
        <f>VLOOKUP(B72,Sheet2!A41:D158,4,FALSE)</f>
        <v>Dosen</v>
      </c>
      <c r="BM72" s="281"/>
      <c r="BN72" s="281"/>
      <c r="BO72" s="281"/>
      <c r="BP72" s="281"/>
      <c r="BQ72" s="281"/>
      <c r="BR72" s="288" t="str">
        <f>VLOOKUP(B72,Sheet2!A41:E158,5,FALSE)</f>
        <v>Cybernetics</v>
      </c>
      <c r="BS72" s="288" t="str">
        <f>VLOOKUP(B72,Sheet2!A41:F158,6,FALSE)</f>
        <v>RTL</v>
      </c>
      <c r="BT72" s="288" t="str">
        <f>VLOOKUP(B72,Sheet2!A41:G158,7,FALSE)</f>
        <v>Fakultas Rekayasa Industri</v>
      </c>
      <c r="BU72" s="288" t="str">
        <f>VLOOKUP(B72,Sheet2!A41:H158,8,FALSE)</f>
        <v>rokhmatul@telkomuniversity.ac.id</v>
      </c>
      <c r="BV72" s="280">
        <f>COUNTIFS('Join TPA Dosen'!B:B,'Dosen sorted'!B41)</f>
        <v>1</v>
      </c>
      <c r="BW72" s="273" t="str">
        <f>DATEDIF(AM72,DATE(2026,1,1),"y")&amp;" tahun "&amp;DATEDIF(AM72,DATE(2026,1,1),"ym")&amp;" bulan "</f>
        <v xml:space="preserve">6 tahun 0 bulan </v>
      </c>
      <c r="BX72" s="280" t="str">
        <f>VLOOKUP($B72,Sheet1!$A:$G,2,FALSE)</f>
        <v>Tel-U</v>
      </c>
      <c r="BY72" s="280" t="str">
        <f>VLOOKUP($B72,Sheet1!$A:$G,3,FALSE)</f>
        <v>Teknik Informatika</v>
      </c>
      <c r="BZ72" s="280" t="str">
        <f>VLOOKUP($B72,Sheet1!$A:$G,4,FALSE)</f>
        <v>ITB</v>
      </c>
      <c r="CA72" s="280" t="str">
        <f>VLOOKUP($B72,Sheet1!$A:$G,5,FALSE)</f>
        <v>Informatika</v>
      </c>
      <c r="CB72" s="280" t="str">
        <f>VLOOKUP($B72,Sheet1!$A:$G,6,FALSE)</f>
        <v>UGM</v>
      </c>
      <c r="CC72" s="280" t="str">
        <f>VLOOKUP($B72,Sheet1!$A:$G,7,FALSE)</f>
        <v>Ilmu Komputer</v>
      </c>
      <c r="CD72" s="280" t="s">
        <v>871</v>
      </c>
      <c r="CE72" s="280" t="s">
        <v>863</v>
      </c>
    </row>
    <row r="73" spans="1:83" ht="19.5" hidden="1">
      <c r="A73" s="281">
        <v>88</v>
      </c>
      <c r="B73" s="281" t="s">
        <v>307</v>
      </c>
      <c r="C73" s="281" t="s">
        <v>20</v>
      </c>
      <c r="D73" s="281" t="s">
        <v>235</v>
      </c>
      <c r="E73" s="281">
        <v>22920034</v>
      </c>
      <c r="F73" s="281" t="s">
        <v>1164</v>
      </c>
      <c r="G73" s="282" t="s">
        <v>308</v>
      </c>
      <c r="H73" s="291" t="s">
        <v>884</v>
      </c>
      <c r="I73" s="281" t="s">
        <v>30</v>
      </c>
      <c r="J73" s="281" t="s">
        <v>309</v>
      </c>
      <c r="K73" s="281" t="s">
        <v>846</v>
      </c>
      <c r="L73" s="281" t="s">
        <v>847</v>
      </c>
      <c r="M73" s="283" t="str">
        <f>IF(L73="NJAD","AA",IF(L73="AA","L",IF(L73="L","LK","GB")))</f>
        <v>L</v>
      </c>
      <c r="N73" s="282" t="s">
        <v>511</v>
      </c>
      <c r="O73" s="281">
        <v>150</v>
      </c>
      <c r="P73" s="281" t="s">
        <v>1165</v>
      </c>
      <c r="Q73" s="284">
        <v>45870</v>
      </c>
      <c r="R73" s="281" t="str">
        <f ca="1">DATEDIF(Q73,TODAY(), "Y") &amp; " Tahun " &amp; DATEDIF(Q73, TODAY(), "YM") &amp; " Bulan"</f>
        <v>0 Tahun 5 Bulan</v>
      </c>
      <c r="S73" s="281" t="s">
        <v>849</v>
      </c>
      <c r="T73" s="285">
        <v>45992</v>
      </c>
      <c r="U73" s="281" t="str">
        <f ca="1">DATEDIF(T73,TODAY(), "Y") &amp; " Tahun " &amp; DATEDIF(T73, TODAY(), "YM") &amp; " Bulan"</f>
        <v>0 Tahun 1 Bulan</v>
      </c>
      <c r="V73" s="281" t="s">
        <v>933</v>
      </c>
      <c r="W73" s="281" t="s">
        <v>851</v>
      </c>
      <c r="X73" s="283" t="str">
        <f ca="1">IF(AND(OR(L73="AA",L73="L"),OR(S73="Penata Muda Tk. I Golongan III/b",S73="Penata Golongan III/c"),DATEDIF(Q73,TODAY(),"m")&gt;=23,ISBLANK(Z73),C73="Aktif"),"Nominasi Serdos","-")</f>
        <v>-</v>
      </c>
      <c r="Y73" s="281"/>
      <c r="Z73" s="282"/>
      <c r="AA73" s="295"/>
      <c r="AB73" s="281" t="s">
        <v>30</v>
      </c>
      <c r="AC73" s="282" t="s">
        <v>511</v>
      </c>
      <c r="AD73" s="281" t="s">
        <v>30</v>
      </c>
      <c r="AE73" s="281" t="s">
        <v>30</v>
      </c>
      <c r="AF73" s="281" t="s">
        <v>30</v>
      </c>
      <c r="AG73" s="281" t="s">
        <v>30</v>
      </c>
      <c r="AH73" s="281" t="s">
        <v>854</v>
      </c>
      <c r="AI73" s="281" t="s">
        <v>30</v>
      </c>
      <c r="AJ73" s="281" t="s">
        <v>30</v>
      </c>
      <c r="AK73" s="281" t="s">
        <v>30</v>
      </c>
      <c r="AM73" s="286">
        <v>44832</v>
      </c>
      <c r="AN73" s="287" t="str">
        <f ca="1">DATEDIF(AM73,TODAY(),"y")&amp;" tahun "&amp;DATEDIF(AM73,TODAY(),"ym")&amp;" bulan "</f>
        <v xml:space="preserve">3 tahun 3 bulan </v>
      </c>
      <c r="AO73" s="281" t="s">
        <v>858</v>
      </c>
      <c r="AP73" s="281" t="s">
        <v>934</v>
      </c>
      <c r="AQ73" s="281" t="s">
        <v>1166</v>
      </c>
      <c r="AR73" s="281" t="s">
        <v>310</v>
      </c>
      <c r="AS73" s="281">
        <v>82244983606</v>
      </c>
      <c r="AT73" s="281" t="s">
        <v>311</v>
      </c>
      <c r="AU73" s="281" t="s">
        <v>30</v>
      </c>
      <c r="AV73" s="281"/>
      <c r="AW73" s="281" t="str">
        <f>VLOOKUP(B73,Sheet2!A89:I206,9,FALSE)</f>
        <v>Rosyid Abdillah, S.Si., M.Kom.</v>
      </c>
      <c r="AX73" s="281" t="s">
        <v>861</v>
      </c>
      <c r="AY73" s="281" t="str">
        <f>VLOOKUP(B73,Sheet2!A89:C206,2,FALSE)</f>
        <v>Lumajang</v>
      </c>
      <c r="AZ73" s="288">
        <f>VLOOKUP(B73,Sheet2!A89:C206,3,FALSE)</f>
        <v>33618</v>
      </c>
      <c r="BA73" s="281">
        <f ca="1">DATEDIF(AZ73, TODAY(),"y")</f>
        <v>34</v>
      </c>
      <c r="BB73" s="281"/>
      <c r="BC73" s="281"/>
      <c r="BD73" s="281"/>
      <c r="BE73" s="281"/>
      <c r="BF73" s="289"/>
      <c r="BG73" s="289"/>
      <c r="BH73" s="289"/>
      <c r="BI73" s="289"/>
      <c r="BJ73" s="289"/>
      <c r="BK73" s="289"/>
      <c r="BL73" s="288" t="str">
        <f>VLOOKUP(B73,Sheet2!A89:D206,4,FALSE)</f>
        <v>Dosen</v>
      </c>
      <c r="BM73" s="281"/>
      <c r="BN73" s="281"/>
      <c r="BO73" s="281"/>
      <c r="BP73" s="281"/>
      <c r="BQ73" s="281"/>
      <c r="BR73" s="288" t="str">
        <f>VLOOKUP(B73,Sheet2!A89:E206,5,FALSE)</f>
        <v>Cybernetics</v>
      </c>
      <c r="BS73" s="288" t="str">
        <f>VLOOKUP(B73,Sheet2!A89:F206,6,FALSE)</f>
        <v>ROX</v>
      </c>
      <c r="BT73" s="288" t="str">
        <f>VLOOKUP(B73,Sheet2!A89:G206,7,FALSE)</f>
        <v>Fakultas Rekayasa Industri</v>
      </c>
      <c r="BU73" s="288" t="str">
        <f>VLOOKUP(B73,Sheet2!A89:H206,8,FALSE)</f>
        <v>rosyidabdillah@telkomuniversity.ac.id</v>
      </c>
      <c r="BV73" s="280">
        <f>COUNTIFS('Join TPA Dosen'!B:B,'Dosen sorted'!B89)</f>
        <v>1</v>
      </c>
      <c r="BW73" s="273" t="str">
        <f>DATEDIF(AM73,DATE(2026,1,1),"y")&amp;" tahun "&amp;DATEDIF(AM73,DATE(2026,1,1),"ym")&amp;" bulan "</f>
        <v xml:space="preserve">3 tahun 3 bulan </v>
      </c>
      <c r="BX73" s="280" t="str">
        <f>VLOOKUP($B73,Sheet1!$A:$G,2,FALSE)</f>
        <v>ITS</v>
      </c>
      <c r="BY73" s="280" t="str">
        <f>VLOOKUP($B73,Sheet1!$A:$G,3,FALSE)</f>
        <v>Statistika</v>
      </c>
      <c r="BZ73" s="280" t="str">
        <f>VLOOKUP($B73,Sheet1!$A:$G,4,FALSE)</f>
        <v>ITS</v>
      </c>
      <c r="CA73" s="280" t="str">
        <f>VLOOKUP($B73,Sheet1!$A:$G,5,FALSE)</f>
        <v>Sistem Informasi</v>
      </c>
      <c r="CB73" s="280" t="str">
        <f>VLOOKUP($B73,Sheet1!$A:$G,6,FALSE)</f>
        <v>-</v>
      </c>
      <c r="CC73" s="280">
        <f>VLOOKUP($B73,Sheet1!$A:$G,7,FALSE)</f>
        <v>0</v>
      </c>
      <c r="CD73" s="280" t="s">
        <v>882</v>
      </c>
      <c r="CE73" s="280" t="s">
        <v>903</v>
      </c>
    </row>
    <row r="74" spans="1:83" ht="19.5" hidden="1">
      <c r="A74" s="281">
        <v>93</v>
      </c>
      <c r="B74" s="281" t="s">
        <v>312</v>
      </c>
      <c r="C74" s="281" t="s">
        <v>20</v>
      </c>
      <c r="D74" s="281" t="s">
        <v>235</v>
      </c>
      <c r="E74" s="281">
        <v>22980046</v>
      </c>
      <c r="F74" s="281" t="s">
        <v>1186</v>
      </c>
      <c r="G74" s="282" t="s">
        <v>313</v>
      </c>
      <c r="H74" s="291" t="s">
        <v>884</v>
      </c>
      <c r="I74" s="281" t="s">
        <v>30</v>
      </c>
      <c r="J74" s="281" t="s">
        <v>57</v>
      </c>
      <c r="K74" s="281" t="s">
        <v>846</v>
      </c>
      <c r="L74" s="281" t="s">
        <v>847</v>
      </c>
      <c r="M74" s="283" t="str">
        <f>IF(L74="NJAD","AA",IF(L74="AA","L",IF(L74="L","LK","GB")))</f>
        <v>L</v>
      </c>
      <c r="N74" s="292"/>
      <c r="O74" s="281">
        <v>150</v>
      </c>
      <c r="P74" s="281" t="s">
        <v>1187</v>
      </c>
      <c r="Q74" s="284">
        <v>45870</v>
      </c>
      <c r="R74" s="281" t="str">
        <f ca="1">DATEDIF(Q74,TODAY(), "Y") &amp; " Tahun " &amp; DATEDIF(Q74, TODAY(), "YM") &amp; " Bulan"</f>
        <v>0 Tahun 5 Bulan</v>
      </c>
      <c r="S74" s="281" t="s">
        <v>849</v>
      </c>
      <c r="T74" s="285">
        <v>45931</v>
      </c>
      <c r="U74" s="281" t="str">
        <f ca="1">DATEDIF(T74,TODAY(), "Y") &amp; " Tahun " &amp; DATEDIF(T74, TODAY(), "YM") &amp; " Bulan"</f>
        <v>0 Tahun 3 Bulan</v>
      </c>
      <c r="V74" s="281" t="s">
        <v>933</v>
      </c>
      <c r="W74" s="281" t="s">
        <v>851</v>
      </c>
      <c r="X74" s="283" t="str">
        <f ca="1">IF(AND(OR(L74="AA",L74="L"),OR(S74="Penata Muda Tk. I Golongan III/b",S74="Penata Golongan III/c"),DATEDIF(Q74,TODAY(),"m")&gt;=23,ISBLANK(Z74),C74="Aktif"),"Nominasi Serdos","-")</f>
        <v>-</v>
      </c>
      <c r="Y74" s="281"/>
      <c r="Z74" s="282"/>
      <c r="AA74" s="295"/>
      <c r="AB74" s="281" t="s">
        <v>30</v>
      </c>
      <c r="AC74" s="282" t="s">
        <v>511</v>
      </c>
      <c r="AD74" s="281" t="s">
        <v>30</v>
      </c>
      <c r="AE74" s="281" t="s">
        <v>30</v>
      </c>
      <c r="AF74" s="281" t="s">
        <v>30</v>
      </c>
      <c r="AG74" s="281" t="s">
        <v>30</v>
      </c>
      <c r="AH74" s="281" t="s">
        <v>854</v>
      </c>
      <c r="AI74" s="281" t="s">
        <v>30</v>
      </c>
      <c r="AJ74" s="281" t="s">
        <v>30</v>
      </c>
      <c r="AK74" s="281" t="s">
        <v>30</v>
      </c>
      <c r="AM74" s="286">
        <v>44832</v>
      </c>
      <c r="AN74" s="287" t="str">
        <f ca="1">DATEDIF(AM74,TODAY(),"y")&amp;" tahun "&amp;DATEDIF(AM74,TODAY(),"ym")&amp;" bulan "</f>
        <v xml:space="preserve">3 tahun 3 bulan </v>
      </c>
      <c r="AO74" s="281" t="s">
        <v>858</v>
      </c>
      <c r="AP74" s="281" t="s">
        <v>934</v>
      </c>
      <c r="AQ74" s="281" t="s">
        <v>1188</v>
      </c>
      <c r="AR74" s="281" t="s">
        <v>314</v>
      </c>
      <c r="AS74" s="281">
        <v>81336546637</v>
      </c>
      <c r="AT74" s="281" t="s">
        <v>315</v>
      </c>
      <c r="AU74" s="281" t="s">
        <v>30</v>
      </c>
      <c r="AV74" s="281"/>
      <c r="AW74" s="281" t="str">
        <f>VLOOKUP(B74,Sheet2!A94:I211,9,FALSE)</f>
        <v>Tita Ayu Rospricilia, S.Kom., M.Kom.</v>
      </c>
      <c r="AX74" s="281" t="s">
        <v>902</v>
      </c>
      <c r="AY74" s="281" t="str">
        <f>VLOOKUP(B74,Sheet2!A94:C211,2,FALSE)</f>
        <v>Sidoarjo</v>
      </c>
      <c r="AZ74" s="288">
        <f>VLOOKUP(B74,Sheet2!A94:C211,3,FALSE)</f>
        <v>35887</v>
      </c>
      <c r="BA74" s="281">
        <f ca="1">DATEDIF(AZ74, TODAY(),"y")</f>
        <v>27</v>
      </c>
      <c r="BB74" s="281"/>
      <c r="BC74" s="281"/>
      <c r="BD74" s="281"/>
      <c r="BE74" s="281"/>
      <c r="BF74" s="289"/>
      <c r="BG74" s="289"/>
      <c r="BH74" s="289"/>
      <c r="BI74" s="289"/>
      <c r="BJ74" s="289"/>
      <c r="BK74" s="289"/>
      <c r="BL74" s="288" t="str">
        <f>VLOOKUP(B74,Sheet2!A94:D211,4,FALSE)</f>
        <v>Kepala Urusan</v>
      </c>
      <c r="BM74" s="281"/>
      <c r="BN74" s="281"/>
      <c r="BO74" s="281"/>
      <c r="BP74" s="281"/>
      <c r="BQ74" s="281"/>
      <c r="BR74" s="288" t="str">
        <f>VLOOKUP(B74,Sheet2!A94:E211,5,FALSE)</f>
        <v>Enterprise and Industrial System (EINS)</v>
      </c>
      <c r="BS74" s="288" t="str">
        <f>VLOOKUP(B74,Sheet2!A94:F211,6,FALSE)</f>
        <v>TRL</v>
      </c>
      <c r="BT74" s="288" t="str">
        <f>VLOOKUP(B74,Sheet2!A94:G211,7,FALSE)</f>
        <v>Fakultas Rekayasa Industri</v>
      </c>
      <c r="BU74" s="288" t="str">
        <f>VLOOKUP(B74,Sheet2!A94:H211,8,FALSE)</f>
        <v>titaayu@telkomuniversity.ac.id</v>
      </c>
      <c r="BV74" s="280">
        <f>COUNTIFS('Join TPA Dosen'!B:B,'Dosen sorted'!B94)</f>
        <v>1</v>
      </c>
      <c r="BW74" s="273" t="str">
        <f>DATEDIF(AM74,DATE(2026,1,1),"y")&amp;" tahun "&amp;DATEDIF(AM74,DATE(2026,1,1),"ym")&amp;" bulan "</f>
        <v xml:space="preserve">3 tahun 3 bulan </v>
      </c>
      <c r="BX74" s="280" t="str">
        <f>VLOOKUP($B74,Sheet1!$A:$G,2,FALSE)</f>
        <v>UPN</v>
      </c>
      <c r="BY74" s="280" t="str">
        <f>VLOOKUP($B74,Sheet1!$A:$G,3,FALSE)</f>
        <v>Sistem Informasi</v>
      </c>
      <c r="BZ74" s="280" t="str">
        <f>VLOOKUP($B74,Sheet1!$A:$G,4,FALSE)</f>
        <v>ITS</v>
      </c>
      <c r="CA74" s="280" t="str">
        <f>VLOOKUP($B74,Sheet1!$A:$G,5,FALSE)</f>
        <v>Sistem Informasi</v>
      </c>
      <c r="CB74" s="280" t="str">
        <f>VLOOKUP($B74,Sheet1!$A:$G,6,FALSE)</f>
        <v>-</v>
      </c>
      <c r="CC74" s="280">
        <f>VLOOKUP($B74,Sheet1!$A:$G,7,FALSE)</f>
        <v>0</v>
      </c>
      <c r="CD74" s="280" t="s">
        <v>862</v>
      </c>
      <c r="CE74" s="280" t="s">
        <v>863</v>
      </c>
    </row>
    <row r="75" spans="1:83" ht="19.5" hidden="1">
      <c r="A75" s="281">
        <v>23</v>
      </c>
      <c r="B75" s="281" t="s">
        <v>321</v>
      </c>
      <c r="C75" s="281" t="s">
        <v>20</v>
      </c>
      <c r="D75" s="281" t="s">
        <v>235</v>
      </c>
      <c r="E75" s="281">
        <v>19900008</v>
      </c>
      <c r="F75" s="281" t="s">
        <v>1105</v>
      </c>
      <c r="G75" s="282" t="s">
        <v>322</v>
      </c>
      <c r="H75" s="281" t="s">
        <v>845</v>
      </c>
      <c r="I75" s="281" t="s">
        <v>30</v>
      </c>
      <c r="J75" s="281" t="s">
        <v>57</v>
      </c>
      <c r="K75" s="281" t="s">
        <v>846</v>
      </c>
      <c r="L75" s="281" t="s">
        <v>847</v>
      </c>
      <c r="M75" s="283" t="str">
        <f>IF(L75="NJAD","AA",IF(L75="AA","L",IF(L75="L","LK","GB")))</f>
        <v>L</v>
      </c>
      <c r="N75" s="282" t="s">
        <v>511</v>
      </c>
      <c r="O75" s="281">
        <v>150</v>
      </c>
      <c r="P75" s="281" t="s">
        <v>1106</v>
      </c>
      <c r="Q75" s="284">
        <v>44061</v>
      </c>
      <c r="R75" s="281" t="str">
        <f ca="1">DATEDIF(Q75,TODAY(), "Y") &amp; " Tahun " &amp; DATEDIF(Q75, TODAY(), "YM") &amp; " Bulan"</f>
        <v>5 Tahun 5 Bulan</v>
      </c>
      <c r="S75" s="281" t="s">
        <v>849</v>
      </c>
      <c r="T75" s="285">
        <v>44166</v>
      </c>
      <c r="U75" s="281" t="str">
        <f ca="1">DATEDIF(T75,TODAY(), "Y") &amp; " Tahun " &amp; DATEDIF(T75, TODAY(), "YM") &amp; " Bulan"</f>
        <v>5 Tahun 1 Bulan</v>
      </c>
      <c r="V75" s="281" t="s">
        <v>1107</v>
      </c>
      <c r="W75" s="281" t="s">
        <v>851</v>
      </c>
      <c r="X75" s="283" t="str">
        <f ca="1">IF(AND(OR(L75="AA",L75="L"),OR(S75="Penata Muda Tk. I Golongan III/b",S75="Penata Golongan III/c"),DATEDIF(Q75,TODAY(),"m")&gt;=23,ISBLANK(Z75),C75="Aktif"),"Nominasi Serdos","-")</f>
        <v>-</v>
      </c>
      <c r="Y75" s="281"/>
      <c r="Z75" s="281" t="s">
        <v>852</v>
      </c>
      <c r="AA75" s="281">
        <v>23107201902352</v>
      </c>
      <c r="AB75" s="281" t="s">
        <v>1108</v>
      </c>
      <c r="AC75" s="285">
        <v>45085</v>
      </c>
      <c r="AD75" s="281" t="s">
        <v>30</v>
      </c>
      <c r="AE75" s="281" t="s">
        <v>30</v>
      </c>
      <c r="AF75" s="281" t="s">
        <v>30</v>
      </c>
      <c r="AG75" s="281" t="s">
        <v>30</v>
      </c>
      <c r="AH75" s="281" t="s">
        <v>854</v>
      </c>
      <c r="AI75" s="281" t="s">
        <v>855</v>
      </c>
      <c r="AJ75" s="281" t="s">
        <v>856</v>
      </c>
      <c r="AK75" s="281" t="s">
        <v>855</v>
      </c>
      <c r="AL75" s="281" t="s">
        <v>857</v>
      </c>
      <c r="AM75" s="286">
        <v>43101</v>
      </c>
      <c r="AN75" s="287" t="str">
        <f ca="1">DATEDIF(AM75,TODAY(),"y")&amp;" tahun "&amp;DATEDIF(AM75,TODAY(),"ym")&amp;" bulan "</f>
        <v xml:space="preserve">8 tahun 0 bulan </v>
      </c>
      <c r="AO75" s="281" t="s">
        <v>858</v>
      </c>
      <c r="AP75" s="281" t="s">
        <v>934</v>
      </c>
      <c r="AQ75" s="281" t="s">
        <v>1109</v>
      </c>
      <c r="AR75" s="281" t="s">
        <v>323</v>
      </c>
      <c r="AS75" s="281">
        <v>82229243603</v>
      </c>
      <c r="AT75" s="281" t="s">
        <v>324</v>
      </c>
      <c r="AU75" s="281" t="s">
        <v>30</v>
      </c>
      <c r="AV75" s="281"/>
      <c r="AW75" s="281" t="str">
        <f>VLOOKUP(B75,Sheet2!A24:I141,9,FALSE)</f>
        <v>Ully Asfari, S.Kom., M.Kom.</v>
      </c>
      <c r="AX75" s="281" t="s">
        <v>902</v>
      </c>
      <c r="AY75" s="281" t="str">
        <f>VLOOKUP(B75,Sheet2!A24:C141,2,FALSE)</f>
        <v>Sanggau</v>
      </c>
      <c r="AZ75" s="288">
        <f>VLOOKUP(B75,Sheet2!A24:C141,3,FALSE)</f>
        <v>33210</v>
      </c>
      <c r="BA75" s="281">
        <f ca="1">DATEDIF(AZ75, TODAY(),"y")</f>
        <v>35</v>
      </c>
      <c r="BB75" s="281"/>
      <c r="BC75" s="281"/>
      <c r="BD75" s="281"/>
      <c r="BE75" s="281"/>
      <c r="BF75" s="289"/>
      <c r="BG75" s="289"/>
      <c r="BH75" s="289"/>
      <c r="BI75" s="289"/>
      <c r="BJ75" s="289"/>
      <c r="BK75" s="289"/>
      <c r="BL75" s="288" t="s">
        <v>21</v>
      </c>
      <c r="BM75" s="281"/>
      <c r="BN75" s="281"/>
      <c r="BO75" s="281"/>
      <c r="BP75" s="281"/>
      <c r="BQ75" s="281"/>
      <c r="BR75" s="288" t="str">
        <f>VLOOKUP(B75,Sheet2!A24:E141,5,FALSE)</f>
        <v>Cybernetics</v>
      </c>
      <c r="BS75" s="288" t="str">
        <f>VLOOKUP(B75,Sheet2!A24:F141,6,FALSE)</f>
        <v>ULF</v>
      </c>
      <c r="BT75" s="288" t="str">
        <f>VLOOKUP(B75,Sheet2!A24:G141,7,FALSE)</f>
        <v>Fakultas Rekayasa Industri</v>
      </c>
      <c r="BU75" s="288" t="str">
        <f>VLOOKUP(B75,Sheet2!A24:H141,8,FALSE)</f>
        <v>ullyas@telkomuniversity.ac.id</v>
      </c>
      <c r="BV75" s="280">
        <f>COUNTIFS('Join TPA Dosen'!B:B,'Dosen sorted'!B98)</f>
        <v>1</v>
      </c>
      <c r="BW75" s="273" t="str">
        <f>DATEDIF(AM75,DATE(2026,1,1),"y")&amp;" tahun "&amp;DATEDIF(AM75,DATE(2026,1,1),"ym")&amp;" bulan "</f>
        <v xml:space="preserve">8 tahun 0 bulan </v>
      </c>
      <c r="BX75" s="280" t="str">
        <f>VLOOKUP($B75,Sheet1!$A:$G,2,FALSE)</f>
        <v>ITS</v>
      </c>
      <c r="BY75" s="280" t="str">
        <f>VLOOKUP($B75,Sheet1!$A:$G,3,FALSE)</f>
        <v>Sistem Informasi</v>
      </c>
      <c r="BZ75" s="280" t="str">
        <f>VLOOKUP($B75,Sheet1!$A:$G,4,FALSE)</f>
        <v>ITS</v>
      </c>
      <c r="CA75" s="280" t="str">
        <f>VLOOKUP($B75,Sheet1!$A:$G,5,FALSE)</f>
        <v>Teknik Informatika - Sistem Informasi</v>
      </c>
      <c r="CB75" s="280" t="str">
        <f>VLOOKUP($B75,Sheet1!$A:$G,6,FALSE)</f>
        <v>-</v>
      </c>
      <c r="CC75" s="280">
        <f>VLOOKUP($B75,Sheet1!$A:$G,7,FALSE)</f>
        <v>0</v>
      </c>
      <c r="CD75" s="280" t="s">
        <v>882</v>
      </c>
      <c r="CE75" s="280" t="s">
        <v>903</v>
      </c>
    </row>
    <row r="76" spans="1:83" ht="19.5" hidden="1">
      <c r="A76" s="281">
        <v>28</v>
      </c>
      <c r="B76" s="281" t="s">
        <v>243</v>
      </c>
      <c r="C76" s="281" t="s">
        <v>20</v>
      </c>
      <c r="D76" s="281" t="s">
        <v>235</v>
      </c>
      <c r="E76" s="281">
        <v>20860017</v>
      </c>
      <c r="F76" s="281" t="s">
        <v>1110</v>
      </c>
      <c r="G76" s="282" t="s">
        <v>244</v>
      </c>
      <c r="H76" s="281" t="s">
        <v>845</v>
      </c>
      <c r="I76" s="281" t="s">
        <v>30</v>
      </c>
      <c r="J76" s="281" t="s">
        <v>57</v>
      </c>
      <c r="K76" s="281" t="s">
        <v>846</v>
      </c>
      <c r="L76" s="281" t="s">
        <v>847</v>
      </c>
      <c r="M76" s="283" t="str">
        <f>IF(L76="NJAD","AA",IF(L76="AA","L",IF(L76="L","LK","GB")))</f>
        <v>L</v>
      </c>
      <c r="N76" s="282" t="s">
        <v>511</v>
      </c>
      <c r="O76" s="281">
        <v>150</v>
      </c>
      <c r="P76" s="281" t="s">
        <v>1111</v>
      </c>
      <c r="Q76" s="284">
        <v>44365</v>
      </c>
      <c r="R76" s="281" t="str">
        <f ca="1">DATEDIF(Q76,TODAY(), "Y") &amp; " Tahun " &amp; DATEDIF(Q76, TODAY(), "YM") &amp; " Bulan"</f>
        <v>4 Tahun 7 Bulan</v>
      </c>
      <c r="S76" s="281" t="s">
        <v>849</v>
      </c>
      <c r="T76" s="285">
        <v>44531</v>
      </c>
      <c r="U76" s="281" t="str">
        <f ca="1">DATEDIF(T76,TODAY(), "Y") &amp; " Tahun " &amp; DATEDIF(T76, TODAY(), "YM") &amp; " Bulan"</f>
        <v>4 Tahun 1 Bulan</v>
      </c>
      <c r="V76" s="281" t="s">
        <v>933</v>
      </c>
      <c r="W76" s="281" t="s">
        <v>851</v>
      </c>
      <c r="X76" s="283" t="str">
        <f ca="1">IF(AND(OR(L76="AA",L76="L"),OR(S76="Penata Muda Tk. I Golongan III/b",S76="Penata Golongan III/c"),DATEDIF(Q76,TODAY(),"m")&gt;=23,ISBLANK(Z76),C76="Aktif"),"Nominasi Serdos","-")</f>
        <v>-</v>
      </c>
      <c r="Y76" s="281"/>
      <c r="Z76" s="282" t="s">
        <v>852</v>
      </c>
      <c r="AA76" s="281">
        <v>25104105709170</v>
      </c>
      <c r="AB76" s="281" t="s">
        <v>1112</v>
      </c>
      <c r="AC76" s="285">
        <v>45917</v>
      </c>
      <c r="AD76" s="281" t="s">
        <v>30</v>
      </c>
      <c r="AE76" s="281" t="s">
        <v>30</v>
      </c>
      <c r="AF76" s="281" t="s">
        <v>30</v>
      </c>
      <c r="AG76" s="281" t="s">
        <v>30</v>
      </c>
      <c r="AH76" s="281" t="s">
        <v>854</v>
      </c>
      <c r="AI76" s="281" t="s">
        <v>855</v>
      </c>
      <c r="AJ76" s="281" t="s">
        <v>856</v>
      </c>
      <c r="AK76" s="281" t="s">
        <v>855</v>
      </c>
      <c r="AL76" s="281" t="s">
        <v>857</v>
      </c>
      <c r="AM76" s="286">
        <v>43282</v>
      </c>
      <c r="AN76" s="287" t="str">
        <f ca="1">DATEDIF(AM76,TODAY(),"y")&amp;" tahun "&amp;DATEDIF(AM76,TODAY(),"ym")&amp;" bulan "</f>
        <v xml:space="preserve">7 tahun 6 bulan </v>
      </c>
      <c r="AO76" s="281" t="s">
        <v>858</v>
      </c>
      <c r="AP76" s="281" t="s">
        <v>934</v>
      </c>
      <c r="AQ76" s="281" t="s">
        <v>1113</v>
      </c>
      <c r="AR76" s="281" t="s">
        <v>245</v>
      </c>
      <c r="AS76" s="281">
        <v>81359558005</v>
      </c>
      <c r="AT76" s="281" t="s">
        <v>246</v>
      </c>
      <c r="AU76" s="281" t="s">
        <v>30</v>
      </c>
      <c r="AV76" s="281"/>
      <c r="AW76" s="281" t="str">
        <f>VLOOKUP(B76,Sheet2!A29:I146,9,FALSE)</f>
        <v>Yupit Sudianto, S.Kom., M.Kom.</v>
      </c>
      <c r="AX76" s="281" t="s">
        <v>861</v>
      </c>
      <c r="AY76" s="281" t="str">
        <f>VLOOKUP(B76,Sheet2!A29:C146,2,FALSE)</f>
        <v>Surabaya</v>
      </c>
      <c r="AZ76" s="288">
        <f>VLOOKUP(B76,Sheet2!A29:C146,3,FALSE)</f>
        <v>31645</v>
      </c>
      <c r="BA76" s="281">
        <f ca="1">DATEDIF(AZ76, TODAY(),"y")</f>
        <v>39</v>
      </c>
      <c r="BB76" s="281"/>
      <c r="BC76" s="281"/>
      <c r="BD76" s="281"/>
      <c r="BE76" s="281"/>
      <c r="BF76" s="289"/>
      <c r="BG76" s="289"/>
      <c r="BH76" s="289"/>
      <c r="BI76" s="289"/>
      <c r="BJ76" s="289"/>
      <c r="BK76" s="289"/>
      <c r="BL76" s="288" t="str">
        <f>VLOOKUP(B76,Sheet2!A29:D146,4,FALSE)</f>
        <v>Dosen</v>
      </c>
      <c r="BM76" s="281"/>
      <c r="BN76" s="281"/>
      <c r="BO76" s="281"/>
      <c r="BP76" s="281"/>
      <c r="BQ76" s="281"/>
      <c r="BR76" s="288" t="str">
        <f>VLOOKUP(B76,Sheet2!A29:E146,5,FALSE)</f>
        <v>Enterprise and Industrial System (EINS)</v>
      </c>
      <c r="BS76" s="288" t="str">
        <f>VLOOKUP(B76,Sheet2!A29:F146,6,FALSE)</f>
        <v>YPT</v>
      </c>
      <c r="BT76" s="288" t="str">
        <f>VLOOKUP(B76,Sheet2!A29:G146,7,FALSE)</f>
        <v>Fakultas Rekayasa Industri</v>
      </c>
      <c r="BU76" s="288" t="str">
        <f>VLOOKUP(B76,Sheet2!A29:H146,8,FALSE)</f>
        <v>yufidu@telkomuniversity.ac.id</v>
      </c>
      <c r="BV76" s="280">
        <f>COUNTIFS('Join TPA Dosen'!B:B,'Dosen sorted'!B29)</f>
        <v>1</v>
      </c>
      <c r="BW76" s="273" t="str">
        <f>DATEDIF(AM76,DATE(2026,1,1),"y")&amp;" tahun "&amp;DATEDIF(AM76,DATE(2026,1,1),"ym")&amp;" bulan "</f>
        <v xml:space="preserve">7 tahun 6 bulan </v>
      </c>
      <c r="BX76" s="280" t="str">
        <f>VLOOKUP($B76,Sheet1!$A:$G,2,FALSE)</f>
        <v>ITS</v>
      </c>
      <c r="BY76" s="280" t="str">
        <f>VLOOKUP($B76,Sheet1!$A:$G,3,FALSE)</f>
        <v>Sistem Informasi</v>
      </c>
      <c r="BZ76" s="280" t="str">
        <f>VLOOKUP($B76,Sheet1!$A:$G,4,FALSE)</f>
        <v>ITS</v>
      </c>
      <c r="CA76" s="280" t="str">
        <f>VLOOKUP($B76,Sheet1!$A:$G,5,FALSE)</f>
        <v>Teknik Informatika - Sistem Informasi</v>
      </c>
      <c r="CB76" s="280" t="str">
        <f>VLOOKUP($B76,Sheet1!$A:$G,6,FALSE)</f>
        <v>-</v>
      </c>
      <c r="CC76" s="280">
        <f>VLOOKUP($B76,Sheet1!$A:$G,7,FALSE)</f>
        <v>0</v>
      </c>
      <c r="CD76" s="280" t="s">
        <v>882</v>
      </c>
      <c r="CE76" s="280" t="s">
        <v>903</v>
      </c>
    </row>
    <row r="77" spans="1:83" ht="19.5" hidden="1">
      <c r="A77" s="281">
        <v>13</v>
      </c>
      <c r="B77" s="281" t="s">
        <v>329</v>
      </c>
      <c r="C77" s="281" t="s">
        <v>20</v>
      </c>
      <c r="D77" s="281" t="s">
        <v>330</v>
      </c>
      <c r="E77" s="281">
        <v>19920003</v>
      </c>
      <c r="F77" s="281" t="s">
        <v>925</v>
      </c>
      <c r="G77" s="282" t="s">
        <v>331</v>
      </c>
      <c r="H77" s="281" t="s">
        <v>845</v>
      </c>
      <c r="I77" s="281" t="s">
        <v>30</v>
      </c>
      <c r="J77" s="281" t="s">
        <v>257</v>
      </c>
      <c r="K77" s="281" t="s">
        <v>926</v>
      </c>
      <c r="L77" s="281" t="s">
        <v>847</v>
      </c>
      <c r="M77" s="283" t="str">
        <f>IF(L77="NJAD","AA",IF(L77="AA","L",IF(L77="L","LK","GB")))</f>
        <v>L</v>
      </c>
      <c r="N77" s="282" t="s">
        <v>511</v>
      </c>
      <c r="O77" s="281">
        <v>150</v>
      </c>
      <c r="P77" s="281" t="s">
        <v>927</v>
      </c>
      <c r="Q77" s="284">
        <v>43789</v>
      </c>
      <c r="R77" s="281" t="str">
        <f ca="1">DATEDIF(Q77,TODAY(), "Y") &amp; " Tahun " &amp; DATEDIF(Q77, TODAY(), "YM") &amp; " Bulan"</f>
        <v>6 Tahun 1 Bulan</v>
      </c>
      <c r="S77" s="281" t="s">
        <v>849</v>
      </c>
      <c r="T77" s="285">
        <v>43891</v>
      </c>
      <c r="U77" s="281" t="str">
        <f ca="1">DATEDIF(T77,TODAY(), "Y") &amp; " Tahun " &amp; DATEDIF(T77, TODAY(), "YM") &amp; " Bulan"</f>
        <v>5 Tahun 10 Bulan</v>
      </c>
      <c r="V77" s="281" t="s">
        <v>928</v>
      </c>
      <c r="W77" s="281" t="s">
        <v>851</v>
      </c>
      <c r="X77" s="283" t="str">
        <f ca="1">IF(AND(OR(L77="AA",L77="L"),OR(S77="Penata Muda Tk. I Golongan III/b",S77="Penata Golongan III/c"),DATEDIF(Q77,TODAY(),"m")&gt;=23,ISBLANK(Z77),C77="Aktif"),"Nominasi Serdos","-")</f>
        <v>-</v>
      </c>
      <c r="Y77" s="281"/>
      <c r="Z77" s="282" t="s">
        <v>852</v>
      </c>
      <c r="AA77" s="281">
        <v>25104105707981</v>
      </c>
      <c r="AB77" s="281" t="s">
        <v>929</v>
      </c>
      <c r="AC77" s="285">
        <v>45917</v>
      </c>
      <c r="AD77" s="281" t="s">
        <v>30</v>
      </c>
      <c r="AE77" s="281" t="s">
        <v>30</v>
      </c>
      <c r="AF77" s="281" t="s">
        <v>30</v>
      </c>
      <c r="AG77" s="281" t="s">
        <v>30</v>
      </c>
      <c r="AH77" s="281" t="s">
        <v>879</v>
      </c>
      <c r="AI77" s="281" t="s">
        <v>30</v>
      </c>
      <c r="AJ77" s="281" t="s">
        <v>30</v>
      </c>
      <c r="AK77" s="281" t="s">
        <v>30</v>
      </c>
      <c r="AM77" s="286">
        <v>43101</v>
      </c>
      <c r="AN77" s="287" t="str">
        <f ca="1">DATEDIF(AM77,TODAY(),"y")&amp;" tahun "&amp;DATEDIF(AM77,TODAY(),"ym")&amp;" bulan "</f>
        <v xml:space="preserve">8 tahun 0 bulan </v>
      </c>
      <c r="AO77" s="281" t="s">
        <v>868</v>
      </c>
      <c r="AP77" s="281" t="s">
        <v>880</v>
      </c>
      <c r="AQ77" s="281" t="s">
        <v>930</v>
      </c>
      <c r="AR77" s="281" t="s">
        <v>332</v>
      </c>
      <c r="AS77" s="281">
        <v>81360805290</v>
      </c>
      <c r="AT77" s="281" t="s">
        <v>333</v>
      </c>
      <c r="AU77" s="281" t="s">
        <v>30</v>
      </c>
      <c r="AV77" s="281"/>
      <c r="AW77" s="281" t="str">
        <f>VLOOKUP(B77,Sheet2!A14:I131,9,FALSE)</f>
        <v>Anifatul Faricha, S.T., M.Sc., Ph.D</v>
      </c>
      <c r="AX77" s="281" t="s">
        <v>902</v>
      </c>
      <c r="AY77" s="281" t="str">
        <f>VLOOKUP(B77,Sheet2!A14:C131,2,FALSE)</f>
        <v>Lamongan</v>
      </c>
      <c r="AZ77" s="288">
        <f>VLOOKUP(B77,Sheet2!A14:C131,3,FALSE)</f>
        <v>33759</v>
      </c>
      <c r="BA77" s="281">
        <f ca="1">DATEDIF(AZ77, TODAY(),"y")</f>
        <v>33</v>
      </c>
      <c r="BB77" s="281"/>
      <c r="BC77" s="281"/>
      <c r="BD77" s="281"/>
      <c r="BE77" s="281"/>
      <c r="BF77" s="289"/>
      <c r="BG77" s="289"/>
      <c r="BH77" s="289"/>
      <c r="BI77" s="289"/>
      <c r="BJ77" s="289"/>
      <c r="BK77" s="289"/>
      <c r="BL77" s="288" t="s">
        <v>922</v>
      </c>
      <c r="BM77" s="281"/>
      <c r="BN77" s="281"/>
      <c r="BO77" s="281"/>
      <c r="BP77" s="281"/>
      <c r="BQ77" s="281"/>
      <c r="BR77" s="288" t="str">
        <f>VLOOKUP(B77,Sheet2!A14:E131,5,FALSE)</f>
        <v>Sustainable Material, Instrumentation, Energy, and Computation (SMART)</v>
      </c>
      <c r="BS77" s="288" t="str">
        <f>VLOOKUP(B77,Sheet2!A14:F131,6,FALSE)</f>
        <v>EVE</v>
      </c>
      <c r="BT77" s="288" t="str">
        <f>VLOOKUP(B77,Sheet2!A14:G131,7,FALSE)</f>
        <v>Fakultas Teknik Elektro</v>
      </c>
      <c r="BU77" s="288" t="str">
        <f>VLOOKUP(B77,Sheet2!A14:H131,8,FALSE)</f>
        <v>faricha@telkomuniversity.ac.id</v>
      </c>
      <c r="BV77" s="280">
        <f>COUNTIFS('Join TPA Dosen'!B:B,'Dosen sorted'!B14)</f>
        <v>1</v>
      </c>
      <c r="BW77" s="273" t="str">
        <f>DATEDIF(AM77,DATE(2026,1,1),"y")&amp;" tahun "&amp;DATEDIF(AM77,DATE(2026,1,1),"ym")&amp;" bulan "</f>
        <v xml:space="preserve">8 tahun 0 bulan </v>
      </c>
      <c r="BX77" s="280" t="str">
        <f>VLOOKUP($B77,Sheet1!$A:$G,2,FALSE)</f>
        <v>ITS</v>
      </c>
      <c r="BY77" s="280" t="str">
        <f>VLOOKUP($B77,Sheet1!$A:$G,3,FALSE)</f>
        <v>Teknik Elektro</v>
      </c>
      <c r="BZ77" s="280" t="str">
        <f>VLOOKUP($B77,Sheet1!$A:$G,4,FALSE)</f>
        <v>National Taiwan Univ of Science and Tech</v>
      </c>
      <c r="CA77" s="280" t="str">
        <f>VLOOKUP($B77,Sheet1!$A:$G,5,FALSE)</f>
        <v>Graduate Institute of Automation and Control</v>
      </c>
      <c r="CB77" s="280" t="str">
        <f>VLOOKUP($B77,Sheet1!$A:$G,6,FALSE)</f>
        <v>Tokyo Institute of Technology</v>
      </c>
      <c r="CC77" s="280" t="str">
        <f>VLOOKUP($B77,Sheet1!$A:$G,7,FALSE)</f>
        <v>Information and Communications Engineering</v>
      </c>
      <c r="CD77" s="280" t="s">
        <v>882</v>
      </c>
      <c r="CE77" s="280" t="s">
        <v>872</v>
      </c>
    </row>
    <row r="78" spans="1:83" ht="19.5" hidden="1">
      <c r="A78" s="281">
        <v>98</v>
      </c>
      <c r="B78" s="281" t="s">
        <v>361</v>
      </c>
      <c r="C78" s="281" t="s">
        <v>20</v>
      </c>
      <c r="D78" s="281" t="s">
        <v>330</v>
      </c>
      <c r="E78" s="291">
        <v>20900019</v>
      </c>
      <c r="F78" s="291" t="s">
        <v>1230</v>
      </c>
      <c r="G78" s="296" t="s">
        <v>362</v>
      </c>
      <c r="H78" s="291" t="s">
        <v>884</v>
      </c>
      <c r="I78" s="291" t="s">
        <v>143</v>
      </c>
      <c r="J78" s="291" t="s">
        <v>363</v>
      </c>
      <c r="K78" s="281" t="s">
        <v>874</v>
      </c>
      <c r="L78" s="281" t="s">
        <v>775</v>
      </c>
      <c r="M78" s="283" t="str">
        <f>IF(L78="NJAD","AA",IF(L78="AA","L",IF(L78="L","LK","GB")))</f>
        <v>LK</v>
      </c>
      <c r="N78" s="282" t="s">
        <v>511</v>
      </c>
      <c r="O78" s="281">
        <v>200</v>
      </c>
      <c r="P78" s="281" t="s">
        <v>1231</v>
      </c>
      <c r="Q78" s="284">
        <v>45962</v>
      </c>
      <c r="R78" s="281" t="str">
        <f ca="1">DATEDIF(Q78,TODAY(), "Y") &amp; " Tahun " &amp; DATEDIF(Q78, TODAY(), "YM") &amp; " Bulan"</f>
        <v>0 Tahun 2 Bulan</v>
      </c>
      <c r="S78" s="282" t="s">
        <v>511</v>
      </c>
      <c r="T78" s="282" t="s">
        <v>511</v>
      </c>
      <c r="U78" s="281" t="e">
        <f ca="1">DATEDIF(T78,TODAY(), "Y") &amp; " Tahun " &amp; DATEDIF(T78, TODAY(), "YM") &amp; " Bulan"</f>
        <v>#VALUE!</v>
      </c>
      <c r="V78" s="281" t="s">
        <v>1232</v>
      </c>
      <c r="W78" s="281" t="s">
        <v>851</v>
      </c>
      <c r="X78" s="283" t="str">
        <f ca="1">IF(AND(OR(L78="AA",L78="L"),OR(S78="Penata Muda Tk. I Golongan III/b",S78="Penata Golongan III/c"),DATEDIF(Q78,TODAY(),"m")&gt;=23,ISBLANK(Z78),C78="Aktif"),"Nominasi Serdos","-")</f>
        <v>-</v>
      </c>
      <c r="Y78" s="281"/>
      <c r="Z78" s="282"/>
      <c r="AA78" s="281"/>
      <c r="AB78" s="281" t="s">
        <v>30</v>
      </c>
      <c r="AC78" s="282" t="s">
        <v>511</v>
      </c>
      <c r="AD78" s="281" t="s">
        <v>30</v>
      </c>
      <c r="AE78" s="281" t="s">
        <v>30</v>
      </c>
      <c r="AF78" s="281" t="s">
        <v>30</v>
      </c>
      <c r="AG78" s="281" t="s">
        <v>30</v>
      </c>
      <c r="AH78" s="281" t="s">
        <v>879</v>
      </c>
      <c r="AI78" s="281" t="s">
        <v>30</v>
      </c>
      <c r="AJ78" s="281" t="s">
        <v>30</v>
      </c>
      <c r="AK78" s="281" t="s">
        <v>30</v>
      </c>
      <c r="AM78" s="286">
        <v>43885</v>
      </c>
      <c r="AN78" s="287" t="str">
        <f ca="1">DATEDIF(AM78,TODAY(),"y")&amp;" tahun "&amp;DATEDIF(AM78,TODAY(),"ym")&amp;" bulan "</f>
        <v xml:space="preserve">5 tahun 10 bulan </v>
      </c>
      <c r="AO78" s="281" t="s">
        <v>868</v>
      </c>
      <c r="AP78" s="281" t="s">
        <v>880</v>
      </c>
      <c r="AQ78" s="281" t="s">
        <v>1233</v>
      </c>
      <c r="AR78" s="281" t="s">
        <v>364</v>
      </c>
      <c r="AS78" s="281">
        <v>82140058468</v>
      </c>
      <c r="AT78" s="281" t="s">
        <v>365</v>
      </c>
      <c r="AU78" s="281" t="s">
        <v>30</v>
      </c>
      <c r="AV78" s="281"/>
      <c r="AW78" s="281" t="str">
        <f>VLOOKUP(B78,Sheet2!A99:I216,9,FALSE)</f>
        <v>Dr. Chaironi Latif, S.Si.</v>
      </c>
      <c r="AX78" s="281" t="s">
        <v>861</v>
      </c>
      <c r="AY78" s="281" t="str">
        <f>VLOOKUP(B78,Sheet2!A99:C216,2,FALSE)</f>
        <v>Yogyakarta</v>
      </c>
      <c r="AZ78" s="288">
        <f>VLOOKUP(B78,Sheet2!A99:C216,3,FALSE)</f>
        <v>33151</v>
      </c>
      <c r="BA78" s="281">
        <f ca="1">DATEDIF(AZ78, TODAY(),"y")</f>
        <v>35</v>
      </c>
      <c r="BB78" s="281"/>
      <c r="BC78" s="281"/>
      <c r="BD78" s="281"/>
      <c r="BE78" s="295"/>
      <c r="BF78" s="289"/>
      <c r="BG78" s="289"/>
      <c r="BH78" s="289"/>
      <c r="BI78" s="289"/>
      <c r="BJ78" s="289"/>
      <c r="BK78" s="289"/>
      <c r="BL78" s="288" t="str">
        <f>VLOOKUP(B78,Sheet2!A99:D216,4,FALSE)</f>
        <v>Kepala Urusan</v>
      </c>
      <c r="BM78" s="281"/>
      <c r="BN78" s="281"/>
      <c r="BO78" s="281"/>
      <c r="BP78" s="281"/>
      <c r="BQ78" s="281"/>
      <c r="BR78" s="288" t="str">
        <f>VLOOKUP(B78,Sheet2!A99:E216,5,FALSE)</f>
        <v>Sustainable Material, Instrumentation, Energy, and Computation (SMART)</v>
      </c>
      <c r="BS78" s="288" t="str">
        <f>VLOOKUP(B78,Sheet2!A99:F216,6,FALSE)</f>
        <v>CLF</v>
      </c>
      <c r="BT78" s="288" t="str">
        <f>VLOOKUP(B78,Sheet2!A99:G216,7,FALSE)</f>
        <v>Fakultas Teknik Elektro</v>
      </c>
      <c r="BU78" s="288" t="str">
        <f>VLOOKUP(B78,Sheet2!A99:H216,8,FALSE)</f>
        <v>chaironi@telkomuniversity.ac.id</v>
      </c>
      <c r="BV78" s="280">
        <f>COUNTIFS('Join TPA Dosen'!B:B,'Dosen sorted'!B99)</f>
        <v>1</v>
      </c>
      <c r="BW78" s="273" t="str">
        <f>DATEDIF(AM78,DATE(2026,1,1),"y")&amp;" tahun "&amp;DATEDIF(AM78,DATE(2026,1,1),"ym")&amp;" bulan "</f>
        <v xml:space="preserve">5 tahun 10 bulan </v>
      </c>
      <c r="BX78" s="280" t="str">
        <f>VLOOKUP($B78,Sheet1!$A:$G,2,FALSE)</f>
        <v>ITS</v>
      </c>
      <c r="BY78" s="280" t="str">
        <f>VLOOKUP($B78,Sheet1!$A:$G,3,FALSE)</f>
        <v>Fisika</v>
      </c>
      <c r="BZ78" s="280" t="str">
        <f>VLOOKUP($B78,Sheet1!$A:$G,4,FALSE)</f>
        <v>-</v>
      </c>
      <c r="CA78" s="280">
        <f>VLOOKUP($B78,Sheet1!$A:$G,5,FALSE)</f>
        <v>0</v>
      </c>
      <c r="CB78" s="280" t="str">
        <f>VLOOKUP($B78,Sheet1!$A:$G,6,FALSE)</f>
        <v>ITS</v>
      </c>
      <c r="CC78" s="280" t="str">
        <f>VLOOKUP($B78,Sheet1!$A:$G,7,FALSE)</f>
        <v>Ilmu Fisika</v>
      </c>
      <c r="CD78" s="280" t="s">
        <v>871</v>
      </c>
      <c r="CE78" s="280" t="s">
        <v>872</v>
      </c>
    </row>
    <row r="79" spans="1:83" ht="19.5" hidden="1">
      <c r="A79" s="281">
        <v>5</v>
      </c>
      <c r="B79" s="281" t="s">
        <v>334</v>
      </c>
      <c r="C79" s="281" t="s">
        <v>20</v>
      </c>
      <c r="D79" s="281" t="s">
        <v>330</v>
      </c>
      <c r="E79" s="281"/>
      <c r="F79" s="281" t="s">
        <v>873</v>
      </c>
      <c r="G79" s="282" t="s">
        <v>335</v>
      </c>
      <c r="H79" s="281" t="s">
        <v>845</v>
      </c>
      <c r="I79" s="281" t="s">
        <v>30</v>
      </c>
      <c r="J79" s="281" t="s">
        <v>336</v>
      </c>
      <c r="K79" s="281" t="s">
        <v>874</v>
      </c>
      <c r="L79" s="281" t="s">
        <v>775</v>
      </c>
      <c r="M79" s="283" t="str">
        <f>IF(L79="NJAD","AA",IF(L79="AA","L",IF(L79="L","LK","GB")))</f>
        <v>LK</v>
      </c>
      <c r="N79" s="281" t="s">
        <v>30</v>
      </c>
      <c r="O79" s="281">
        <v>300</v>
      </c>
      <c r="P79" s="281" t="s">
        <v>875</v>
      </c>
      <c r="Q79" s="284">
        <v>45108</v>
      </c>
      <c r="R79" s="281" t="str">
        <f ca="1">DATEDIF(Q79,TODAY(), "Y") &amp; " Tahun " &amp; DATEDIF(Q79, TODAY(), "YM") &amp; " Bulan"</f>
        <v>2 Tahun 6 Bulan</v>
      </c>
      <c r="S79" s="281" t="s">
        <v>876</v>
      </c>
      <c r="T79" s="285">
        <v>45261</v>
      </c>
      <c r="U79" s="281" t="str">
        <f ca="1">DATEDIF(T79,TODAY(), "Y") &amp; " Tahun " &amp; DATEDIF(T79, TODAY(), "YM") &amp; " Bulan"</f>
        <v>2 Tahun 1 Bulan</v>
      </c>
      <c r="V79" s="281" t="s">
        <v>877</v>
      </c>
      <c r="W79" s="281" t="s">
        <v>851</v>
      </c>
      <c r="X79" s="283" t="str">
        <f ca="1">IF(AND(OR(L79="AA",L79="L"),OR(S79="Penata Muda Tk. I Golongan III/b",S79="Penata Golongan III/c"),DATEDIF(Q79,TODAY(),"m")&gt;=23,ISBLANK(Z79),C79="Aktif"),"Nominasi Serdos","-")</f>
        <v>-</v>
      </c>
      <c r="Y79" s="281"/>
      <c r="Z79" s="281" t="s">
        <v>852</v>
      </c>
      <c r="AA79" s="281">
        <v>22107201901078</v>
      </c>
      <c r="AB79" s="281" t="s">
        <v>878</v>
      </c>
      <c r="AC79" s="285">
        <v>44783</v>
      </c>
      <c r="AD79" s="281" t="s">
        <v>30</v>
      </c>
      <c r="AE79" s="281" t="s">
        <v>30</v>
      </c>
      <c r="AF79" s="281" t="s">
        <v>30</v>
      </c>
      <c r="AG79" s="281" t="s">
        <v>30</v>
      </c>
      <c r="AH79" s="281" t="s">
        <v>879</v>
      </c>
      <c r="AI79" s="281" t="s">
        <v>30</v>
      </c>
      <c r="AJ79" s="281" t="s">
        <v>30</v>
      </c>
      <c r="AK79" s="281" t="s">
        <v>30</v>
      </c>
      <c r="AM79" s="286">
        <v>43101</v>
      </c>
      <c r="AN79" s="287" t="str">
        <f ca="1">DATEDIF(AM79,TODAY(),"y")&amp;" tahun "&amp;DATEDIF(AM79,TODAY(),"ym")&amp;" bulan "</f>
        <v xml:space="preserve">8 tahun 0 bulan </v>
      </c>
      <c r="AO79" s="281" t="s">
        <v>868</v>
      </c>
      <c r="AP79" s="281" t="s">
        <v>880</v>
      </c>
      <c r="AQ79" s="281" t="s">
        <v>881</v>
      </c>
      <c r="AR79" s="281" t="s">
        <v>337</v>
      </c>
      <c r="AS79" s="281">
        <v>81335397727</v>
      </c>
      <c r="AT79" s="281" t="s">
        <v>338</v>
      </c>
      <c r="AU79" s="281" t="s">
        <v>30</v>
      </c>
      <c r="AV79" s="281"/>
      <c r="AW79" s="281" t="str">
        <f>VLOOKUP(B79,Sheet2!A6:I123,9,FALSE)</f>
        <v xml:space="preserve"> Dimas Adiputra, B.Sc., M.Phil., Ph.D.</v>
      </c>
      <c r="AX79" s="281" t="s">
        <v>861</v>
      </c>
      <c r="AY79" s="281" t="str">
        <f>VLOOKUP(B79,Sheet2!A6:C123,2,FALSE)</f>
        <v>Jakarta</v>
      </c>
      <c r="AZ79" s="288">
        <f>VLOOKUP(B79,Sheet2!A6:C123,3,FALSE)</f>
        <v>34114</v>
      </c>
      <c r="BA79" s="281">
        <f ca="1">DATEDIF(AZ79, TODAY(),"y")</f>
        <v>32</v>
      </c>
      <c r="BB79" s="281"/>
      <c r="BC79" s="281"/>
      <c r="BD79" s="281"/>
      <c r="BE79" s="281"/>
      <c r="BF79" s="289"/>
      <c r="BG79" s="289"/>
      <c r="BH79" s="289"/>
      <c r="BI79" s="304"/>
      <c r="BJ79" s="304"/>
      <c r="BK79" s="304"/>
      <c r="BL79" s="288" t="str">
        <f>VLOOKUP(B79,Sheet2!A6:D123,4,FALSE)</f>
        <v>COE</v>
      </c>
      <c r="BM79" s="281"/>
      <c r="BN79" s="281"/>
      <c r="BO79" s="281"/>
      <c r="BP79" s="281"/>
      <c r="BQ79" s="281"/>
      <c r="BR79" s="288" t="str">
        <f>VLOOKUP(B79,Sheet2!A6:E123,5,FALSE)</f>
        <v>Control, Elektronics, and Intelligent Systems (CEIS)</v>
      </c>
      <c r="BS79" s="288" t="str">
        <f>VLOOKUP(B79,Sheet2!A6:F123,6,FALSE)</f>
        <v>DIV</v>
      </c>
      <c r="BT79" s="288" t="str">
        <f>VLOOKUP(B79,Sheet2!A6:G123,7,FALSE)</f>
        <v>Fakultas Teknik Elektro</v>
      </c>
      <c r="BU79" s="288" t="str">
        <f>VLOOKUP(B79,Sheet2!A6:H123,8,FALSE)</f>
        <v>dimasze@telkomuniversity.ac.id</v>
      </c>
      <c r="BV79" s="280">
        <f>COUNTIFS('Join TPA Dosen'!B:B,'Dosen sorted'!B22)</f>
        <v>1</v>
      </c>
      <c r="BW79" s="273" t="str">
        <f>DATEDIF(AM79,DATE(2026,1,1),"y")&amp;" tahun "&amp;DATEDIF(AM79,DATE(2026,1,1),"ym")&amp;" bulan "</f>
        <v xml:space="preserve">8 tahun 0 bulan </v>
      </c>
      <c r="BX79" s="280" t="str">
        <f>VLOOKUP($B79,Sheet1!$A:$G,2,FALSE)</f>
        <v>President Univ</v>
      </c>
      <c r="BY79" s="280" t="str">
        <f>VLOOKUP($B79,Sheet1!$A:$G,3,FALSE)</f>
        <v>Teknik Elektro</v>
      </c>
      <c r="BZ79" s="280" t="str">
        <f>VLOOKUP($B79,Sheet1!$A:$G,4,FALSE)</f>
        <v>Universiti Teknologi Malaysia</v>
      </c>
      <c r="CA79" s="280" t="str">
        <f>VLOOKUP($B79,Sheet1!$A:$G,5,FALSE)</f>
        <v>Teknik Elektro</v>
      </c>
      <c r="CB79" s="280" t="str">
        <f>VLOOKUP($B79,Sheet1!$A:$G,6,FALSE)</f>
        <v>Universiti Teknologi Malaysia</v>
      </c>
      <c r="CC79" s="280" t="str">
        <f>VLOOKUP($B79,Sheet1!$A:$G,7,FALSE)</f>
        <v>Teknik Elektro</v>
      </c>
      <c r="CD79" s="280" t="s">
        <v>882</v>
      </c>
      <c r="CE79" s="280" t="s">
        <v>872</v>
      </c>
    </row>
    <row r="80" spans="1:83" ht="19.5" hidden="1">
      <c r="A80" s="281">
        <v>2</v>
      </c>
      <c r="B80" s="281" t="s">
        <v>339</v>
      </c>
      <c r="C80" s="281" t="s">
        <v>20</v>
      </c>
      <c r="D80" s="281" t="s">
        <v>330</v>
      </c>
      <c r="E80" s="281">
        <v>19870005</v>
      </c>
      <c r="F80" s="281" t="s">
        <v>1175</v>
      </c>
      <c r="G80" s="282" t="s">
        <v>340</v>
      </c>
      <c r="H80" s="281" t="s">
        <v>845</v>
      </c>
      <c r="I80" s="281" t="s">
        <v>30</v>
      </c>
      <c r="J80" s="281" t="s">
        <v>176</v>
      </c>
      <c r="K80" s="281" t="s">
        <v>846</v>
      </c>
      <c r="L80" s="281" t="s">
        <v>847</v>
      </c>
      <c r="M80" s="283" t="str">
        <f>IF(L80="NJAD","AA",IF(L80="AA","L",IF(L80="L","LK","GB")))</f>
        <v>L</v>
      </c>
      <c r="N80" s="282" t="s">
        <v>511</v>
      </c>
      <c r="O80" s="281">
        <v>150</v>
      </c>
      <c r="P80" s="281" t="s">
        <v>1176</v>
      </c>
      <c r="Q80" s="284">
        <v>43999</v>
      </c>
      <c r="R80" s="281" t="str">
        <f ca="1">DATEDIF(Q80,TODAY(), "Y") &amp; " Tahun " &amp; DATEDIF(Q80, TODAY(), "YM") &amp; " Bulan"</f>
        <v>5 Tahun 7 Bulan</v>
      </c>
      <c r="S80" s="281" t="s">
        <v>849</v>
      </c>
      <c r="T80" s="285">
        <v>44044</v>
      </c>
      <c r="U80" s="281" t="str">
        <f ca="1">DATEDIF(T80,TODAY(), "Y") &amp; " Tahun " &amp; DATEDIF(T80, TODAY(), "YM") &amp; " Bulan"</f>
        <v>5 Tahun 5 Bulan</v>
      </c>
      <c r="V80" s="281" t="s">
        <v>938</v>
      </c>
      <c r="W80" s="281" t="s">
        <v>851</v>
      </c>
      <c r="X80" s="283" t="str">
        <f ca="1">IF(AND(OR(L80="AA",L80="L"),OR(S80="Penata Muda Tk. I Golongan III/b",S80="Penata Golongan III/c"),DATEDIF(Q80,TODAY(),"m")&gt;=23,ISBLANK(Z80),C80="Aktif"),"Nominasi Serdos","-")</f>
        <v>-</v>
      </c>
      <c r="Y80" s="281"/>
      <c r="Z80" s="281" t="s">
        <v>852</v>
      </c>
      <c r="AA80" s="281">
        <v>22107201905184</v>
      </c>
      <c r="AB80" s="281" t="s">
        <v>1177</v>
      </c>
      <c r="AC80" s="285">
        <v>44846</v>
      </c>
      <c r="AD80" s="281" t="s">
        <v>30</v>
      </c>
      <c r="AE80" s="281" t="s">
        <v>30</v>
      </c>
      <c r="AF80" s="281" t="s">
        <v>30</v>
      </c>
      <c r="AG80" s="281" t="s">
        <v>30</v>
      </c>
      <c r="AH80" s="281" t="s">
        <v>854</v>
      </c>
      <c r="AI80" s="281" t="s">
        <v>855</v>
      </c>
      <c r="AJ80" s="281" t="s">
        <v>856</v>
      </c>
      <c r="AK80" s="281" t="s">
        <v>855</v>
      </c>
      <c r="AL80" s="281" t="s">
        <v>857</v>
      </c>
      <c r="AM80" s="286">
        <v>43101</v>
      </c>
      <c r="AN80" s="287" t="str">
        <f ca="1">DATEDIF(AM80,TODAY(),"y")&amp;" tahun "&amp;DATEDIF(AM80,TODAY(),"ym")&amp;" bulan "</f>
        <v xml:space="preserve">8 tahun 0 bulan </v>
      </c>
      <c r="AO80" s="281" t="s">
        <v>868</v>
      </c>
      <c r="AP80" s="281" t="s">
        <v>939</v>
      </c>
      <c r="AQ80" s="281" t="s">
        <v>1178</v>
      </c>
      <c r="AR80" s="305" t="s">
        <v>341</v>
      </c>
      <c r="AS80" s="281">
        <v>82134340781</v>
      </c>
      <c r="AT80" s="281" t="s">
        <v>342</v>
      </c>
      <c r="AU80" s="281" t="s">
        <v>30</v>
      </c>
      <c r="AV80" s="281"/>
      <c r="AW80" s="281" t="str">
        <f>VLOOKUP(B80,Sheet2!A3:I120,9,FALSE)</f>
        <v>Dwi Edi Setyawan, S.T., M.T.</v>
      </c>
      <c r="AX80" s="281" t="s">
        <v>861</v>
      </c>
      <c r="AY80" s="281" t="str">
        <f>VLOOKUP(B80,Sheet2!A3:C120,2,FALSE)</f>
        <v>Surabaya</v>
      </c>
      <c r="AZ80" s="288">
        <f>VLOOKUP(B80,Sheet2!A3:C120,3,FALSE)</f>
        <v>31941</v>
      </c>
      <c r="BA80" s="281">
        <f ca="1">DATEDIF(AZ80, TODAY(),"y")</f>
        <v>38</v>
      </c>
      <c r="BB80" s="281"/>
      <c r="BC80" s="281"/>
      <c r="BD80" s="281"/>
      <c r="BE80" s="281"/>
      <c r="BF80" s="289"/>
      <c r="BG80" s="289"/>
      <c r="BH80" s="289"/>
      <c r="BI80" s="289"/>
      <c r="BJ80" s="289"/>
      <c r="BK80" s="289"/>
      <c r="BL80" s="288" t="str">
        <f>VLOOKUP(B80,Sheet2!A3:D120,4,FALSE)</f>
        <v>Dosen</v>
      </c>
      <c r="BM80" s="281"/>
      <c r="BN80" s="281"/>
      <c r="BO80" s="281"/>
      <c r="BP80" s="281"/>
      <c r="BQ80" s="281"/>
      <c r="BR80" s="288" t="str">
        <f>VLOOKUP(B80,Sheet2!A3:E120,5,FALSE)</f>
        <v>Control, Elektronics, and Intelligent Systems (CEIS)</v>
      </c>
      <c r="BS80" s="288" t="str">
        <f>VLOOKUP(B80,Sheet2!A3:F120,6,FALSE)</f>
        <v>DWZ</v>
      </c>
      <c r="BT80" s="288" t="str">
        <f>VLOOKUP(B80,Sheet2!A3:G120,7,FALSE)</f>
        <v>Fakultas Teknik Elektro</v>
      </c>
      <c r="BU80" s="288" t="str">
        <f>VLOOKUP(B80,Sheet2!A3:H120,8,FALSE)</f>
        <v>dwiedi@telkomuniversity.ac.id</v>
      </c>
      <c r="BV80" s="280">
        <f>COUNTIFS('Join TPA Dosen'!B:B,'Dosen sorted'!B24)</f>
        <v>1</v>
      </c>
      <c r="BW80" s="273" t="str">
        <f>DATEDIF(AM80,DATE(2026,1,1),"y")&amp;" tahun "&amp;DATEDIF(AM80,DATE(2026,1,1),"ym")&amp;" bulan "</f>
        <v xml:space="preserve">8 tahun 0 bulan </v>
      </c>
      <c r="BX80" s="280" t="str">
        <f>VLOOKUP($B80,Sheet1!$A:$G,2,FALSE)</f>
        <v>UBHARA</v>
      </c>
      <c r="BY80" s="280" t="str">
        <f>VLOOKUP($B80,Sheet1!$A:$G,3,FALSE)</f>
        <v>Teknik Elektro</v>
      </c>
      <c r="BZ80" s="280" t="str">
        <f>VLOOKUP($B80,Sheet1!$A:$G,4,FALSE)</f>
        <v>ITS</v>
      </c>
      <c r="CA80" s="280" t="str">
        <f>VLOOKUP($B80,Sheet1!$A:$G,5,FALSE)</f>
        <v>Teknik Elektro</v>
      </c>
      <c r="CB80" s="280" t="str">
        <f>VLOOKUP($B80,Sheet1!$A:$G,6,FALSE)</f>
        <v>ITS</v>
      </c>
      <c r="CC80" s="280" t="str">
        <f>VLOOKUP($B80,Sheet1!$A:$G,7,FALSE)</f>
        <v>Teknik Komputer</v>
      </c>
      <c r="CD80" s="280" t="s">
        <v>871</v>
      </c>
      <c r="CE80" s="280" t="s">
        <v>872</v>
      </c>
    </row>
    <row r="81" spans="1:83" ht="19.5" hidden="1">
      <c r="A81" s="281">
        <v>6</v>
      </c>
      <c r="B81" s="281" t="s">
        <v>343</v>
      </c>
      <c r="C81" s="281" t="s">
        <v>20</v>
      </c>
      <c r="D81" s="281" t="s">
        <v>330</v>
      </c>
      <c r="E81" s="281">
        <v>19920002</v>
      </c>
      <c r="F81" s="281" t="s">
        <v>887</v>
      </c>
      <c r="G81" s="282" t="s">
        <v>344</v>
      </c>
      <c r="H81" s="281" t="s">
        <v>845</v>
      </c>
      <c r="I81" s="281" t="s">
        <v>143</v>
      </c>
      <c r="J81" s="281" t="s">
        <v>176</v>
      </c>
      <c r="K81" s="281" t="s">
        <v>874</v>
      </c>
      <c r="L81" s="281" t="s">
        <v>775</v>
      </c>
      <c r="M81" s="283" t="str">
        <f>IF(L81="NJAD","AA",IF(L81="AA","L",IF(L81="L","LK","GB")))</f>
        <v>LK</v>
      </c>
      <c r="N81" s="281" t="s">
        <v>30</v>
      </c>
      <c r="O81" s="281">
        <v>200</v>
      </c>
      <c r="P81" s="281" t="s">
        <v>888</v>
      </c>
      <c r="Q81" s="284">
        <v>45108</v>
      </c>
      <c r="R81" s="281" t="str">
        <f ca="1">DATEDIF(Q81,TODAY(), "Y") &amp; " Tahun " &amp; DATEDIF(Q81, TODAY(), "YM") &amp; " Bulan"</f>
        <v>2 Tahun 6 Bulan</v>
      </c>
      <c r="S81" s="281" t="s">
        <v>876</v>
      </c>
      <c r="T81" s="285">
        <v>45658</v>
      </c>
      <c r="U81" s="281" t="str">
        <f ca="1">DATEDIF(T81,TODAY(), "Y") &amp; " Tahun " &amp; DATEDIF(T81, TODAY(), "YM") &amp; " Bulan"</f>
        <v>1 Tahun 0 Bulan</v>
      </c>
      <c r="V81" s="281" t="s">
        <v>889</v>
      </c>
      <c r="W81" s="281" t="s">
        <v>851</v>
      </c>
      <c r="X81" s="283" t="str">
        <f ca="1">IF(AND(OR(L81="AA",L81="L"),OR(S81="Penata Muda Tk. I Golongan III/b",S81="Penata Golongan III/c"),DATEDIF(Q81,TODAY(),"m")&gt;=23,ISBLANK(Z81),C81="Aktif"),"Nominasi Serdos","-")</f>
        <v>-</v>
      </c>
      <c r="Y81" s="281"/>
      <c r="Z81" s="281" t="s">
        <v>852</v>
      </c>
      <c r="AA81" s="281">
        <v>22107201902507</v>
      </c>
      <c r="AB81" s="281" t="s">
        <v>890</v>
      </c>
      <c r="AC81" s="285">
        <v>44783</v>
      </c>
      <c r="AD81" s="281" t="s">
        <v>30</v>
      </c>
      <c r="AE81" s="281" t="s">
        <v>30</v>
      </c>
      <c r="AF81" s="281" t="s">
        <v>30</v>
      </c>
      <c r="AG81" s="281" t="s">
        <v>30</v>
      </c>
      <c r="AH81" s="281" t="s">
        <v>879</v>
      </c>
      <c r="AI81" s="281" t="s">
        <v>30</v>
      </c>
      <c r="AJ81" s="281" t="s">
        <v>30</v>
      </c>
      <c r="AK81" s="281" t="s">
        <v>30</v>
      </c>
      <c r="AM81" s="286">
        <v>43101</v>
      </c>
      <c r="AN81" s="287" t="str">
        <f ca="1">DATEDIF(AM81,TODAY(),"y")&amp;" tahun "&amp;DATEDIF(AM81,TODAY(),"ym")&amp;" bulan "</f>
        <v xml:space="preserve">8 tahun 0 bulan </v>
      </c>
      <c r="AO81" s="281" t="s">
        <v>868</v>
      </c>
      <c r="AP81" s="281" t="s">
        <v>880</v>
      </c>
      <c r="AQ81" s="281" t="s">
        <v>891</v>
      </c>
      <c r="AR81" s="281" t="s">
        <v>345</v>
      </c>
      <c r="AS81" s="281">
        <v>85234852155</v>
      </c>
      <c r="AT81" s="281" t="s">
        <v>346</v>
      </c>
      <c r="AU81" s="281" t="s">
        <v>30</v>
      </c>
      <c r="AV81" s="281"/>
      <c r="AW81" s="281" t="str">
        <f>VLOOKUP(B81,Sheet2!A7:I124,9,FALSE)</f>
        <v>Dr. Isa Hafidz, S.T., M.T.</v>
      </c>
      <c r="AX81" s="281" t="s">
        <v>861</v>
      </c>
      <c r="AY81" s="281" t="str">
        <f>VLOOKUP(B81,Sheet2!A7:C124,2,FALSE)</f>
        <v>Surabaya</v>
      </c>
      <c r="AZ81" s="288">
        <f>VLOOKUP(B81,Sheet2!A7:C124,3,FALSE)</f>
        <v>33752</v>
      </c>
      <c r="BA81" s="281">
        <f ca="1">DATEDIF(AZ81, TODAY(),"y")</f>
        <v>33</v>
      </c>
      <c r="BB81" s="281"/>
      <c r="BC81" s="281"/>
      <c r="BD81" s="281"/>
      <c r="BE81" s="281"/>
      <c r="BF81" s="289"/>
      <c r="BG81" s="289"/>
      <c r="BH81" s="289"/>
      <c r="BI81" s="289"/>
      <c r="BJ81" s="289"/>
      <c r="BK81" s="289"/>
      <c r="BL81" s="288" t="str">
        <f>VLOOKUP(B81,Sheet2!A7:D124,4,FALSE)</f>
        <v>Kaprodi</v>
      </c>
      <c r="BM81" s="281"/>
      <c r="BN81" s="281"/>
      <c r="BO81" s="281"/>
      <c r="BP81" s="281"/>
      <c r="BQ81" s="281"/>
      <c r="BR81" s="288" t="str">
        <f>VLOOKUP(B81,Sheet2!A7:E124,5,FALSE)</f>
        <v>Control, Elektronics, and Intelligent Systems (CEIS)</v>
      </c>
      <c r="BS81" s="288" t="str">
        <f>VLOOKUP(B81,Sheet2!A7:F124,6,FALSE)</f>
        <v>IHF</v>
      </c>
      <c r="BT81" s="288" t="str">
        <f>VLOOKUP(B81,Sheet2!A7:G124,7,FALSE)</f>
        <v>Fakultas Teknik Elektro</v>
      </c>
      <c r="BU81" s="288" t="str">
        <f>VLOOKUP(B81,Sheet2!A7:H124,8,FALSE)</f>
        <v>isahafidz@telkomuniversity.ac.id</v>
      </c>
      <c r="BV81" s="280">
        <f>COUNTIFS('Join TPA Dosen'!B:B,'Dosen sorted'!B31)</f>
        <v>1</v>
      </c>
      <c r="BW81" s="273" t="str">
        <f>DATEDIF(AM81,DATE(2026,1,1),"y")&amp;" tahun "&amp;DATEDIF(AM81,DATE(2026,1,1),"ym")&amp;" bulan "</f>
        <v xml:space="preserve">8 tahun 0 bulan </v>
      </c>
      <c r="BX81" s="280" t="str">
        <f>VLOOKUP($B81,Sheet1!$A:$G,2,FALSE)</f>
        <v>ITS</v>
      </c>
      <c r="BY81" s="280" t="str">
        <f>VLOOKUP($B81,Sheet1!$A:$G,3,FALSE)</f>
        <v>Teknik Elektro</v>
      </c>
      <c r="BZ81" s="280" t="str">
        <f>VLOOKUP($B81,Sheet1!$A:$G,4,FALSE)</f>
        <v>ITS</v>
      </c>
      <c r="CA81" s="280" t="str">
        <f>VLOOKUP($B81,Sheet1!$A:$G,5,FALSE)</f>
        <v>Teknik Elektro - Teknik Sistem Tenaga</v>
      </c>
      <c r="CB81" s="280" t="str">
        <f>VLOOKUP($B81,Sheet1!$A:$G,6,FALSE)</f>
        <v>ITS</v>
      </c>
      <c r="CC81" s="280" t="str">
        <f>VLOOKUP($B81,Sheet1!$A:$G,7,FALSE)</f>
        <v>Teknik Elektro</v>
      </c>
      <c r="CD81" s="280" t="s">
        <v>871</v>
      </c>
      <c r="CE81" s="280" t="s">
        <v>872</v>
      </c>
    </row>
    <row r="82" spans="1:83" ht="18.95" hidden="1">
      <c r="A82" s="281">
        <v>22</v>
      </c>
      <c r="B82" s="281" t="s">
        <v>347</v>
      </c>
      <c r="C82" s="281" t="s">
        <v>20</v>
      </c>
      <c r="D82" s="281" t="s">
        <v>330</v>
      </c>
      <c r="E82" s="281">
        <v>19920004</v>
      </c>
      <c r="F82" s="281" t="s">
        <v>1195</v>
      </c>
      <c r="G82" s="282" t="s">
        <v>348</v>
      </c>
      <c r="H82" s="281" t="s">
        <v>845</v>
      </c>
      <c r="I82" s="281" t="s">
        <v>30</v>
      </c>
      <c r="J82" s="281" t="s">
        <v>349</v>
      </c>
      <c r="K82" s="281" t="s">
        <v>893</v>
      </c>
      <c r="L82" s="281" t="s">
        <v>775</v>
      </c>
      <c r="M82" s="283" t="str">
        <f>IF(L82="NJAD","AA",IF(L82="AA","L",IF(L82="L","LK","GB")))</f>
        <v>LK</v>
      </c>
      <c r="N82" s="282" t="s">
        <v>511</v>
      </c>
      <c r="O82" s="281">
        <v>200</v>
      </c>
      <c r="P82" s="281" t="s">
        <v>1196</v>
      </c>
      <c r="Q82" s="284">
        <v>44805</v>
      </c>
      <c r="R82" s="281" t="str">
        <f ca="1">DATEDIF(Q82,TODAY(), "Y") &amp; " Tahun " &amp; DATEDIF(Q82, TODAY(), "YM") &amp; " Bulan"</f>
        <v>3 Tahun 4 Bulan</v>
      </c>
      <c r="S82" s="281" t="s">
        <v>876</v>
      </c>
      <c r="T82" s="285">
        <v>45658</v>
      </c>
      <c r="U82" s="281" t="str">
        <f ca="1">DATEDIF(T82,TODAY(), "Y") &amp; " Tahun " &amp; DATEDIF(T82, TODAY(), "YM") &amp; " Bulan"</f>
        <v>1 Tahun 0 Bulan</v>
      </c>
      <c r="V82" s="281" t="s">
        <v>928</v>
      </c>
      <c r="W82" s="281" t="s">
        <v>851</v>
      </c>
      <c r="X82" s="283" t="str">
        <f ca="1">IF(AND(OR(L82="AA",L82="L"),OR(S82="Penata Muda Tk. I Golongan III/b",S82="Penata Golongan III/c"),DATEDIF(Q82,TODAY(),"m")&gt;=23,ISBLANK(Z82),C82="Aktif"),"Nominasi Serdos","-")</f>
        <v>-</v>
      </c>
      <c r="Y82" s="281"/>
      <c r="Z82" s="281" t="s">
        <v>852</v>
      </c>
      <c r="AA82" s="290">
        <v>2.31072E+18</v>
      </c>
      <c r="AB82" s="281" t="s">
        <v>1197</v>
      </c>
      <c r="AC82" s="285">
        <v>45230</v>
      </c>
      <c r="AD82" s="281" t="s">
        <v>30</v>
      </c>
      <c r="AE82" s="281" t="s">
        <v>30</v>
      </c>
      <c r="AF82" s="281" t="s">
        <v>30</v>
      </c>
      <c r="AG82" s="281" t="s">
        <v>30</v>
      </c>
      <c r="AH82" s="281" t="s">
        <v>854</v>
      </c>
      <c r="AI82" s="281" t="s">
        <v>855</v>
      </c>
      <c r="AJ82" s="281" t="s">
        <v>856</v>
      </c>
      <c r="AK82" s="281" t="s">
        <v>855</v>
      </c>
      <c r="AL82" s="281" t="s">
        <v>857</v>
      </c>
      <c r="AM82" s="286">
        <v>43101</v>
      </c>
      <c r="AN82" s="287" t="str">
        <f ca="1">DATEDIF(AM82,TODAY(),"y")&amp;" tahun "&amp;DATEDIF(AM82,TODAY(),"ym")&amp;" bulan "</f>
        <v xml:space="preserve">8 tahun 0 bulan </v>
      </c>
      <c r="AO82" s="281" t="s">
        <v>868</v>
      </c>
      <c r="AP82" s="281" t="s">
        <v>880</v>
      </c>
      <c r="AQ82" s="281" t="s">
        <v>1198</v>
      </c>
      <c r="AR82" s="281" t="s">
        <v>350</v>
      </c>
      <c r="AS82" s="281">
        <v>82143903133</v>
      </c>
      <c r="AT82" s="281" t="s">
        <v>351</v>
      </c>
      <c r="AU82" s="281" t="s">
        <v>30</v>
      </c>
      <c r="AV82" s="281"/>
      <c r="AW82" s="281" t="str">
        <f>VLOOKUP(B82,Sheet2!A23:I140,9,FALSE)</f>
        <v>Lora Khaula Amifia, S.Pd., M.Eng.</v>
      </c>
      <c r="AX82" s="281" t="s">
        <v>902</v>
      </c>
      <c r="AY82" s="281" t="str">
        <f>VLOOKUP(B82,Sheet2!A23:C140,2,FALSE)</f>
        <v>Mojokerto</v>
      </c>
      <c r="AZ82" s="288">
        <f>VLOOKUP(B82,Sheet2!A23:C140,3,FALSE)</f>
        <v>33761</v>
      </c>
      <c r="BA82" s="281">
        <f ca="1">DATEDIF(AZ82, TODAY(),"y")</f>
        <v>33</v>
      </c>
      <c r="BB82" s="281"/>
      <c r="BC82" s="281"/>
      <c r="BD82" s="281"/>
      <c r="BE82" s="281"/>
      <c r="BF82" s="289"/>
      <c r="BG82" s="289"/>
      <c r="BH82" s="289"/>
      <c r="BI82" s="289"/>
      <c r="BJ82" s="289"/>
      <c r="BK82" s="289"/>
      <c r="BL82" s="288" t="str">
        <f>VLOOKUP(B82,Sheet2!A23:D140,4,FALSE)</f>
        <v>Dosen</v>
      </c>
      <c r="BM82" s="281"/>
      <c r="BN82" s="281"/>
      <c r="BO82" s="281"/>
      <c r="BP82" s="281"/>
      <c r="BQ82" s="281"/>
      <c r="BR82" s="288" t="str">
        <f>VLOOKUP(B82,Sheet2!A23:E140,5,FALSE)</f>
        <v>Sustainable Material, Instrumentation, Energy, and Computation (SMART)</v>
      </c>
      <c r="BS82" s="288" t="str">
        <f>VLOOKUP(B82,Sheet2!A23:F140,6,FALSE)</f>
        <v>KHL</v>
      </c>
      <c r="BT82" s="288" t="str">
        <f>VLOOKUP(B82,Sheet2!A23:G140,7,FALSE)</f>
        <v>Fakultas Teknik Elektro</v>
      </c>
      <c r="BU82" s="288" t="str">
        <f>VLOOKUP(B82,Sheet2!A23:H140,8,FALSE)</f>
        <v>loraamifia@telkomuniversity.ac.id</v>
      </c>
      <c r="BV82" s="280">
        <f>COUNTIFS('Join TPA Dosen'!B:B,'Dosen sorted'!B33)</f>
        <v>1</v>
      </c>
      <c r="BW82" s="273" t="str">
        <f>DATEDIF(AM82,DATE(2026,1,1),"y")&amp;" tahun "&amp;DATEDIF(AM82,DATE(2026,1,1),"ym")&amp;" bulan "</f>
        <v xml:space="preserve">8 tahun 0 bulan </v>
      </c>
      <c r="BX82" s="280" t="str">
        <f>VLOOKUP($B82,Sheet1!$A:$G,2,FALSE)</f>
        <v>UNM</v>
      </c>
      <c r="BY82" s="280" t="str">
        <f>VLOOKUP($B82,Sheet1!$A:$G,3,FALSE)</f>
        <v>Pendidikan Teknik Elektro</v>
      </c>
      <c r="BZ82" s="280" t="str">
        <f>VLOOKUP($B82,Sheet1!$A:$G,4,FALSE)</f>
        <v>UGM</v>
      </c>
      <c r="CA82" s="280" t="str">
        <f>VLOOKUP($B82,Sheet1!$A:$G,5,FALSE)</f>
        <v>Teknik Elektro</v>
      </c>
      <c r="CB82" s="280" t="str">
        <f>VLOOKUP($B82,Sheet1!$A:$G,6,FALSE)</f>
        <v>ITS</v>
      </c>
      <c r="CC82" s="280" t="str">
        <f>VLOOKUP($B82,Sheet1!$A:$G,7,FALSE)</f>
        <v>Teknik Elektro</v>
      </c>
      <c r="CD82" s="280" t="s">
        <v>871</v>
      </c>
      <c r="CE82" s="280" t="s">
        <v>872</v>
      </c>
    </row>
    <row r="83" spans="1:83" ht="19.5" hidden="1">
      <c r="A83" s="281">
        <v>3</v>
      </c>
      <c r="B83" s="281" t="s">
        <v>352</v>
      </c>
      <c r="C83" s="281" t="s">
        <v>20</v>
      </c>
      <c r="D83" s="281" t="s">
        <v>330</v>
      </c>
      <c r="E83" s="281">
        <v>19880005</v>
      </c>
      <c r="F83" s="281" t="s">
        <v>1179</v>
      </c>
      <c r="G83" s="282" t="s">
        <v>353</v>
      </c>
      <c r="H83" s="281" t="s">
        <v>845</v>
      </c>
      <c r="I83" s="281" t="s">
        <v>30</v>
      </c>
      <c r="J83" s="281" t="s">
        <v>354</v>
      </c>
      <c r="K83" s="281" t="s">
        <v>846</v>
      </c>
      <c r="L83" s="281" t="s">
        <v>847</v>
      </c>
      <c r="M83" s="283" t="str">
        <f>IF(L83="NJAD","AA",IF(L83="AA","L",IF(L83="L","LK","GB")))</f>
        <v>L</v>
      </c>
      <c r="N83" s="282" t="s">
        <v>511</v>
      </c>
      <c r="O83" s="281">
        <v>150</v>
      </c>
      <c r="P83" s="281" t="s">
        <v>1180</v>
      </c>
      <c r="Q83" s="284">
        <v>43971</v>
      </c>
      <c r="R83" s="281" t="str">
        <f ca="1">DATEDIF(Q83,TODAY(), "Y") &amp; " Tahun " &amp; DATEDIF(Q83, TODAY(), "YM") &amp; " Bulan"</f>
        <v>5 Tahun 7 Bulan</v>
      </c>
      <c r="S83" s="281" t="s">
        <v>849</v>
      </c>
      <c r="T83" s="285">
        <v>44044</v>
      </c>
      <c r="U83" s="281" t="str">
        <f ca="1">DATEDIF(T83,TODAY(), "Y") &amp; " Tahun " &amp; DATEDIF(T83, TODAY(), "YM") &amp; " Bulan"</f>
        <v>5 Tahun 5 Bulan</v>
      </c>
      <c r="V83" s="281" t="s">
        <v>928</v>
      </c>
      <c r="W83" s="281" t="s">
        <v>851</v>
      </c>
      <c r="X83" s="283" t="str">
        <f ca="1">IF(AND(OR(L83="AA",L83="L"),OR(S83="Penata Muda Tk. I Golongan III/b",S83="Penata Golongan III/c"),DATEDIF(Q83,TODAY(),"m")&gt;=23,ISBLANK(Z83),C83="Aktif"),"Nominasi Serdos","-")</f>
        <v>-</v>
      </c>
      <c r="Y83" s="281"/>
      <c r="Z83" s="281" t="s">
        <v>852</v>
      </c>
      <c r="AA83" s="281">
        <v>22107201902502</v>
      </c>
      <c r="AB83" s="281" t="s">
        <v>1181</v>
      </c>
      <c r="AC83" s="285">
        <v>44783</v>
      </c>
      <c r="AD83" s="281" t="s">
        <v>30</v>
      </c>
      <c r="AE83" s="281" t="s">
        <v>30</v>
      </c>
      <c r="AF83" s="281" t="s">
        <v>30</v>
      </c>
      <c r="AG83" s="281" t="s">
        <v>30</v>
      </c>
      <c r="AH83" s="281" t="s">
        <v>854</v>
      </c>
      <c r="AI83" s="281" t="s">
        <v>855</v>
      </c>
      <c r="AJ83" s="281" t="s">
        <v>856</v>
      </c>
      <c r="AK83" s="281" t="s">
        <v>855</v>
      </c>
      <c r="AL83" s="281" t="s">
        <v>857</v>
      </c>
      <c r="AM83" s="286">
        <v>43101</v>
      </c>
      <c r="AN83" s="287" t="str">
        <f ca="1">DATEDIF(AM83,TODAY(),"y")&amp;" tahun "&amp;DATEDIF(AM83,TODAY(),"ym")&amp;" bulan "</f>
        <v xml:space="preserve">8 tahun 0 bulan </v>
      </c>
      <c r="AO83" s="281" t="s">
        <v>868</v>
      </c>
      <c r="AP83" s="281" t="s">
        <v>880</v>
      </c>
      <c r="AQ83" s="281" t="s">
        <v>1182</v>
      </c>
      <c r="AR83" s="281" t="s">
        <v>355</v>
      </c>
      <c r="AS83" s="281">
        <v>81232573646</v>
      </c>
      <c r="AT83" s="281" t="s">
        <v>356</v>
      </c>
      <c r="AU83" s="281" t="s">
        <v>30</v>
      </c>
      <c r="AV83" s="281"/>
      <c r="AW83" s="281" t="str">
        <f>VLOOKUP(B83,Sheet2!A4:I121,9,FALSE)</f>
        <v>Moch. Iskandar Riansyah, S.ST., M.T.</v>
      </c>
      <c r="AX83" s="281" t="s">
        <v>861</v>
      </c>
      <c r="AY83" s="281" t="str">
        <f>VLOOKUP(B83,Sheet2!A4:C121,2,FALSE)</f>
        <v>Jember</v>
      </c>
      <c r="AZ83" s="288">
        <f>VLOOKUP(B83,Sheet2!A4:C121,3,FALSE)</f>
        <v>32315</v>
      </c>
      <c r="BA83" s="281">
        <f ca="1">DATEDIF(AZ83, TODAY(),"y")</f>
        <v>37</v>
      </c>
      <c r="BB83" s="281"/>
      <c r="BC83" s="281"/>
      <c r="BD83" s="281"/>
      <c r="BE83" s="281"/>
      <c r="BF83" s="289"/>
      <c r="BG83" s="289"/>
      <c r="BH83" s="289"/>
      <c r="BI83" s="304"/>
      <c r="BJ83" s="304"/>
      <c r="BK83" s="304"/>
      <c r="BL83" s="288" t="str">
        <f>VLOOKUP(B83,Sheet2!A4:D121,4,FALSE)</f>
        <v>Dosen</v>
      </c>
      <c r="BM83" s="281"/>
      <c r="BN83" s="281"/>
      <c r="BO83" s="281"/>
      <c r="BP83" s="281"/>
      <c r="BQ83" s="281"/>
      <c r="BR83" s="288" t="str">
        <f>VLOOKUP(B83,Sheet2!A4:E121,5,FALSE)</f>
        <v>Control, Elektronics, and Intelligent Systems (CEIS)</v>
      </c>
      <c r="BS83" s="288" t="str">
        <f>VLOOKUP(B83,Sheet2!A4:F121,6,FALSE)</f>
        <v>ISC</v>
      </c>
      <c r="BT83" s="288" t="str">
        <f>VLOOKUP(B83,Sheet2!A4:G121,7,FALSE)</f>
        <v>Fakultas Teknik Elektro</v>
      </c>
      <c r="BU83" s="288" t="str">
        <f>VLOOKUP(B83,Sheet2!A4:H121,8,FALSE)</f>
        <v>riansyah@telkomuniversity.ac.id</v>
      </c>
      <c r="BV83" s="280">
        <f>COUNTIFS('Join TPA Dosen'!B:B,'Dosen sorted'!B34)</f>
        <v>1</v>
      </c>
      <c r="BW83" s="273" t="str">
        <f>DATEDIF(AM83,DATE(2026,1,1),"y")&amp;" tahun "&amp;DATEDIF(AM83,DATE(2026,1,1),"ym")&amp;" bulan "</f>
        <v xml:space="preserve">8 tahun 0 bulan </v>
      </c>
      <c r="BX83" s="280" t="str">
        <f>VLOOKUP($B83,Sheet1!$A:$G,2,FALSE)</f>
        <v>PENS</v>
      </c>
      <c r="BY83" s="280" t="str">
        <f>VLOOKUP($B83,Sheet1!$A:$G,3,FALSE)</f>
        <v>Teknik Elektronika</v>
      </c>
      <c r="BZ83" s="280" t="str">
        <f>VLOOKUP($B83,Sheet1!$A:$G,4,FALSE)</f>
        <v>ITB</v>
      </c>
      <c r="CA83" s="280" t="str">
        <f>VLOOKUP($B83,Sheet1!$A:$G,5,FALSE)</f>
        <v>Teknik Elektro</v>
      </c>
      <c r="CB83" s="280" t="str">
        <f>VLOOKUP($B83,Sheet1!$A:$G,6,FALSE)</f>
        <v>ITS</v>
      </c>
      <c r="CC83" s="280" t="str">
        <f>VLOOKUP($B83,Sheet1!$A:$G,7,FALSE)</f>
        <v>Teknik Elektro</v>
      </c>
      <c r="CD83" s="280" t="s">
        <v>862</v>
      </c>
      <c r="CE83" s="280" t="s">
        <v>872</v>
      </c>
    </row>
    <row r="84" spans="1:83" ht="29.25" hidden="1">
      <c r="A84" s="281">
        <v>91</v>
      </c>
      <c r="B84" s="333" t="s">
        <v>357</v>
      </c>
      <c r="C84" s="281" t="s">
        <v>20</v>
      </c>
      <c r="D84" s="281" t="s">
        <v>330</v>
      </c>
      <c r="E84" s="281">
        <v>21950014</v>
      </c>
      <c r="F84" s="281" t="s">
        <v>1173</v>
      </c>
      <c r="G84" s="282" t="s">
        <v>358</v>
      </c>
      <c r="H84" s="291" t="s">
        <v>884</v>
      </c>
      <c r="I84" s="281" t="s">
        <v>30</v>
      </c>
      <c r="J84" s="281" t="s">
        <v>176</v>
      </c>
      <c r="K84" s="281" t="s">
        <v>917</v>
      </c>
      <c r="L84" s="281" t="s">
        <v>918</v>
      </c>
      <c r="M84" s="283" t="str">
        <f>IF(L84="NJAD","AA",IF(L84="AA","L",IF(L84="L","LK","GB")))</f>
        <v>AA</v>
      </c>
      <c r="N84" s="282" t="s">
        <v>511</v>
      </c>
      <c r="O84" s="281">
        <v>0</v>
      </c>
      <c r="P84" s="281" t="s">
        <v>30</v>
      </c>
      <c r="Q84" s="284">
        <v>44835</v>
      </c>
      <c r="R84" s="281" t="str">
        <f ca="1">DATEDIF(Q84,TODAY(), "Y") &amp; " Tahun " &amp; DATEDIF(Q84, TODAY(), "YM") &amp; " Bulan"</f>
        <v>3 Tahun 3 Bulan</v>
      </c>
      <c r="S84" s="282" t="s">
        <v>511</v>
      </c>
      <c r="T84" s="282" t="s">
        <v>511</v>
      </c>
      <c r="U84" s="281" t="e">
        <f ca="1">DATEDIF(T84,TODAY(), "Y") &amp; " Tahun " &amp; DATEDIF(T84, TODAY(), "YM") &amp; " Bulan"</f>
        <v>#VALUE!</v>
      </c>
      <c r="V84" s="281" t="s">
        <v>928</v>
      </c>
      <c r="W84" s="281" t="s">
        <v>851</v>
      </c>
      <c r="X84" s="283" t="str">
        <f ca="1">IF(AND(OR(L84="AA",L84="L"),OR(S84="Penata Muda Tk. I Golongan III/b",S84="Penata Golongan III/c"),DATEDIF(Q84,TODAY(),"m")&gt;=23,ISBLANK(Z84),C84="Aktif"),"Nominasi Serdos","-")</f>
        <v>-</v>
      </c>
      <c r="Y84" s="281"/>
      <c r="Z84" s="282"/>
      <c r="AA84" s="295"/>
      <c r="AB84" s="281" t="s">
        <v>30</v>
      </c>
      <c r="AC84" s="282" t="s">
        <v>511</v>
      </c>
      <c r="AD84" s="281" t="s">
        <v>30</v>
      </c>
      <c r="AE84" s="281" t="s">
        <v>30</v>
      </c>
      <c r="AF84" s="281" t="s">
        <v>30</v>
      </c>
      <c r="AG84" s="281" t="s">
        <v>30</v>
      </c>
      <c r="AH84" s="281" t="s">
        <v>854</v>
      </c>
      <c r="AI84" s="281" t="s">
        <v>30</v>
      </c>
      <c r="AJ84" s="281" t="s">
        <v>30</v>
      </c>
      <c r="AK84" s="281" t="s">
        <v>30</v>
      </c>
      <c r="AM84" s="286">
        <v>44832</v>
      </c>
      <c r="AN84" s="287" t="str">
        <f ca="1">DATEDIF(AM84,TODAY(),"y")&amp;" tahun "&amp;DATEDIF(AM84,TODAY(),"ym")&amp;" bulan "</f>
        <v xml:space="preserve">3 tahun 3 bulan </v>
      </c>
      <c r="AO84" s="281" t="s">
        <v>868</v>
      </c>
      <c r="AP84" s="281" t="s">
        <v>880</v>
      </c>
      <c r="AQ84" s="281" t="s">
        <v>1174</v>
      </c>
      <c r="AR84" s="281" t="s">
        <v>359</v>
      </c>
      <c r="AS84" s="281">
        <v>81234464242</v>
      </c>
      <c r="AT84" s="281" t="s">
        <v>360</v>
      </c>
      <c r="AU84" s="281" t="s">
        <v>30</v>
      </c>
      <c r="AV84" s="281"/>
      <c r="AW84" s="281" t="str">
        <f>VLOOKUP(B84,Sheet2!A92:I209,9,FALSE)</f>
        <v>Rifki Dwi Putranto, S.T., M.T.</v>
      </c>
      <c r="AX84" s="281" t="s">
        <v>861</v>
      </c>
      <c r="AY84" s="281" t="str">
        <f>VLOOKUP(B84,Sheet2!A92:C209,2,FALSE)</f>
        <v>Surakarta</v>
      </c>
      <c r="AZ84" s="288">
        <f>VLOOKUP(B84,Sheet2!A92:C209,3,FALSE)</f>
        <v>34877</v>
      </c>
      <c r="BA84" s="281">
        <f ca="1">DATEDIF(AZ84, TODAY(),"y")</f>
        <v>30</v>
      </c>
      <c r="BB84" s="281"/>
      <c r="BC84" s="281"/>
      <c r="BD84" s="281"/>
      <c r="BE84" s="281"/>
      <c r="BF84" s="289"/>
      <c r="BG84" s="289"/>
      <c r="BH84" s="289"/>
      <c r="BI84" s="289"/>
      <c r="BJ84" s="289"/>
      <c r="BK84" s="289"/>
      <c r="BL84" s="288" t="str">
        <f>VLOOKUP(B84,Sheet2!A92:D209,4,FALSE)</f>
        <v>Dosen</v>
      </c>
      <c r="BM84" s="281"/>
      <c r="BN84" s="281"/>
      <c r="BO84" s="281"/>
      <c r="BP84" s="281"/>
      <c r="BQ84" s="281"/>
      <c r="BR84" s="288" t="str">
        <f>VLOOKUP(B84,Sheet2!A92:E209,5,FALSE)</f>
        <v>Sustainable Material, Instrumentation, Energy, and Computation (SMART)</v>
      </c>
      <c r="BS84" s="288" t="str">
        <f>VLOOKUP(B84,Sheet2!A92:F209,6,FALSE)</f>
        <v>RIX</v>
      </c>
      <c r="BT84" s="288" t="str">
        <f>VLOOKUP(B84,Sheet2!A92:G209,7,FALSE)</f>
        <v>Fakultas Teknik Elektro</v>
      </c>
      <c r="BU84" s="288" t="str">
        <f>VLOOKUP(B84,Sheet2!A92:H209,8,FALSE)</f>
        <v>rifkidwi@telkomuniversity.ac.id</v>
      </c>
      <c r="BV84" s="280">
        <f>COUNTIFS('Join TPA Dosen'!B:B,'Dosen sorted'!B92)</f>
        <v>1</v>
      </c>
      <c r="BW84" s="273" t="str">
        <f>DATEDIF(AM84,DATE(2026,1,1),"y")&amp;" tahun "&amp;DATEDIF(AM84,DATE(2026,1,1),"ym")&amp;" bulan "</f>
        <v xml:space="preserve">3 tahun 3 bulan </v>
      </c>
      <c r="BX84" s="280" t="str">
        <f>VLOOKUP($B84,Sheet1!$A:$G,2,FALSE)</f>
        <v>UNS</v>
      </c>
      <c r="BY84" s="280" t="str">
        <f>VLOOKUP($B84,Sheet1!$A:$G,3,FALSE)</f>
        <v>Teknik Mesin</v>
      </c>
      <c r="BZ84" s="280" t="str">
        <f>VLOOKUP($B84,Sheet1!$A:$G,4,FALSE)</f>
        <v>ITS</v>
      </c>
      <c r="CA84" s="280" t="str">
        <f>VLOOKUP($B84,Sheet1!$A:$G,5,FALSE)</f>
        <v>Teknik Mesin</v>
      </c>
      <c r="CB84" s="280" t="str">
        <f>VLOOKUP($B84,Sheet1!$A:$G,6,FALSE)</f>
        <v>-</v>
      </c>
      <c r="CC84" s="280">
        <f>VLOOKUP($B84,Sheet1!$A:$G,7,FALSE)</f>
        <v>0</v>
      </c>
      <c r="CD84" s="273" t="s">
        <v>871</v>
      </c>
      <c r="CE84" s="280" t="s">
        <v>872</v>
      </c>
    </row>
    <row r="85" spans="1:83" ht="18.95" hidden="1">
      <c r="A85" s="331">
        <v>111</v>
      </c>
      <c r="B85" s="281" t="s">
        <v>366</v>
      </c>
      <c r="C85" s="332" t="s">
        <v>46</v>
      </c>
      <c r="D85" s="281" t="s">
        <v>330</v>
      </c>
      <c r="E85" s="281">
        <v>19700004</v>
      </c>
      <c r="F85" s="291" t="s">
        <v>1205</v>
      </c>
      <c r="G85" s="291"/>
      <c r="H85" s="281" t="s">
        <v>989</v>
      </c>
      <c r="I85" s="281" t="s">
        <v>367</v>
      </c>
      <c r="J85" s="281" t="s">
        <v>176</v>
      </c>
      <c r="K85" s="281" t="s">
        <v>1206</v>
      </c>
      <c r="L85" s="281" t="s">
        <v>1207</v>
      </c>
      <c r="M85" s="283" t="str">
        <f>IF(L85="NJAD","AA",IF(L85="AA","L",IF(L85="L","LK","GB")))</f>
        <v>GB</v>
      </c>
      <c r="N85" s="282" t="s">
        <v>511</v>
      </c>
      <c r="O85" s="281">
        <v>850</v>
      </c>
      <c r="P85" s="281" t="s">
        <v>1208</v>
      </c>
      <c r="Q85" s="284">
        <v>45078</v>
      </c>
      <c r="R85" s="281" t="str">
        <f ca="1">DATEDIF(Q85,TODAY(), "Y") &amp; " Tahun " &amp; DATEDIF(Q85, TODAY(), "YM") &amp; " Bulan"</f>
        <v>2 Tahun 7 Bulan</v>
      </c>
      <c r="S85" s="281" t="s">
        <v>1209</v>
      </c>
      <c r="T85" s="282" t="s">
        <v>511</v>
      </c>
      <c r="U85" s="281" t="e">
        <f ca="1">DATEDIF(T85,TODAY(), "Y") &amp; " Tahun " &amp; DATEDIF(T85, TODAY(), "YM") &amp; " Bulan"</f>
        <v>#VALUE!</v>
      </c>
      <c r="V85" s="281" t="s">
        <v>1210</v>
      </c>
      <c r="W85" s="281" t="s">
        <v>851</v>
      </c>
      <c r="X85" s="283" t="str">
        <f ca="1">IF(AND(OR(L85="AA",L85="L"),OR(S85="Penata Muda Tk. I Golongan III/b",S85="Penata Golongan III/c"),DATEDIF(Q85,TODAY(),"m")&gt;=23,ISBLANK(Z85),C85="Aktif"),"Nominasi Serdos","-")</f>
        <v>-</v>
      </c>
      <c r="Y85" s="281"/>
      <c r="Z85" s="281" t="s">
        <v>852</v>
      </c>
      <c r="AA85" s="281">
        <v>91105014510132</v>
      </c>
      <c r="AB85" s="281">
        <v>104909150</v>
      </c>
      <c r="AC85" s="285">
        <v>40035</v>
      </c>
      <c r="AD85" s="281" t="s">
        <v>30</v>
      </c>
      <c r="AE85" s="281" t="s">
        <v>30</v>
      </c>
      <c r="AF85" s="281" t="s">
        <v>30</v>
      </c>
      <c r="AG85" s="281" t="s">
        <v>30</v>
      </c>
      <c r="AH85" s="281" t="s">
        <v>879</v>
      </c>
      <c r="AI85" s="281" t="s">
        <v>30</v>
      </c>
      <c r="AJ85" s="281" t="s">
        <v>30</v>
      </c>
      <c r="AK85" s="281" t="s">
        <v>30</v>
      </c>
      <c r="AM85" s="286">
        <v>43770</v>
      </c>
      <c r="AN85" s="287" t="str">
        <f ca="1">DATEDIF(AM85,TODAY(),"y")&amp;" tahun "&amp;DATEDIF(AM85,TODAY(),"ym")&amp;" bulan "</f>
        <v xml:space="preserve">6 tahun 2 bulan </v>
      </c>
      <c r="AO85" s="281" t="s">
        <v>868</v>
      </c>
      <c r="AP85" s="281" t="s">
        <v>880</v>
      </c>
      <c r="AQ85" s="281" t="s">
        <v>30</v>
      </c>
      <c r="AR85" s="281" t="s">
        <v>368</v>
      </c>
      <c r="AS85" s="281" t="s">
        <v>30</v>
      </c>
      <c r="AT85" s="281" t="s">
        <v>30</v>
      </c>
      <c r="AU85" s="295" t="s">
        <v>30</v>
      </c>
      <c r="AV85" s="281"/>
      <c r="AW85" s="281" t="str">
        <f>VLOOKUP(B85,Sheet2!A112:I229,9,FALSE)</f>
        <v>Prof. Dr. Tri Arief Sardjono, S.T., M.T.</v>
      </c>
      <c r="AX85" s="281" t="s">
        <v>861</v>
      </c>
      <c r="AY85" s="281" t="str">
        <f>VLOOKUP(B85,Sheet2!A112:C229,2,FALSE)</f>
        <v>Surabaya</v>
      </c>
      <c r="AZ85" s="288">
        <f>VLOOKUP(B85,Sheet2!A112:C229,3,FALSE)</f>
        <v>25611</v>
      </c>
      <c r="BA85" s="281">
        <f ca="1">DATEDIF(AZ85, TODAY(),"y")</f>
        <v>55</v>
      </c>
      <c r="BB85" s="281"/>
      <c r="BC85" s="281"/>
      <c r="BD85" s="281"/>
      <c r="BE85" s="281"/>
      <c r="BF85" s="289"/>
      <c r="BG85" s="289"/>
      <c r="BH85" s="289"/>
      <c r="BI85" s="289"/>
      <c r="BJ85" s="289"/>
      <c r="BK85" s="289"/>
      <c r="BL85" s="288"/>
      <c r="BM85" s="281"/>
      <c r="BN85" s="281"/>
      <c r="BO85" s="281"/>
      <c r="BP85" s="281"/>
      <c r="BQ85" s="281"/>
      <c r="BR85" s="288" t="str">
        <f>VLOOKUP(B85,Sheet2!A112:E229,5,FALSE)</f>
        <v>Intelligent Communications and Networks (ICON)</v>
      </c>
      <c r="BS85" s="288" t="str">
        <f>VLOOKUP(B85,Sheet2!A112:F229,6,FALSE)</f>
        <v>TAF</v>
      </c>
      <c r="BT85" s="288" t="str">
        <f>VLOOKUP(B85,Sheet2!A112:G229,7,FALSE)</f>
        <v>Fakultas Teknik Elektro</v>
      </c>
      <c r="BU85" s="288" t="str">
        <f>VLOOKUP(B85,Sheet2!A112:H229,8,FALSE)</f>
        <v>sardjonotriarief@telkomuniversity.ac.id</v>
      </c>
      <c r="BV85" s="280">
        <f>COUNTIFS('Join TPA Dosen'!B:B,'Dosen sorted'!B112)</f>
        <v>1</v>
      </c>
      <c r="BW85" s="273" t="str">
        <f>DATEDIF(AM85,DATE(2026,1,1),"y")&amp;" tahun "&amp;DATEDIF(AM85,DATE(2026,1,1),"ym")&amp;" bulan "</f>
        <v xml:space="preserve">6 tahun 2 bulan </v>
      </c>
      <c r="BX85" s="280" t="str">
        <f>VLOOKUP($B85,Sheet1!$A:$G,2,FALSE)</f>
        <v>ITS</v>
      </c>
      <c r="BY85" s="280" t="str">
        <f>VLOOKUP($B85,Sheet1!$A:$G,3,FALSE)</f>
        <v>Teknik Elektro</v>
      </c>
      <c r="BZ85" s="280" t="str">
        <f>VLOOKUP($B85,Sheet1!$A:$G,4,FALSE)</f>
        <v>ITB</v>
      </c>
      <c r="CA85" s="280" t="str">
        <f>VLOOKUP($B85,Sheet1!$A:$G,5,FALSE)</f>
        <v>Teknik Elektro</v>
      </c>
      <c r="CB85" s="280" t="str">
        <f>VLOOKUP($B85,Sheet1!$A:$G,6,FALSE)</f>
        <v>University of Groningen</v>
      </c>
      <c r="CC85" s="280" t="str">
        <f>VLOOKUP($B85,Sheet1!$A:$G,7,FALSE)</f>
        <v>Medical Imaging</v>
      </c>
      <c r="CD85" s="280" t="e">
        <v>#N/A</v>
      </c>
      <c r="CE85" s="280" t="e">
        <v>#N/A</v>
      </c>
    </row>
    <row r="86" spans="1:83" ht="19.5" hidden="1">
      <c r="A86" s="281">
        <v>99</v>
      </c>
      <c r="B86" s="334" t="s">
        <v>398</v>
      </c>
      <c r="C86" s="281" t="s">
        <v>20</v>
      </c>
      <c r="D86" s="281" t="s">
        <v>370</v>
      </c>
      <c r="E86" s="281">
        <v>23970026</v>
      </c>
      <c r="F86" s="291" t="s">
        <v>1234</v>
      </c>
      <c r="G86" s="296" t="s">
        <v>399</v>
      </c>
      <c r="H86" s="291" t="s">
        <v>884</v>
      </c>
      <c r="I86" s="295" t="s">
        <v>30</v>
      </c>
      <c r="J86" s="281" t="s">
        <v>176</v>
      </c>
      <c r="K86" s="281" t="s">
        <v>846</v>
      </c>
      <c r="L86" s="281" t="s">
        <v>847</v>
      </c>
      <c r="M86" s="283" t="str">
        <f>IF(L86="NJAD","AA",IF(L86="AA","L",IF(L86="L","LK","GB")))</f>
        <v>L</v>
      </c>
      <c r="N86" s="282" t="s">
        <v>511</v>
      </c>
      <c r="O86" s="281">
        <v>150</v>
      </c>
      <c r="P86" s="281" t="s">
        <v>1235</v>
      </c>
      <c r="Q86" s="284">
        <v>45962</v>
      </c>
      <c r="R86" s="281" t="str">
        <f ca="1">DATEDIF(Q86,TODAY(), "Y") &amp; " Tahun " &amp; DATEDIF(Q86, TODAY(), "YM") &amp; " Bulan"</f>
        <v>0 Tahun 2 Bulan</v>
      </c>
      <c r="S86" s="282" t="s">
        <v>511</v>
      </c>
      <c r="T86" s="282" t="s">
        <v>511</v>
      </c>
      <c r="U86" s="281" t="e">
        <f ca="1">DATEDIF(T86,TODAY(), "Y") &amp; " Tahun " &amp; DATEDIF(T86, TODAY(), "YM") &amp; " Bulan"</f>
        <v>#VALUE!</v>
      </c>
      <c r="V86" s="281" t="s">
        <v>966</v>
      </c>
      <c r="W86" s="281" t="s">
        <v>851</v>
      </c>
      <c r="X86" s="283" t="str">
        <f ca="1">IF(AND(OR(L86="AA",L86="L"),OR(S86="Penata Muda Tk. I Golongan III/b",S86="Penata Golongan III/c"),DATEDIF(Q86,TODAY(),"m")&gt;=23,ISBLANK(Z86),C86="Aktif"),"Nominasi Serdos","-")</f>
        <v>-</v>
      </c>
      <c r="Y86" s="281"/>
      <c r="Z86" s="297"/>
      <c r="AA86" s="297"/>
      <c r="AB86" s="295" t="s">
        <v>30</v>
      </c>
      <c r="AC86" s="297" t="s">
        <v>511</v>
      </c>
      <c r="AD86" s="281" t="s">
        <v>30</v>
      </c>
      <c r="AE86" s="281" t="s">
        <v>30</v>
      </c>
      <c r="AF86" s="281" t="s">
        <v>30</v>
      </c>
      <c r="AG86" s="281" t="s">
        <v>30</v>
      </c>
      <c r="AH86" s="281" t="s">
        <v>854</v>
      </c>
      <c r="AI86" s="295" t="s">
        <v>30</v>
      </c>
      <c r="AJ86" s="295" t="s">
        <v>30</v>
      </c>
      <c r="AK86" s="295" t="s">
        <v>30</v>
      </c>
      <c r="AM86" s="286">
        <v>45170</v>
      </c>
      <c r="AN86" s="287" t="str">
        <f ca="1">DATEDIF(AM86,TODAY(),"y")&amp;" tahun "&amp;DATEDIF(AM86,TODAY(),"ym")&amp;" bulan "</f>
        <v xml:space="preserve">2 tahun 4 bulan </v>
      </c>
      <c r="AO86" s="281" t="s">
        <v>868</v>
      </c>
      <c r="AP86" s="281" t="s">
        <v>968</v>
      </c>
      <c r="AQ86" s="281" t="s">
        <v>1236</v>
      </c>
      <c r="AR86" s="281" t="s">
        <v>400</v>
      </c>
      <c r="AS86" s="281">
        <v>82228377835</v>
      </c>
      <c r="AT86" s="281" t="s">
        <v>401</v>
      </c>
      <c r="AU86" s="281" t="s">
        <v>30</v>
      </c>
      <c r="AV86" s="281"/>
      <c r="AW86" s="281" t="str">
        <f>VLOOKUP(B86,Sheet2!A100:I217,9,FALSE)</f>
        <v>Aufar Fikri Dimyati, S.T., M.T.</v>
      </c>
      <c r="AX86" s="281" t="s">
        <v>861</v>
      </c>
      <c r="AY86" s="281" t="str">
        <f>VLOOKUP(B86,Sheet2!A100:C217,2,FALSE)</f>
        <v>Banyuwangi</v>
      </c>
      <c r="AZ86" s="288">
        <f>VLOOKUP(B86,Sheet2!A100:C217,3,FALSE)</f>
        <v>35691</v>
      </c>
      <c r="BA86" s="281">
        <f ca="1">DATEDIF(AZ86, TODAY(),"y")</f>
        <v>28</v>
      </c>
      <c r="BB86" s="281"/>
      <c r="BC86" s="281"/>
      <c r="BD86" s="281"/>
      <c r="BE86" s="295"/>
      <c r="BF86" s="289"/>
      <c r="BG86" s="289"/>
      <c r="BH86" s="289"/>
      <c r="BI86" s="289"/>
      <c r="BJ86" s="289"/>
      <c r="BK86" s="289"/>
      <c r="BL86" s="288" t="str">
        <f>VLOOKUP(B86,Sheet2!A100:D217,4,FALSE)</f>
        <v>Dosen</v>
      </c>
      <c r="BM86" s="281"/>
      <c r="BN86" s="281"/>
      <c r="BO86" s="281"/>
      <c r="BP86" s="281"/>
      <c r="BQ86" s="281"/>
      <c r="BR86" s="288" t="str">
        <f>VLOOKUP(B86,Sheet2!A100:E217,5,FALSE)</f>
        <v>Production and Manufacturing System</v>
      </c>
      <c r="BS86" s="288" t="str">
        <f>VLOOKUP(B86,Sheet2!A100:F217,6,FALSE)</f>
        <v>AUX</v>
      </c>
      <c r="BT86" s="288" t="str">
        <f>VLOOKUP(B86,Sheet2!A100:G217,7,FALSE)</f>
        <v>Fakultas Rekayasa Industri</v>
      </c>
      <c r="BU86" s="288" t="str">
        <f>VLOOKUP(B86,Sheet2!A100:H217,8,FALSE)</f>
        <v>aufarfd@telkomuniversity.ac.id</v>
      </c>
      <c r="BV86" s="280">
        <f>COUNTIFS('Join TPA Dosen'!B:B,'Dosen sorted'!B100)</f>
        <v>1</v>
      </c>
      <c r="BW86" s="273" t="str">
        <f>DATEDIF(AM86,DATE(2026,1,1),"y")&amp;" tahun "&amp;DATEDIF(AM86,DATE(2026,1,1),"ym")&amp;" bulan "</f>
        <v xml:space="preserve">2 tahun 4 bulan </v>
      </c>
      <c r="BX86" s="280" t="str">
        <f>VLOOKUP($B86,Sheet1!$A:$G,2,FALSE)</f>
        <v>ITS</v>
      </c>
      <c r="BY86" s="280" t="str">
        <f>VLOOKUP($B86,Sheet1!$A:$G,3,FALSE)</f>
        <v>Teknik Industri</v>
      </c>
      <c r="BZ86" s="280" t="str">
        <f>VLOOKUP($B86,Sheet1!$A:$G,4,FALSE)</f>
        <v>ITS</v>
      </c>
      <c r="CA86" s="280" t="str">
        <f>VLOOKUP($B86,Sheet1!$A:$G,5,FALSE)</f>
        <v>Teknik Industri</v>
      </c>
      <c r="CB86" s="280">
        <f>VLOOKUP($B86,Sheet1!$A:$G,6,FALSE)</f>
        <v>0</v>
      </c>
      <c r="CC86" s="280">
        <f>VLOOKUP($B86,Sheet1!$A:$G,7,FALSE)</f>
        <v>0</v>
      </c>
      <c r="CD86" s="280" t="s">
        <v>871</v>
      </c>
      <c r="CE86" s="280" t="s">
        <v>863</v>
      </c>
    </row>
    <row r="87" spans="1:83" ht="19.5" hidden="1">
      <c r="A87" s="281">
        <v>44</v>
      </c>
      <c r="B87" s="281" t="s">
        <v>369</v>
      </c>
      <c r="C87" s="281" t="s">
        <v>20</v>
      </c>
      <c r="D87" s="281" t="s">
        <v>370</v>
      </c>
      <c r="E87" s="281">
        <v>23880010</v>
      </c>
      <c r="F87" s="281" t="s">
        <v>1001</v>
      </c>
      <c r="G87" s="282" t="s">
        <v>371</v>
      </c>
      <c r="H87" s="281" t="s">
        <v>845</v>
      </c>
      <c r="I87" s="281" t="s">
        <v>30</v>
      </c>
      <c r="J87" s="281" t="s">
        <v>176</v>
      </c>
      <c r="K87" s="281" t="s">
        <v>893</v>
      </c>
      <c r="L87" s="281" t="s">
        <v>775</v>
      </c>
      <c r="M87" s="283" t="str">
        <f>IF(L87="NJAD","AA",IF(L87="AA","L",IF(L87="L","LK","GB")))</f>
        <v>LK</v>
      </c>
      <c r="N87" s="282" t="s">
        <v>511</v>
      </c>
      <c r="O87" s="281">
        <v>300</v>
      </c>
      <c r="P87" s="281" t="s">
        <v>1002</v>
      </c>
      <c r="Q87" s="284">
        <v>45108</v>
      </c>
      <c r="R87" s="281" t="str">
        <f ca="1">DATEDIF(Q87,TODAY(), "Y") &amp; " Tahun " &amp; DATEDIF(Q87, TODAY(), "YM") &amp; " Bulan"</f>
        <v>2 Tahun 6 Bulan</v>
      </c>
      <c r="S87" s="281" t="s">
        <v>876</v>
      </c>
      <c r="T87" s="285">
        <v>45658</v>
      </c>
      <c r="U87" s="281" t="str">
        <f ca="1">DATEDIF(T87,TODAY(), "Y") &amp; " Tahun " &amp; DATEDIF(T87, TODAY(), "YM") &amp; " Bulan"</f>
        <v>1 Tahun 0 Bulan</v>
      </c>
      <c r="V87" s="281" t="s">
        <v>1003</v>
      </c>
      <c r="W87" s="281" t="s">
        <v>851</v>
      </c>
      <c r="X87" s="283" t="str">
        <f ca="1">IF(AND(OR(L87="AA",L87="L"),OR(S87="Penata Muda Tk. I Golongan III/b",S87="Penata Golongan III/c"),DATEDIF(Q87,TODAY(),"m")&gt;=23,ISBLANK(Z87),C87="Aktif"),"Nominasi Serdos","-")</f>
        <v>-</v>
      </c>
      <c r="Y87" s="281"/>
      <c r="Z87" s="281" t="s">
        <v>852</v>
      </c>
      <c r="AA87" s="281">
        <v>18104103408060</v>
      </c>
      <c r="AB87" s="290">
        <v>1800100000000000</v>
      </c>
      <c r="AC87" s="285">
        <v>43283</v>
      </c>
      <c r="AD87" s="281" t="s">
        <v>30</v>
      </c>
      <c r="AE87" s="281" t="s">
        <v>30</v>
      </c>
      <c r="AF87" s="281" t="s">
        <v>30</v>
      </c>
      <c r="AG87" s="281" t="s">
        <v>30</v>
      </c>
      <c r="AH87" s="281" t="s">
        <v>854</v>
      </c>
      <c r="AI87" s="281" t="s">
        <v>30</v>
      </c>
      <c r="AJ87" s="281" t="s">
        <v>30</v>
      </c>
      <c r="AK87" s="281" t="s">
        <v>30</v>
      </c>
      <c r="AM87" s="286">
        <v>44013</v>
      </c>
      <c r="AN87" s="287" t="str">
        <f ca="1">DATEDIF(AM87,TODAY(),"y")&amp;" tahun "&amp;DATEDIF(AM87,TODAY(),"ym")&amp;" bulan "</f>
        <v xml:space="preserve">5 tahun 6 bulan </v>
      </c>
      <c r="AO87" s="281" t="s">
        <v>868</v>
      </c>
      <c r="AP87" s="281" t="s">
        <v>968</v>
      </c>
      <c r="AQ87" s="281" t="s">
        <v>1004</v>
      </c>
      <c r="AR87" s="281" t="s">
        <v>372</v>
      </c>
      <c r="AS87" s="281">
        <v>81395224118</v>
      </c>
      <c r="AT87" s="281" t="s">
        <v>373</v>
      </c>
      <c r="AU87" s="281" t="s">
        <v>30</v>
      </c>
      <c r="AV87" s="281"/>
      <c r="AW87" s="281" t="str">
        <f>VLOOKUP(B87,Sheet2!A45:I162,9,FALSE)</f>
        <v>Ayu Endah Wahyuni, S.T., M.T.</v>
      </c>
      <c r="AX87" s="281" t="s">
        <v>902</v>
      </c>
      <c r="AY87" s="281" t="str">
        <f>VLOOKUP(B87,Sheet2!A45:C162,2,FALSE)</f>
        <v>Denpasar</v>
      </c>
      <c r="AZ87" s="288">
        <f>VLOOKUP(B87,Sheet2!A45:C162,3,FALSE)</f>
        <v>32325</v>
      </c>
      <c r="BA87" s="281">
        <f ca="1">DATEDIF(AZ87, TODAY(),"y")</f>
        <v>37</v>
      </c>
      <c r="BB87" s="281"/>
      <c r="BC87" s="281"/>
      <c r="BD87" s="281"/>
      <c r="BE87" s="281"/>
      <c r="BF87" s="289"/>
      <c r="BG87" s="289"/>
      <c r="BH87" s="289"/>
      <c r="BI87" s="289"/>
      <c r="BJ87" s="289"/>
      <c r="BK87" s="289"/>
      <c r="BL87" s="288" t="str">
        <f>VLOOKUP(B87,Sheet2!A45:D162,4,FALSE)</f>
        <v>Kaprodi</v>
      </c>
      <c r="BM87" s="281"/>
      <c r="BN87" s="281"/>
      <c r="BO87" s="281"/>
      <c r="BP87" s="281"/>
      <c r="BQ87" s="281"/>
      <c r="BR87" s="288" t="str">
        <f>VLOOKUP(B87,Sheet2!A45:E162,5,FALSE)</f>
        <v>Engineering Management System</v>
      </c>
      <c r="BS87" s="288" t="str">
        <f>VLOOKUP(B87,Sheet2!A45:F162,6,FALSE)</f>
        <v>AYV</v>
      </c>
      <c r="BT87" s="288" t="str">
        <f>VLOOKUP(B87,Sheet2!A45:G162,7,FALSE)</f>
        <v>Fakultas Rekayasa Industri</v>
      </c>
      <c r="BU87" s="288" t="str">
        <f>VLOOKUP(B87,Sheet2!A45:H162,8,FALSE)</f>
        <v>ayuendah@telkomuniversity.ac.id</v>
      </c>
      <c r="BV87" s="280">
        <f>COUNTIFS('Join TPA Dosen'!B:B,'Dosen sorted'!B6)</f>
        <v>1</v>
      </c>
      <c r="BW87" s="273" t="str">
        <f>DATEDIF(AM87,DATE(2026,1,1),"y")&amp;" tahun "&amp;DATEDIF(AM87,DATE(2026,1,1),"ym")&amp;" bulan "</f>
        <v xml:space="preserve">5 tahun 6 bulan </v>
      </c>
      <c r="BX87" s="280" t="str">
        <f>VLOOKUP($B87,Sheet1!$A:$G,2,FALSE)</f>
        <v>Tel-U</v>
      </c>
      <c r="BY87" s="280" t="str">
        <f>VLOOKUP($B87,Sheet1!$A:$G,3,FALSE)</f>
        <v>Teknik Industri</v>
      </c>
      <c r="BZ87" s="280" t="str">
        <f>VLOOKUP($B87,Sheet1!$A:$G,4,FALSE)</f>
        <v>ITB</v>
      </c>
      <c r="CA87" s="280" t="str">
        <f>VLOOKUP($B87,Sheet1!$A:$G,5,FALSE)</f>
        <v>Teknik dan Manajemen Industri</v>
      </c>
      <c r="CB87" s="280" t="str">
        <f>VLOOKUP($B87,Sheet1!$A:$G,6,FALSE)</f>
        <v>-</v>
      </c>
      <c r="CC87" s="280">
        <f>VLOOKUP($B87,Sheet1!$A:$G,7,FALSE)</f>
        <v>0</v>
      </c>
      <c r="CD87" s="280" t="s">
        <v>871</v>
      </c>
      <c r="CE87" s="280" t="s">
        <v>863</v>
      </c>
    </row>
    <row r="88" spans="1:83" ht="19.5" hidden="1">
      <c r="A88" s="281">
        <v>113</v>
      </c>
      <c r="B88" s="281" t="s">
        <v>406</v>
      </c>
      <c r="C88" s="281" t="s">
        <v>46</v>
      </c>
      <c r="D88" s="281" t="s">
        <v>370</v>
      </c>
      <c r="E88" s="281">
        <v>20690002</v>
      </c>
      <c r="F88" s="291" t="s">
        <v>1247</v>
      </c>
      <c r="G88" s="291"/>
      <c r="H88" s="281" t="s">
        <v>989</v>
      </c>
      <c r="I88" s="281" t="s">
        <v>143</v>
      </c>
      <c r="J88" s="281" t="s">
        <v>176</v>
      </c>
      <c r="K88" s="281" t="s">
        <v>905</v>
      </c>
      <c r="L88" s="281" t="s">
        <v>776</v>
      </c>
      <c r="M88" s="283" t="str">
        <f>IF(L88="NJAD","AA",IF(L88="AA","L",IF(L88="L","LK","GB")))</f>
        <v>GB</v>
      </c>
      <c r="N88" s="282" t="s">
        <v>511</v>
      </c>
      <c r="O88" s="281">
        <v>400</v>
      </c>
      <c r="P88" s="281" t="s">
        <v>1248</v>
      </c>
      <c r="Q88" s="284">
        <v>40299</v>
      </c>
      <c r="R88" s="281" t="str">
        <f ca="1">DATEDIF(Q88,TODAY(), "Y") &amp; " Tahun " &amp; DATEDIF(Q88, TODAY(), "YM") &amp; " Bulan"</f>
        <v>15 Tahun 8 Bulan</v>
      </c>
      <c r="S88" s="281" t="s">
        <v>1221</v>
      </c>
      <c r="T88" s="282" t="s">
        <v>511</v>
      </c>
      <c r="U88" s="281" t="e">
        <f ca="1">DATEDIF(T88,TODAY(), "Y") &amp; " Tahun " &amp; DATEDIF(T88, TODAY(), "YM") &amp; " Bulan"</f>
        <v>#VALUE!</v>
      </c>
      <c r="V88" s="281" t="s">
        <v>1138</v>
      </c>
      <c r="W88" s="281" t="s">
        <v>851</v>
      </c>
      <c r="X88" s="283" t="str">
        <f ca="1">IF(AND(OR(L88="AA",L88="L"),OR(S88="Penata Muda Tk. I Golongan III/b",S88="Penata Golongan III/c"),DATEDIF(Q88,TODAY(),"m")&gt;=23,ISBLANK(Z88),C88="Aktif"),"Nominasi Serdos","-")</f>
        <v>-</v>
      </c>
      <c r="Y88" s="281"/>
      <c r="Z88" s="281" t="s">
        <v>852</v>
      </c>
      <c r="AA88" s="290">
        <v>1.01105E+19</v>
      </c>
      <c r="AB88" s="281">
        <v>104910134</v>
      </c>
      <c r="AC88" s="285">
        <v>40364</v>
      </c>
      <c r="AD88" s="281" t="s">
        <v>30</v>
      </c>
      <c r="AE88" s="281" t="s">
        <v>30</v>
      </c>
      <c r="AF88" s="281" t="s">
        <v>30</v>
      </c>
      <c r="AG88" s="281" t="s">
        <v>30</v>
      </c>
      <c r="AH88" s="281" t="s">
        <v>879</v>
      </c>
      <c r="AI88" s="281" t="s">
        <v>30</v>
      </c>
      <c r="AJ88" s="281" t="s">
        <v>30</v>
      </c>
      <c r="AK88" s="281" t="s">
        <v>30</v>
      </c>
      <c r="AM88" s="286">
        <v>43882</v>
      </c>
      <c r="AN88" s="287" t="str">
        <f ca="1">DATEDIF(AM88,TODAY(),"y")&amp;" tahun "&amp;DATEDIF(AM88,TODAY(),"ym")&amp;" bulan "</f>
        <v xml:space="preserve">5 tahun 10 bulan </v>
      </c>
      <c r="AO88" s="281" t="s">
        <v>868</v>
      </c>
      <c r="AP88" s="281" t="s">
        <v>968</v>
      </c>
      <c r="AQ88" s="281" t="s">
        <v>30</v>
      </c>
      <c r="AR88" s="281" t="s">
        <v>407</v>
      </c>
      <c r="AS88" s="281" t="s">
        <v>30</v>
      </c>
      <c r="AT88" s="281" t="s">
        <v>30</v>
      </c>
      <c r="AU88" s="295" t="s">
        <v>30</v>
      </c>
      <c r="AV88" s="302"/>
      <c r="AW88" s="281" t="str">
        <f>VLOOKUP(B88,Sheet2!A114:I231,9,FALSE)</f>
        <v>Dr. Bambang Lelono Widjiantoro, S.T., M.T.</v>
      </c>
      <c r="AX88" s="281" t="s">
        <v>861</v>
      </c>
      <c r="AY88" s="281" t="str">
        <f>VLOOKUP(B88,Sheet2!A114:C231,2,FALSE)</f>
        <v>Jombang</v>
      </c>
      <c r="AZ88" s="288">
        <f>VLOOKUP(B88,Sheet2!A114:C231,3,FALSE)</f>
        <v>25330</v>
      </c>
      <c r="BA88" s="281">
        <f ca="1">DATEDIF(AZ88, TODAY(),"y")</f>
        <v>56</v>
      </c>
      <c r="BB88" s="281"/>
      <c r="BC88" s="281"/>
      <c r="BD88" s="281"/>
      <c r="BE88" s="281"/>
      <c r="BF88" s="289"/>
      <c r="BG88" s="308"/>
      <c r="BH88" s="308"/>
      <c r="BI88" s="308"/>
      <c r="BJ88" s="308"/>
      <c r="BK88" s="308"/>
      <c r="BL88" s="288"/>
      <c r="BM88" s="302"/>
      <c r="BN88" s="302"/>
      <c r="BO88" s="281"/>
      <c r="BP88" s="281"/>
      <c r="BQ88" s="302"/>
      <c r="BR88" s="288" t="str">
        <f>VLOOKUP(B88,Sheet2!A114:E231,5,FALSE)</f>
        <v>Cybernetics</v>
      </c>
      <c r="BS88" s="288" t="str">
        <f>VLOOKUP(B88,Sheet2!A114:F231,6,FALSE)</f>
        <v>BLW</v>
      </c>
      <c r="BT88" s="288" t="str">
        <f>VLOOKUP(B88,Sheet2!A114:G231,7,FALSE)</f>
        <v>Fakultas Rekayasa Industri</v>
      </c>
      <c r="BU88" s="288" t="str">
        <f>VLOOKUP(B88,Sheet2!A114:H231,8,FALSE)</f>
        <v>bambanglelono@telkomuniversity.ac.id</v>
      </c>
      <c r="BV88" s="280">
        <f>COUNTIFS('Join TPA Dosen'!B:B,'Dosen sorted'!B114)</f>
        <v>1</v>
      </c>
      <c r="BW88" s="273" t="str">
        <f>DATEDIF(AM88,DATE(2026,1,1),"y")&amp;" tahun "&amp;DATEDIF(AM88,DATE(2026,1,1),"ym")&amp;" bulan "</f>
        <v xml:space="preserve">5 tahun 10 bulan </v>
      </c>
      <c r="BX88" s="280" t="str">
        <f>VLOOKUP($B88,Sheet1!$A:$G,2,FALSE)</f>
        <v>ITS</v>
      </c>
      <c r="BY88" s="280" t="str">
        <f>VLOOKUP($B88,Sheet1!$A:$G,3,FALSE)</f>
        <v>Teknik Fisika</v>
      </c>
      <c r="BZ88" s="280" t="str">
        <f>VLOOKUP($B88,Sheet1!$A:$G,4,FALSE)</f>
        <v>ITB</v>
      </c>
      <c r="CA88" s="280" t="str">
        <f>VLOOKUP($B88,Sheet1!$A:$G,5,FALSE)</f>
        <v>Instrumentasi dan Kontrol</v>
      </c>
      <c r="CB88" s="280" t="str">
        <f>VLOOKUP($B88,Sheet1!$A:$G,6,FALSE)</f>
        <v>ITB</v>
      </c>
      <c r="CC88" s="280" t="str">
        <f>VLOOKUP($B88,Sheet1!$A:$G,7,FALSE)</f>
        <v>Ilmu Pengetahuan Teknik</v>
      </c>
      <c r="CD88" s="280" t="e">
        <v>#N/A</v>
      </c>
      <c r="CE88" s="280" t="e">
        <v>#N/A</v>
      </c>
    </row>
    <row r="89" spans="1:83" ht="18.95" hidden="1">
      <c r="A89" s="281">
        <v>38</v>
      </c>
      <c r="B89" s="281" t="s">
        <v>374</v>
      </c>
      <c r="C89" s="281" t="s">
        <v>20</v>
      </c>
      <c r="D89" s="281" t="s">
        <v>370</v>
      </c>
      <c r="E89" s="281">
        <v>20930043</v>
      </c>
      <c r="F89" s="281" t="s">
        <v>1226</v>
      </c>
      <c r="G89" s="282" t="s">
        <v>375</v>
      </c>
      <c r="H89" s="281" t="s">
        <v>845</v>
      </c>
      <c r="I89" s="281" t="s">
        <v>143</v>
      </c>
      <c r="J89" s="281" t="s">
        <v>176</v>
      </c>
      <c r="K89" s="281" t="s">
        <v>874</v>
      </c>
      <c r="L89" s="281" t="s">
        <v>775</v>
      </c>
      <c r="M89" s="283" t="str">
        <f>IF(L89="NJAD","AA",IF(L89="AA","L",IF(L89="L","LK","GB")))</f>
        <v>LK</v>
      </c>
      <c r="N89" s="282" t="s">
        <v>511</v>
      </c>
      <c r="O89" s="281">
        <v>200</v>
      </c>
      <c r="P89" s="281" t="s">
        <v>1227</v>
      </c>
      <c r="Q89" s="284">
        <v>44866</v>
      </c>
      <c r="R89" s="281" t="str">
        <f ca="1">DATEDIF(Q89,TODAY(), "Y") &amp; " Tahun " &amp; DATEDIF(Q89, TODAY(), "YM") &amp; " Bulan"</f>
        <v>3 Tahun 2 Bulan</v>
      </c>
      <c r="S89" s="281" t="s">
        <v>876</v>
      </c>
      <c r="T89" s="285">
        <v>45047</v>
      </c>
      <c r="U89" s="281" t="str">
        <f ca="1">DATEDIF(T89,TODAY(), "Y") &amp; " Tahun " &amp; DATEDIF(T89, TODAY(), "YM") &amp; " Bulan"</f>
        <v>2 Tahun 8 Bulan</v>
      </c>
      <c r="V89" s="281" t="s">
        <v>966</v>
      </c>
      <c r="W89" s="281" t="s">
        <v>851</v>
      </c>
      <c r="X89" s="283" t="str">
        <f ca="1">IF(AND(OR(L89="AA",L89="L"),OR(S89="Penata Muda Tk. I Golongan III/b",S89="Penata Golongan III/c"),DATEDIF(Q89,TODAY(),"m")&gt;=23,ISBLANK(Z89),C89="Aktif"),"Nominasi Serdos","-")</f>
        <v>-</v>
      </c>
      <c r="Y89" s="281"/>
      <c r="Z89" s="281" t="s">
        <v>852</v>
      </c>
      <c r="AA89" s="281">
        <v>22107201902710</v>
      </c>
      <c r="AB89" s="281" t="s">
        <v>1228</v>
      </c>
      <c r="AC89" s="285">
        <v>44783</v>
      </c>
      <c r="AD89" s="281" t="s">
        <v>30</v>
      </c>
      <c r="AE89" s="281" t="s">
        <v>30</v>
      </c>
      <c r="AF89" s="281" t="s">
        <v>30</v>
      </c>
      <c r="AG89" s="281" t="s">
        <v>30</v>
      </c>
      <c r="AH89" s="281" t="s">
        <v>879</v>
      </c>
      <c r="AI89" s="281" t="s">
        <v>855</v>
      </c>
      <c r="AJ89" s="281" t="s">
        <v>856</v>
      </c>
      <c r="AK89" s="281" t="s">
        <v>855</v>
      </c>
      <c r="AL89" s="281" t="s">
        <v>857</v>
      </c>
      <c r="AM89" s="286">
        <v>43282</v>
      </c>
      <c r="AN89" s="287" t="str">
        <f ca="1">DATEDIF(AM89,TODAY(),"y")&amp;" tahun "&amp;DATEDIF(AM89,TODAY(),"ym")&amp;" bulan "</f>
        <v xml:space="preserve">7 tahun 6 bulan </v>
      </c>
      <c r="AO89" s="281" t="s">
        <v>868</v>
      </c>
      <c r="AP89" s="281" t="s">
        <v>968</v>
      </c>
      <c r="AQ89" s="281" t="s">
        <v>1229</v>
      </c>
      <c r="AR89" s="281" t="s">
        <v>376</v>
      </c>
      <c r="AS89" s="281">
        <v>81329464686</v>
      </c>
      <c r="AT89" s="281" t="s">
        <v>377</v>
      </c>
      <c r="AU89" s="281" t="s">
        <v>30</v>
      </c>
      <c r="AV89" s="281"/>
      <c r="AW89" s="281" t="str">
        <f>VLOOKUP(B89,Sheet2!A39:I156,9,FALSE)</f>
        <v>Benazir Imam Arif Muttaqin, S.T., M.T.</v>
      </c>
      <c r="AX89" s="281" t="s">
        <v>861</v>
      </c>
      <c r="AY89" s="281" t="str">
        <f>VLOOKUP(B89,Sheet2!A39:C156,2,FALSE)</f>
        <v>Sukoharjo</v>
      </c>
      <c r="AZ89" s="288">
        <f>VLOOKUP(B89,Sheet2!A39:C156,3,FALSE)</f>
        <v>34276</v>
      </c>
      <c r="BA89" s="281">
        <f ca="1">DATEDIF(AZ89, TODAY(),"y")</f>
        <v>32</v>
      </c>
      <c r="BB89" s="281"/>
      <c r="BC89" s="281"/>
      <c r="BD89" s="281"/>
      <c r="BE89" s="281"/>
      <c r="BF89" s="289"/>
      <c r="BG89" s="289"/>
      <c r="BH89" s="289"/>
      <c r="BI89" s="289"/>
      <c r="BJ89" s="289"/>
      <c r="BK89" s="289"/>
      <c r="BL89" s="288" t="str">
        <f>VLOOKUP(B89,Sheet2!A39:D156,4,FALSE)</f>
        <v>Dosen</v>
      </c>
      <c r="BM89" s="281"/>
      <c r="BN89" s="281"/>
      <c r="BO89" s="281"/>
      <c r="BP89" s="281"/>
      <c r="BQ89" s="281"/>
      <c r="BR89" s="288" t="str">
        <f>VLOOKUP(B89,Sheet2!A39:E156,5,FALSE)</f>
        <v>Production and Manufacturing System</v>
      </c>
      <c r="BS89" s="288" t="str">
        <f>VLOOKUP(B89,Sheet2!A39:F156,6,FALSE)</f>
        <v>BIA</v>
      </c>
      <c r="BT89" s="288" t="str">
        <f>VLOOKUP(B89,Sheet2!A39:G156,7,FALSE)</f>
        <v>Fakultas Rekayasa Industri</v>
      </c>
      <c r="BU89" s="288" t="str">
        <f>VLOOKUP(B89,Sheet2!A39:H156,8,FALSE)</f>
        <v>imambenazir@telkomuniversity.ac.id</v>
      </c>
      <c r="BV89" s="280">
        <f>COUNTIFS('Join TPA Dosen'!B:B,'Dosen sorted'!B8)</f>
        <v>1</v>
      </c>
      <c r="BW89" s="273" t="str">
        <f>DATEDIF(AM89,DATE(2026,1,1),"y")&amp;" tahun "&amp;DATEDIF(AM89,DATE(2026,1,1),"ym")&amp;" bulan "</f>
        <v xml:space="preserve">7 tahun 6 bulan </v>
      </c>
      <c r="BX89" s="280" t="str">
        <f>VLOOKUP($B89,Sheet1!$A:$G,2,FALSE)</f>
        <v>UNS</v>
      </c>
      <c r="BY89" s="280" t="str">
        <f>VLOOKUP($B89,Sheet1!$A:$G,3,FALSE)</f>
        <v>Teknik Industri</v>
      </c>
      <c r="BZ89" s="280" t="str">
        <f>VLOOKUP($B89,Sheet1!$A:$G,4,FALSE)</f>
        <v>UNS</v>
      </c>
      <c r="CA89" s="280" t="str">
        <f>VLOOKUP($B89,Sheet1!$A:$G,5,FALSE)</f>
        <v>Teknik Industri</v>
      </c>
      <c r="CB89" s="280" t="str">
        <f>VLOOKUP($B89,Sheet1!$A:$G,6,FALSE)</f>
        <v>ITS</v>
      </c>
      <c r="CC89" s="280" t="str">
        <f>VLOOKUP($B89,Sheet1!$A:$G,7,FALSE)</f>
        <v>Teknik Industri</v>
      </c>
      <c r="CD89" s="280" t="s">
        <v>871</v>
      </c>
      <c r="CE89" s="280" t="s">
        <v>863</v>
      </c>
    </row>
    <row r="90" spans="1:83" ht="19.5" hidden="1">
      <c r="A90" s="281">
        <v>92</v>
      </c>
      <c r="B90" s="281" t="s">
        <v>393</v>
      </c>
      <c r="C90" s="281" t="s">
        <v>20</v>
      </c>
      <c r="D90" s="281" t="s">
        <v>370</v>
      </c>
      <c r="E90" s="281">
        <v>22970044</v>
      </c>
      <c r="F90" s="281" t="s">
        <v>1183</v>
      </c>
      <c r="G90" s="282" t="s">
        <v>394</v>
      </c>
      <c r="H90" s="291" t="s">
        <v>884</v>
      </c>
      <c r="I90" s="281" t="s">
        <v>30</v>
      </c>
      <c r="J90" s="281" t="s">
        <v>395</v>
      </c>
      <c r="K90" s="281" t="s">
        <v>846</v>
      </c>
      <c r="L90" s="281" t="s">
        <v>847</v>
      </c>
      <c r="M90" s="283" t="str">
        <f>IF(L90="NJAD","AA",IF(L90="AA","L",IF(L90="L","LK","GB")))</f>
        <v>L</v>
      </c>
      <c r="N90" s="282" t="s">
        <v>511</v>
      </c>
      <c r="O90" s="281">
        <v>150</v>
      </c>
      <c r="P90" s="281" t="s">
        <v>1184</v>
      </c>
      <c r="Q90" s="284">
        <v>45444</v>
      </c>
      <c r="R90" s="281" t="str">
        <f ca="1">DATEDIF(Q90,TODAY(), "Y") &amp; " Tahun " &amp; DATEDIF(Q90, TODAY(), "YM") &amp; " Bulan"</f>
        <v>1 Tahun 7 Bulan</v>
      </c>
      <c r="S90" s="281" t="s">
        <v>849</v>
      </c>
      <c r="T90" s="285">
        <v>45717</v>
      </c>
      <c r="U90" s="281" t="str">
        <f ca="1">DATEDIF(T90,TODAY(), "Y") &amp; " Tahun " &amp; DATEDIF(T90, TODAY(), "YM") &amp; " Bulan"</f>
        <v>0 Tahun 10 Bulan</v>
      </c>
      <c r="V90" s="281" t="s">
        <v>966</v>
      </c>
      <c r="W90" s="281" t="s">
        <v>851</v>
      </c>
      <c r="X90" s="283" t="str">
        <f ca="1">IF(AND(OR(L90="AA",L90="L"),OR(S90="Penata Muda Tk. I Golongan III/b",S90="Penata Golongan III/c"),DATEDIF(Q90,TODAY(),"m")&gt;=23,ISBLANK(Z90),C90="Aktif"),"Nominasi Serdos","-")</f>
        <v>-</v>
      </c>
      <c r="Y90" s="281"/>
      <c r="Z90" s="282"/>
      <c r="AA90" s="295"/>
      <c r="AB90" s="281" t="s">
        <v>30</v>
      </c>
      <c r="AC90" s="282" t="s">
        <v>511</v>
      </c>
      <c r="AD90" s="281" t="s">
        <v>30</v>
      </c>
      <c r="AE90" s="281" t="s">
        <v>30</v>
      </c>
      <c r="AF90" s="281" t="s">
        <v>30</v>
      </c>
      <c r="AG90" s="281" t="s">
        <v>30</v>
      </c>
      <c r="AH90" s="281" t="s">
        <v>854</v>
      </c>
      <c r="AI90" s="281" t="s">
        <v>30</v>
      </c>
      <c r="AJ90" s="281" t="s">
        <v>30</v>
      </c>
      <c r="AK90" s="281" t="s">
        <v>30</v>
      </c>
      <c r="AM90" s="286">
        <v>44832</v>
      </c>
      <c r="AN90" s="287" t="str">
        <f ca="1">DATEDIF(AM90,TODAY(),"y")&amp;" tahun "&amp;DATEDIF(AM90,TODAY(),"ym")&amp;" bulan "</f>
        <v xml:space="preserve">3 tahun 3 bulan </v>
      </c>
      <c r="AO90" s="281" t="s">
        <v>868</v>
      </c>
      <c r="AP90" s="281" t="s">
        <v>968</v>
      </c>
      <c r="AQ90" s="281" t="s">
        <v>1185</v>
      </c>
      <c r="AR90" s="281" t="s">
        <v>396</v>
      </c>
      <c r="AS90" s="281">
        <v>81333596409</v>
      </c>
      <c r="AT90" s="281" t="s">
        <v>397</v>
      </c>
      <c r="AU90" s="281" t="s">
        <v>30</v>
      </c>
      <c r="AV90" s="281"/>
      <c r="AW90" s="281" t="str">
        <f>VLOOKUP(B90,Sheet2!A93:I210,9,FALSE)</f>
        <v>Huki Chandra, S.T., M.Sc.</v>
      </c>
      <c r="AX90" s="281" t="s">
        <v>861</v>
      </c>
      <c r="AY90" s="281" t="str">
        <f>VLOOKUP(B90,Sheet2!A93:C210,2,FALSE)</f>
        <v>Pekanbaru</v>
      </c>
      <c r="AZ90" s="288">
        <f>VLOOKUP(B90,Sheet2!A93:C210,3,FALSE)</f>
        <v>35630</v>
      </c>
      <c r="BA90" s="281">
        <f ca="1">DATEDIF(AZ90, TODAY(),"y")</f>
        <v>28</v>
      </c>
      <c r="BB90" s="281"/>
      <c r="BC90" s="281"/>
      <c r="BD90" s="281"/>
      <c r="BE90" s="281"/>
      <c r="BF90" s="289"/>
      <c r="BG90" s="289"/>
      <c r="BH90" s="289"/>
      <c r="BI90" s="289"/>
      <c r="BJ90" s="289"/>
      <c r="BK90" s="289"/>
      <c r="BL90" s="288" t="str">
        <f>VLOOKUP(B90,Sheet2!A93:D210,4,FALSE)</f>
        <v>Dosen</v>
      </c>
      <c r="BM90" s="281"/>
      <c r="BN90" s="281"/>
      <c r="BO90" s="281"/>
      <c r="BP90" s="281"/>
      <c r="BQ90" s="281"/>
      <c r="BR90" s="288" t="str">
        <f>VLOOKUP(B90,Sheet2!A93:E210,5,FALSE)</f>
        <v>Production and Manufacturing System</v>
      </c>
      <c r="BS90" s="288" t="str">
        <f>VLOOKUP(B90,Sheet2!A93:F210,6,FALSE)</f>
        <v>HKC</v>
      </c>
      <c r="BT90" s="288" t="str">
        <f>VLOOKUP(B90,Sheet2!A93:G210,7,FALSE)</f>
        <v>Fakultas Rekayasa Industri</v>
      </c>
      <c r="BU90" s="288" t="str">
        <f>VLOOKUP(B90,Sheet2!A93:H210,8,FALSE)</f>
        <v>hukichandra@telkomuniversity.ac.id</v>
      </c>
      <c r="BV90" s="280">
        <f>COUNTIFS('Join TPA Dosen'!B:B,'Dosen sorted'!B93)</f>
        <v>1</v>
      </c>
      <c r="BW90" s="273" t="str">
        <f>DATEDIF(AM90,DATE(2026,1,1),"y")&amp;" tahun "&amp;DATEDIF(AM90,DATE(2026,1,1),"ym")&amp;" bulan "</f>
        <v xml:space="preserve">3 tahun 3 bulan </v>
      </c>
      <c r="BX90" s="280" t="str">
        <f>VLOOKUP($B90,Sheet1!$A:$G,2,FALSE)</f>
        <v>UGM</v>
      </c>
      <c r="BY90" s="280" t="str">
        <f>VLOOKUP($B90,Sheet1!$A:$G,3,FALSE)</f>
        <v>Teknik Industri</v>
      </c>
      <c r="BZ90" s="280" t="str">
        <f>VLOOKUP($B90,Sheet1!$A:$G,4,FALSE)</f>
        <v>UGM</v>
      </c>
      <c r="CA90" s="280" t="str">
        <f>VLOOKUP($B90,Sheet1!$A:$G,5,FALSE)</f>
        <v>Teknik Industri</v>
      </c>
      <c r="CB90" s="280" t="str">
        <f>VLOOKUP($B90,Sheet1!$A:$G,6,FALSE)</f>
        <v>-</v>
      </c>
      <c r="CC90" s="280">
        <f>VLOOKUP($B90,Sheet1!$A:$G,7,FALSE)</f>
        <v>0</v>
      </c>
      <c r="CD90" s="280" t="s">
        <v>882</v>
      </c>
      <c r="CE90" s="280" t="s">
        <v>863</v>
      </c>
    </row>
    <row r="91" spans="1:83" ht="19.5" hidden="1">
      <c r="A91" s="281">
        <v>110</v>
      </c>
      <c r="B91" s="281" t="s">
        <v>402</v>
      </c>
      <c r="C91" s="281" t="s">
        <v>20</v>
      </c>
      <c r="D91" s="281" t="s">
        <v>370</v>
      </c>
      <c r="E91" s="281">
        <v>22950019</v>
      </c>
      <c r="F91" s="291" t="s">
        <v>1281</v>
      </c>
      <c r="G91" s="296" t="s">
        <v>403</v>
      </c>
      <c r="H91" s="281" t="s">
        <v>845</v>
      </c>
      <c r="I91" s="295" t="s">
        <v>30</v>
      </c>
      <c r="J91" s="281" t="s">
        <v>176</v>
      </c>
      <c r="K91" s="281" t="s">
        <v>917</v>
      </c>
      <c r="L91" s="281" t="s">
        <v>918</v>
      </c>
      <c r="M91" s="283" t="str">
        <f>IF(L91="NJAD","AA",IF(L91="AA","L",IF(L91="L","LK","GB")))</f>
        <v>AA</v>
      </c>
      <c r="N91" s="282" t="s">
        <v>511</v>
      </c>
      <c r="O91" s="281">
        <v>0</v>
      </c>
      <c r="P91" s="281" t="s">
        <v>30</v>
      </c>
      <c r="Q91" s="284">
        <v>45170</v>
      </c>
      <c r="R91" s="281" t="str">
        <f ca="1">DATEDIF(Q91,TODAY(), "Y") &amp; " Tahun " &amp; DATEDIF(Q91, TODAY(), "YM") &amp; " Bulan"</f>
        <v>2 Tahun 4 Bulan</v>
      </c>
      <c r="S91" s="282" t="s">
        <v>511</v>
      </c>
      <c r="T91" s="282" t="s">
        <v>511</v>
      </c>
      <c r="U91" s="281" t="e">
        <f ca="1">DATEDIF(T91,TODAY(), "Y") &amp; " Tahun " &amp; DATEDIF(T91, TODAY(), "YM") &amp; " Bulan"</f>
        <v>#VALUE!</v>
      </c>
      <c r="V91" s="281" t="s">
        <v>1282</v>
      </c>
      <c r="W91" s="281" t="s">
        <v>851</v>
      </c>
      <c r="X91" s="283" t="str">
        <f ca="1">IF(AND(OR(L91="AA",L91="L"),OR(S91="Penata Muda Tk. I Golongan III/b",S91="Penata Golongan III/c"),DATEDIF(Q91,TODAY(),"m")&gt;=23,ISBLANK(Z91),C91="Aktif"),"Nominasi Serdos","-")</f>
        <v>-</v>
      </c>
      <c r="Y91" s="281"/>
      <c r="Z91" s="297"/>
      <c r="AA91" s="297"/>
      <c r="AB91" s="295" t="s">
        <v>30</v>
      </c>
      <c r="AC91" s="297" t="s">
        <v>511</v>
      </c>
      <c r="AD91" s="281" t="s">
        <v>30</v>
      </c>
      <c r="AE91" s="281" t="s">
        <v>30</v>
      </c>
      <c r="AF91" s="281" t="s">
        <v>30</v>
      </c>
      <c r="AG91" s="281" t="s">
        <v>30</v>
      </c>
      <c r="AH91" s="281" t="s">
        <v>854</v>
      </c>
      <c r="AI91" s="281" t="s">
        <v>30</v>
      </c>
      <c r="AJ91" s="281" t="s">
        <v>30</v>
      </c>
      <c r="AK91" s="281" t="s">
        <v>30</v>
      </c>
      <c r="AM91" s="286">
        <v>45170</v>
      </c>
      <c r="AN91" s="287" t="str">
        <f ca="1">DATEDIF(AM91,TODAY(),"y")&amp;" tahun "&amp;DATEDIF(AM91,TODAY(),"ym")&amp;" bulan "</f>
        <v xml:space="preserve">2 tahun 4 bulan </v>
      </c>
      <c r="AO91" s="281" t="s">
        <v>868</v>
      </c>
      <c r="AP91" s="281" t="s">
        <v>968</v>
      </c>
      <c r="AQ91" s="281" t="s">
        <v>1283</v>
      </c>
      <c r="AR91" s="281" t="s">
        <v>404</v>
      </c>
      <c r="AS91" s="281">
        <v>81295227089</v>
      </c>
      <c r="AT91" s="281" t="s">
        <v>405</v>
      </c>
      <c r="AU91" s="281" t="s">
        <v>30</v>
      </c>
      <c r="AV91" s="281"/>
      <c r="AW91" s="281" t="str">
        <f>VLOOKUP(B91,Sheet2!A111:I228,9,FALSE)</f>
        <v>Paramaditya Arismawati, S.T., M.T.</v>
      </c>
      <c r="AX91" s="281" t="s">
        <v>902</v>
      </c>
      <c r="AY91" s="281" t="str">
        <f>VLOOKUP(B91,Sheet2!A111:C228,2,FALSE)</f>
        <v>Jakarta</v>
      </c>
      <c r="AZ91" s="288">
        <f>VLOOKUP(B91,Sheet2!A111:C228,3,FALSE)</f>
        <v>34705</v>
      </c>
      <c r="BA91" s="281">
        <f ca="1">DATEDIF(AZ91, TODAY(),"y")</f>
        <v>31</v>
      </c>
      <c r="BB91" s="281"/>
      <c r="BC91" s="281"/>
      <c r="BD91" s="281"/>
      <c r="BE91" s="295"/>
      <c r="BF91" s="289"/>
      <c r="BG91" s="289"/>
      <c r="BH91" s="289"/>
      <c r="BI91" s="289"/>
      <c r="BJ91" s="289"/>
      <c r="BK91" s="289"/>
      <c r="BL91" s="288" t="str">
        <f>VLOOKUP(B91,Sheet2!A111:D228,4,FALSE)</f>
        <v>Kabag</v>
      </c>
      <c r="BM91" s="281"/>
      <c r="BN91" s="281"/>
      <c r="BO91" s="281"/>
      <c r="BP91" s="281"/>
      <c r="BQ91" s="281"/>
      <c r="BR91" s="288" t="str">
        <f>VLOOKUP(B91,Sheet2!A111:E228,5,FALSE)</f>
        <v>Enterprise and Industrial System (EINS)</v>
      </c>
      <c r="BS91" s="288" t="str">
        <f>VLOOKUP(B91,Sheet2!A111:F228,6,FALSE)</f>
        <v>PAM</v>
      </c>
      <c r="BT91" s="288" t="str">
        <f>VLOOKUP(B91,Sheet2!A111:G228,7,FALSE)</f>
        <v>Fakultas Rekayasa Industri</v>
      </c>
      <c r="BU91" s="288" t="str">
        <f>VLOOKUP(B91,Sheet2!A111:H228,8,FALSE)</f>
        <v>paramadityaars@telkomuniversity.ac.id</v>
      </c>
      <c r="BV91" s="280">
        <f>COUNTIFS('Join TPA Dosen'!B:B,'Dosen sorted'!B111)</f>
        <v>1</v>
      </c>
      <c r="BW91" s="273" t="str">
        <f>DATEDIF(AM91,DATE(2026,1,1),"y")&amp;" tahun "&amp;DATEDIF(AM91,DATE(2026,1,1),"ym")&amp;" bulan "</f>
        <v xml:space="preserve">2 tahun 4 bulan </v>
      </c>
      <c r="BX91" s="280" t="str">
        <f>VLOOKUP($B91,Sheet1!$A:$G,2,FALSE)</f>
        <v>Tel-U</v>
      </c>
      <c r="BY91" s="280" t="str">
        <f>VLOOKUP($B91,Sheet1!$A:$G,3,FALSE)</f>
        <v>Teknik Industri</v>
      </c>
      <c r="BZ91" s="280" t="str">
        <f>VLOOKUP($B91,Sheet1!$A:$G,4,FALSE)</f>
        <v>ITS</v>
      </c>
      <c r="CA91" s="280" t="str">
        <f>VLOOKUP($B91,Sheet1!$A:$G,5,FALSE)</f>
        <v>Teknik Industri</v>
      </c>
      <c r="CB91" s="280">
        <f>VLOOKUP($B91,Sheet1!$A:$G,6,FALSE)</f>
        <v>0</v>
      </c>
      <c r="CC91" s="280">
        <f>VLOOKUP($B91,Sheet1!$A:$G,7,FALSE)</f>
        <v>0</v>
      </c>
      <c r="CD91" s="280" t="s">
        <v>871</v>
      </c>
      <c r="CE91" s="280" t="s">
        <v>863</v>
      </c>
    </row>
    <row r="92" spans="1:83" ht="18.95" hidden="1">
      <c r="A92" s="281">
        <v>76</v>
      </c>
      <c r="B92" s="281" t="s">
        <v>390</v>
      </c>
      <c r="C92" s="281" t="s">
        <v>46</v>
      </c>
      <c r="D92" s="281" t="s">
        <v>370</v>
      </c>
      <c r="E92" s="281">
        <v>22950052</v>
      </c>
      <c r="F92" s="281" t="s">
        <v>1237</v>
      </c>
      <c r="G92" s="281"/>
      <c r="H92" s="291" t="s">
        <v>884</v>
      </c>
      <c r="I92" s="281" t="s">
        <v>30</v>
      </c>
      <c r="J92" s="281" t="s">
        <v>176</v>
      </c>
      <c r="K92" s="281" t="s">
        <v>917</v>
      </c>
      <c r="L92" s="281" t="s">
        <v>918</v>
      </c>
      <c r="M92" s="283" t="str">
        <f>IF(L92="NJAD","AA",IF(L92="AA","L",IF(L92="L","LK","GB")))</f>
        <v>AA</v>
      </c>
      <c r="N92" s="282" t="s">
        <v>511</v>
      </c>
      <c r="O92" s="281">
        <v>0</v>
      </c>
      <c r="P92" s="281" t="s">
        <v>30</v>
      </c>
      <c r="Q92" s="284">
        <v>44835</v>
      </c>
      <c r="R92" s="281" t="str">
        <f ca="1">DATEDIF(Q92,TODAY(), "Y") &amp; " Tahun " &amp; DATEDIF(Q92, TODAY(), "YM") &amp; " Bulan"</f>
        <v>3 Tahun 3 Bulan</v>
      </c>
      <c r="S92" s="282" t="s">
        <v>511</v>
      </c>
      <c r="T92" s="282" t="s">
        <v>511</v>
      </c>
      <c r="U92" s="281" t="e">
        <f ca="1">DATEDIF(T92,TODAY(), "Y") &amp; " Tahun " &amp; DATEDIF(T92, TODAY(), "YM") &amp; " Bulan"</f>
        <v>#VALUE!</v>
      </c>
      <c r="V92" s="281" t="s">
        <v>966</v>
      </c>
      <c r="W92" s="281" t="s">
        <v>851</v>
      </c>
      <c r="X92" s="283" t="str">
        <f ca="1">IF(AND(OR(L92="AA",L92="L"),OR(S92="Penata Muda Tk. I Golongan III/b",S92="Penata Golongan III/c"),DATEDIF(Q92,TODAY(),"m")&gt;=23,ISBLANK(Z92),C92="Aktif"),"Nominasi Serdos","-")</f>
        <v>-</v>
      </c>
      <c r="Y92" s="281"/>
      <c r="Z92" s="282"/>
      <c r="AA92" s="295"/>
      <c r="AB92" s="281" t="s">
        <v>30</v>
      </c>
      <c r="AC92" s="282" t="s">
        <v>511</v>
      </c>
      <c r="AD92" s="281" t="s">
        <v>30</v>
      </c>
      <c r="AE92" s="281" t="s">
        <v>30</v>
      </c>
      <c r="AF92" s="281" t="s">
        <v>30</v>
      </c>
      <c r="AG92" s="281" t="s">
        <v>30</v>
      </c>
      <c r="AH92" s="281" t="s">
        <v>854</v>
      </c>
      <c r="AI92" s="281" t="s">
        <v>30</v>
      </c>
      <c r="AJ92" s="281" t="s">
        <v>30</v>
      </c>
      <c r="AK92" s="281" t="s">
        <v>30</v>
      </c>
      <c r="AM92" s="286">
        <v>44832</v>
      </c>
      <c r="AN92" s="287" t="str">
        <f ca="1">DATEDIF(AM92,TODAY(),"y")&amp;" tahun "&amp;DATEDIF(AM92,TODAY(),"ym")&amp;" bulan "</f>
        <v xml:space="preserve">3 tahun 3 bulan </v>
      </c>
      <c r="AO92" s="281" t="s">
        <v>868</v>
      </c>
      <c r="AP92" s="281" t="s">
        <v>968</v>
      </c>
      <c r="AQ92" s="281" t="s">
        <v>1238</v>
      </c>
      <c r="AR92" s="281" t="s">
        <v>391</v>
      </c>
      <c r="AS92" s="281">
        <v>81287562288</v>
      </c>
      <c r="AT92" s="281" t="s">
        <v>392</v>
      </c>
      <c r="AU92" s="281" t="s">
        <v>30</v>
      </c>
      <c r="AV92" s="281"/>
      <c r="AW92" s="281" t="str">
        <f>VLOOKUP(B92,Sheet2!A77:I194,9,FALSE)</f>
        <v>Perdana Suteja Putra, S.T., M.T.</v>
      </c>
      <c r="AX92" s="281" t="s">
        <v>861</v>
      </c>
      <c r="AY92" s="281" t="str">
        <f>VLOOKUP(B92,Sheet2!A77:C194,2,FALSE)</f>
        <v>Klaten</v>
      </c>
      <c r="AZ92" s="288">
        <f>VLOOKUP(B92,Sheet2!A77:C194,3,FALSE)</f>
        <v>35037</v>
      </c>
      <c r="BA92" s="281">
        <f ca="1">DATEDIF(AZ92, TODAY(),"y")</f>
        <v>30</v>
      </c>
      <c r="BB92" s="281"/>
      <c r="BC92" s="281"/>
      <c r="BD92" s="281"/>
      <c r="BE92" s="281"/>
      <c r="BF92" s="289"/>
      <c r="BG92" s="289"/>
      <c r="BH92" s="289"/>
      <c r="BI92" s="289"/>
      <c r="BJ92" s="289"/>
      <c r="BK92" s="289"/>
      <c r="BL92" s="288" t="str">
        <f>VLOOKUP(B92,Sheet2!A77:D194,4,FALSE)</f>
        <v>Dosen</v>
      </c>
      <c r="BM92" s="281"/>
      <c r="BN92" s="286"/>
      <c r="BO92" s="281"/>
      <c r="BP92" s="281"/>
      <c r="BQ92" s="281"/>
      <c r="BR92" s="288" t="str">
        <f>VLOOKUP(B92,Sheet2!A77:E194,5,FALSE)</f>
        <v>Production and Manufacturing System</v>
      </c>
      <c r="BS92" s="288" t="str">
        <f>VLOOKUP(B92,Sheet2!A77:F194,6,FALSE)</f>
        <v>PSP</v>
      </c>
      <c r="BT92" s="288" t="str">
        <f>VLOOKUP(B92,Sheet2!A77:G194,7,FALSE)</f>
        <v>Fakultas Rekayasa Industri</v>
      </c>
      <c r="BU92" s="288" t="str">
        <f>VLOOKUP(B92,Sheet2!A77:H194,8,FALSE)</f>
        <v>perdanasuteja@telkomuniversity.ac.id</v>
      </c>
      <c r="BV92" s="280">
        <f>COUNTIFS('Join TPA Dosen'!B:B,'Dosen sorted'!B77)</f>
        <v>1</v>
      </c>
      <c r="BW92" s="273" t="str">
        <f>DATEDIF(AM92,DATE(2026,1,1),"y")&amp;" tahun "&amp;DATEDIF(AM92,DATE(2026,1,1),"ym")&amp;" bulan "</f>
        <v xml:space="preserve">3 tahun 3 bulan </v>
      </c>
      <c r="BX92" s="280" t="str">
        <f>VLOOKUP($B92,Sheet1!$A:$G,2,FALSE)</f>
        <v>Universitas Islam Indonesia</v>
      </c>
      <c r="BY92" s="280" t="str">
        <f>VLOOKUP($B92,Sheet1!$A:$G,3,FALSE)</f>
        <v>Teknik Industri</v>
      </c>
      <c r="BZ92" s="280" t="str">
        <f>VLOOKUP($B92,Sheet1!$A:$G,4,FALSE)</f>
        <v>UI</v>
      </c>
      <c r="CA92" s="280" t="str">
        <f>VLOOKUP($B92,Sheet1!$A:$G,5,FALSE)</f>
        <v>Teknik Industri</v>
      </c>
      <c r="CB92" s="280" t="str">
        <f>VLOOKUP($B92,Sheet1!$A:$G,6,FALSE)</f>
        <v>-</v>
      </c>
      <c r="CC92" s="280">
        <f>VLOOKUP($B92,Sheet1!$A:$G,7,FALSE)</f>
        <v>0</v>
      </c>
      <c r="CD92" s="280" t="e">
        <v>#N/A</v>
      </c>
      <c r="CE92" s="280" t="e">
        <v>#N/A</v>
      </c>
    </row>
    <row r="93" spans="1:83" ht="19.5" hidden="1">
      <c r="A93" s="281">
        <v>32</v>
      </c>
      <c r="B93" s="281" t="s">
        <v>378</v>
      </c>
      <c r="C93" s="281" t="s">
        <v>20</v>
      </c>
      <c r="D93" s="281" t="s">
        <v>370</v>
      </c>
      <c r="E93" s="281">
        <v>20920036</v>
      </c>
      <c r="F93" s="281" t="s">
        <v>1215</v>
      </c>
      <c r="G93" s="282" t="s">
        <v>379</v>
      </c>
      <c r="H93" s="281" t="s">
        <v>845</v>
      </c>
      <c r="I93" s="281" t="s">
        <v>30</v>
      </c>
      <c r="J93" s="281" t="s">
        <v>176</v>
      </c>
      <c r="K93" s="281" t="s">
        <v>846</v>
      </c>
      <c r="L93" s="281" t="s">
        <v>847</v>
      </c>
      <c r="M93" s="283" t="str">
        <f>IF(L93="NJAD","AA",IF(L93="AA","L",IF(L93="L","LK","GB")))</f>
        <v>L</v>
      </c>
      <c r="N93" s="282" t="s">
        <v>511</v>
      </c>
      <c r="O93" s="281">
        <v>150</v>
      </c>
      <c r="P93" s="281" t="s">
        <v>1216</v>
      </c>
      <c r="Q93" s="284">
        <v>44050</v>
      </c>
      <c r="R93" s="281" t="str">
        <f ca="1">DATEDIF(Q93,TODAY(), "Y") &amp; " Tahun " &amp; DATEDIF(Q93, TODAY(), "YM") &amp; " Bulan"</f>
        <v>5 Tahun 5 Bulan</v>
      </c>
      <c r="S93" s="281" t="s">
        <v>849</v>
      </c>
      <c r="T93" s="285">
        <v>44136</v>
      </c>
      <c r="U93" s="281" t="str">
        <f ca="1">DATEDIF(T93,TODAY(), "Y") &amp; " Tahun " &amp; DATEDIF(T93, TODAY(), "YM") &amp; " Bulan"</f>
        <v>5 Tahun 2 Bulan</v>
      </c>
      <c r="V93" s="281" t="s">
        <v>1217</v>
      </c>
      <c r="W93" s="281" t="s">
        <v>851</v>
      </c>
      <c r="X93" s="283" t="str">
        <f ca="1">IF(AND(OR(L93="AA",L93="L"),OR(S93="Penata Muda Tk. I Golongan III/b",S93="Penata Golongan III/c"),DATEDIF(Q93,TODAY(),"m")&gt;=23,ISBLANK(Z93),C93="Aktif"),"Nominasi Serdos","-")</f>
        <v>-</v>
      </c>
      <c r="Y93" s="281"/>
      <c r="Z93" s="281" t="s">
        <v>852</v>
      </c>
      <c r="AA93" s="290">
        <v>24107201902360</v>
      </c>
      <c r="AB93" s="281" t="s">
        <v>1218</v>
      </c>
      <c r="AC93" s="285">
        <v>45351</v>
      </c>
      <c r="AD93" s="281" t="s">
        <v>30</v>
      </c>
      <c r="AE93" s="281" t="s">
        <v>30</v>
      </c>
      <c r="AF93" s="281" t="s">
        <v>30</v>
      </c>
      <c r="AG93" s="281" t="s">
        <v>30</v>
      </c>
      <c r="AH93" s="281" t="s">
        <v>854</v>
      </c>
      <c r="AI93" s="281" t="s">
        <v>855</v>
      </c>
      <c r="AJ93" s="281" t="s">
        <v>856</v>
      </c>
      <c r="AK93" s="281" t="s">
        <v>855</v>
      </c>
      <c r="AL93" s="281" t="s">
        <v>857</v>
      </c>
      <c r="AM93" s="286">
        <v>43101</v>
      </c>
      <c r="AN93" s="287" t="str">
        <f ca="1">DATEDIF(AM93,TODAY(),"y")&amp;" tahun "&amp;DATEDIF(AM93,TODAY(),"ym")&amp;" bulan "</f>
        <v xml:space="preserve">8 tahun 0 bulan </v>
      </c>
      <c r="AO93" s="281" t="s">
        <v>868</v>
      </c>
      <c r="AP93" s="281" t="s">
        <v>968</v>
      </c>
      <c r="AQ93" s="281" t="s">
        <v>1219</v>
      </c>
      <c r="AR93" s="305" t="s">
        <v>380</v>
      </c>
      <c r="AS93" s="281">
        <v>82231018193</v>
      </c>
      <c r="AT93" s="281" t="s">
        <v>381</v>
      </c>
      <c r="AU93" s="281" t="s">
        <v>30</v>
      </c>
      <c r="AV93" s="281"/>
      <c r="AW93" s="281" t="str">
        <f>VLOOKUP(B93,Sheet2!A33:I150,9,FALSE)</f>
        <v>Rahaditya Dimas Prihadianto, S.T., M.T.</v>
      </c>
      <c r="AX93" s="281" t="s">
        <v>861</v>
      </c>
      <c r="AY93" s="281" t="str">
        <f>VLOOKUP(B93,Sheet2!A33:C150,2,FALSE)</f>
        <v>Jember</v>
      </c>
      <c r="AZ93" s="288">
        <f>VLOOKUP(B93,Sheet2!A33:C150,3,FALSE)</f>
        <v>33749</v>
      </c>
      <c r="BA93" s="281">
        <f ca="1">DATEDIF(AZ93, TODAY(),"y")</f>
        <v>33</v>
      </c>
      <c r="BB93" s="281"/>
      <c r="BC93" s="281"/>
      <c r="BD93" s="281"/>
      <c r="BE93" s="281"/>
      <c r="BF93" s="289"/>
      <c r="BG93" s="289"/>
      <c r="BH93" s="289"/>
      <c r="BI93" s="289"/>
      <c r="BJ93" s="289"/>
      <c r="BK93" s="289"/>
      <c r="BL93" s="288" t="s">
        <v>21</v>
      </c>
      <c r="BM93" s="281"/>
      <c r="BN93" s="281"/>
      <c r="BO93" s="281"/>
      <c r="BP93" s="281"/>
      <c r="BQ93" s="281"/>
      <c r="BR93" s="288" t="str">
        <f>VLOOKUP(B93,Sheet2!A33:E150,5,FALSE)</f>
        <v>Enterprise and Industrial System (EINS)</v>
      </c>
      <c r="BS93" s="288" t="str">
        <f>VLOOKUP(B93,Sheet2!A33:F150,6,FALSE)</f>
        <v>RDV</v>
      </c>
      <c r="BT93" s="288" t="str">
        <f>VLOOKUP(B93,Sheet2!A33:G150,7,FALSE)</f>
        <v>Fakultas Rekayasa Industri</v>
      </c>
      <c r="BU93" s="288" t="str">
        <f>VLOOKUP(B93,Sheet2!A33:H150,8,FALSE)</f>
        <v>rdprihadian@telkomuniversity.ac.id</v>
      </c>
      <c r="BV93" s="280">
        <f>COUNTIFS('Join TPA Dosen'!B:B,'Dosen sorted'!B40)</f>
        <v>1</v>
      </c>
      <c r="BW93" s="273" t="str">
        <f>DATEDIF(AM93,DATE(2026,1,1),"y")&amp;" tahun "&amp;DATEDIF(AM93,DATE(2026,1,1),"ym")&amp;" bulan "</f>
        <v xml:space="preserve">8 tahun 0 bulan </v>
      </c>
      <c r="BX93" s="280" t="str">
        <f>VLOOKUP($B93,Sheet1!$A:$G,2,FALSE)</f>
        <v>ITS</v>
      </c>
      <c r="BY93" s="280" t="str">
        <f>VLOOKUP($B93,Sheet1!$A:$G,3,FALSE)</f>
        <v>Teknik Industri</v>
      </c>
      <c r="BZ93" s="280" t="str">
        <f>VLOOKUP($B93,Sheet1!$A:$G,4,FALSE)</f>
        <v>ITS</v>
      </c>
      <c r="CA93" s="280" t="str">
        <f>VLOOKUP($B93,Sheet1!$A:$G,5,FALSE)</f>
        <v>Teknik Industri</v>
      </c>
      <c r="CB93" s="280" t="str">
        <f>VLOOKUP($B93,Sheet1!$A:$G,6,FALSE)</f>
        <v>National Cheng Kung University (NCKU)</v>
      </c>
      <c r="CC93" s="280" t="str">
        <f>VLOOKUP($B93,Sheet1!$A:$G,7,FALSE)</f>
        <v>Department of Industrial and Information Management</v>
      </c>
      <c r="CD93" s="280" t="s">
        <v>871</v>
      </c>
      <c r="CE93" s="280" t="s">
        <v>863</v>
      </c>
    </row>
    <row r="94" spans="1:83" ht="19.5" hidden="1">
      <c r="A94" s="281">
        <v>33</v>
      </c>
      <c r="B94" s="281" t="s">
        <v>382</v>
      </c>
      <c r="C94" s="281" t="s">
        <v>20</v>
      </c>
      <c r="D94" s="281" t="s">
        <v>370</v>
      </c>
      <c r="E94" s="281">
        <v>20930036</v>
      </c>
      <c r="F94" s="281" t="s">
        <v>964</v>
      </c>
      <c r="G94" s="282" t="s">
        <v>383</v>
      </c>
      <c r="H94" s="281" t="s">
        <v>845</v>
      </c>
      <c r="I94" s="281" t="s">
        <v>30</v>
      </c>
      <c r="J94" s="281" t="s">
        <v>176</v>
      </c>
      <c r="K94" s="281" t="s">
        <v>893</v>
      </c>
      <c r="L94" s="281" t="s">
        <v>775</v>
      </c>
      <c r="M94" s="283" t="str">
        <f>IF(L94="NJAD","AA",IF(L94="AA","L",IF(L94="L","LK","GB")))</f>
        <v>LK</v>
      </c>
      <c r="N94" s="282" t="s">
        <v>511</v>
      </c>
      <c r="O94" s="281">
        <v>200</v>
      </c>
      <c r="P94" s="281" t="s">
        <v>965</v>
      </c>
      <c r="Q94" s="284">
        <v>44927</v>
      </c>
      <c r="R94" s="281" t="str">
        <f ca="1">DATEDIF(Q94,TODAY(), "Y") &amp; " Tahun " &amp; DATEDIF(Q94, TODAY(), "YM") &amp; " Bulan"</f>
        <v>3 Tahun 0 Bulan</v>
      </c>
      <c r="S94" s="281" t="s">
        <v>876</v>
      </c>
      <c r="T94" s="285">
        <v>45047</v>
      </c>
      <c r="U94" s="281" t="str">
        <f ca="1">DATEDIF(T94,TODAY(), "Y") &amp; " Tahun " &amp; DATEDIF(T94, TODAY(), "YM") &amp; " Bulan"</f>
        <v>2 Tahun 8 Bulan</v>
      </c>
      <c r="V94" s="281" t="s">
        <v>966</v>
      </c>
      <c r="W94" s="281" t="s">
        <v>851</v>
      </c>
      <c r="X94" s="283" t="str">
        <f ca="1">IF(AND(OR(L94="AA",L94="L"),OR(S94="Penata Muda Tk. I Golongan III/b",S94="Penata Golongan III/c"),DATEDIF(Q94,TODAY(),"m")&gt;=23,ISBLANK(Z94),C94="Aktif"),"Nominasi Serdos","-")</f>
        <v>-</v>
      </c>
      <c r="Y94" s="281"/>
      <c r="Z94" s="281" t="s">
        <v>852</v>
      </c>
      <c r="AA94" s="281">
        <v>22107201902709</v>
      </c>
      <c r="AB94" s="281" t="s">
        <v>967</v>
      </c>
      <c r="AC94" s="285">
        <v>44783</v>
      </c>
      <c r="AD94" s="281" t="s">
        <v>30</v>
      </c>
      <c r="AE94" s="281" t="s">
        <v>30</v>
      </c>
      <c r="AF94" s="281" t="s">
        <v>30</v>
      </c>
      <c r="AG94" s="281" t="s">
        <v>30</v>
      </c>
      <c r="AH94" s="281" t="s">
        <v>854</v>
      </c>
      <c r="AI94" s="281" t="s">
        <v>855</v>
      </c>
      <c r="AJ94" s="281" t="s">
        <v>856</v>
      </c>
      <c r="AK94" s="281" t="s">
        <v>855</v>
      </c>
      <c r="AM94" s="286">
        <v>43282</v>
      </c>
      <c r="AN94" s="287" t="str">
        <f ca="1">DATEDIF(AM94,TODAY(),"y")&amp;" tahun "&amp;DATEDIF(AM94,TODAY(),"ym")&amp;" bulan "</f>
        <v xml:space="preserve">7 tahun 6 bulan </v>
      </c>
      <c r="AO94" s="281" t="s">
        <v>868</v>
      </c>
      <c r="AP94" s="281" t="s">
        <v>968</v>
      </c>
      <c r="AQ94" s="281" t="s">
        <v>969</v>
      </c>
      <c r="AR94" s="281" t="s">
        <v>384</v>
      </c>
      <c r="AS94" s="281">
        <v>81221804899</v>
      </c>
      <c r="AT94" s="281" t="s">
        <v>385</v>
      </c>
      <c r="AU94" s="281" t="s">
        <v>30</v>
      </c>
      <c r="AV94" s="281"/>
      <c r="AW94" s="281" t="str">
        <f>VLOOKUP(B94,Sheet2!A34:I151,9,FALSE)</f>
        <v>Rizqa Amelia Zunaidi, S.T., M.T.</v>
      </c>
      <c r="AX94" s="281" t="s">
        <v>902</v>
      </c>
      <c r="AY94" s="281" t="str">
        <f>VLOOKUP(B94,Sheet2!A34:C151,2,FALSE)</f>
        <v>Bojonegoro</v>
      </c>
      <c r="AZ94" s="288">
        <f>VLOOKUP(B94,Sheet2!A34:C151,3,FALSE)</f>
        <v>34131</v>
      </c>
      <c r="BA94" s="281">
        <f ca="1">DATEDIF(AZ94, TODAY(),"y")</f>
        <v>32</v>
      </c>
      <c r="BB94" s="281"/>
      <c r="BC94" s="281"/>
      <c r="BD94" s="281"/>
      <c r="BE94" s="281"/>
      <c r="BF94" s="289"/>
      <c r="BG94" s="289"/>
      <c r="BH94" s="289"/>
      <c r="BI94" s="289"/>
      <c r="BJ94" s="289"/>
      <c r="BK94" s="289"/>
      <c r="BL94" s="288" t="str">
        <f>VLOOKUP(B94,Sheet2!A34:D151,4,FALSE)</f>
        <v>Dosen</v>
      </c>
      <c r="BM94" s="281"/>
      <c r="BN94" s="281"/>
      <c r="BO94" s="281"/>
      <c r="BP94" s="281"/>
      <c r="BQ94" s="281"/>
      <c r="BR94" s="288" t="str">
        <f>VLOOKUP(B94,Sheet2!A34:E151,5,FALSE)</f>
        <v>Engineering Management System</v>
      </c>
      <c r="BS94" s="288" t="str">
        <f>VLOOKUP(B94,Sheet2!A34:F151,6,FALSE)</f>
        <v>ZQA</v>
      </c>
      <c r="BT94" s="288" t="str">
        <f>VLOOKUP(B94,Sheet2!A34:G151,7,FALSE)</f>
        <v>Fakultas Rekayasa Industri</v>
      </c>
      <c r="BU94" s="288" t="str">
        <f>VLOOKUP(B94,Sheet2!A34:H151,8,FALSE)</f>
        <v>rizqazunaidi@telkomuniversity.ac.id</v>
      </c>
      <c r="BV94" s="280">
        <f>COUNTIFS('Join TPA Dosen'!B:B,'Dosen sorted'!B44)</f>
        <v>1</v>
      </c>
      <c r="BW94" s="273" t="str">
        <f>DATEDIF(AM94,DATE(2026,1,1),"y")&amp;" tahun "&amp;DATEDIF(AM94,DATE(2026,1,1),"ym")&amp;" bulan "</f>
        <v xml:space="preserve">7 tahun 6 bulan </v>
      </c>
      <c r="BX94" s="280" t="str">
        <f>VLOOKUP($B94,Sheet1!$A:$G,2,FALSE)</f>
        <v>ITB</v>
      </c>
      <c r="BY94" s="280" t="str">
        <f>VLOOKUP($B94,Sheet1!$A:$G,3,FALSE)</f>
        <v>Manajemen Rekayasa Industri</v>
      </c>
      <c r="BZ94" s="280" t="str">
        <f>VLOOKUP($B94,Sheet1!$A:$G,4,FALSE)</f>
        <v>ITB</v>
      </c>
      <c r="CA94" s="280" t="str">
        <f>VLOOKUP($B94,Sheet1!$A:$G,5,FALSE)</f>
        <v>Teknik dan Manajemen Industri</v>
      </c>
      <c r="CB94" s="280" t="str">
        <f>VLOOKUP($B94,Sheet1!$A:$G,6,FALSE)</f>
        <v>-</v>
      </c>
      <c r="CC94" s="280">
        <f>VLOOKUP($B94,Sheet1!$A:$G,7,FALSE)</f>
        <v>0</v>
      </c>
      <c r="CD94" s="280" t="s">
        <v>871</v>
      </c>
      <c r="CE94" s="280" t="s">
        <v>863</v>
      </c>
    </row>
    <row r="95" spans="1:83" ht="19.5" hidden="1">
      <c r="A95" s="281">
        <v>130</v>
      </c>
      <c r="B95" s="281" t="s">
        <v>757</v>
      </c>
      <c r="C95" s="281" t="s">
        <v>20</v>
      </c>
      <c r="D95" s="281" t="s">
        <v>370</v>
      </c>
      <c r="E95" s="281">
        <v>25010029</v>
      </c>
      <c r="F95" s="281"/>
      <c r="G95" s="296" t="s">
        <v>1353</v>
      </c>
      <c r="H95" s="291" t="s">
        <v>884</v>
      </c>
      <c r="I95" s="281"/>
      <c r="J95" s="281" t="s">
        <v>176</v>
      </c>
      <c r="K95" s="281" t="s">
        <v>917</v>
      </c>
      <c r="L95" s="281" t="s">
        <v>918</v>
      </c>
      <c r="M95" s="283" t="str">
        <f>IF(L95="NJAD","AA",IF(L95="AA","L",IF(L95="L","LK","GB")))</f>
        <v>AA</v>
      </c>
      <c r="N95" s="282" t="s">
        <v>511</v>
      </c>
      <c r="O95" s="281">
        <v>0</v>
      </c>
      <c r="P95" s="281"/>
      <c r="Q95" s="284">
        <v>45870</v>
      </c>
      <c r="R95" s="281" t="str">
        <f ca="1">DATEDIF(Q95,TODAY(), "Y") &amp; " Tahun " &amp; DATEDIF(Q95, TODAY(), "YM") &amp; " Bulan"</f>
        <v>0 Tahun 5 Bulan</v>
      </c>
      <c r="S95" s="281" t="s">
        <v>511</v>
      </c>
      <c r="T95" s="282" t="s">
        <v>511</v>
      </c>
      <c r="U95" s="281" t="e">
        <f ca="1">DATEDIF(T95,TODAY(), "Y") &amp; " Tahun " &amp; DATEDIF(T95, TODAY(), "YM") &amp; " Bulan"</f>
        <v>#VALUE!</v>
      </c>
      <c r="V95" s="281" t="s">
        <v>966</v>
      </c>
      <c r="W95" s="281" t="s">
        <v>851</v>
      </c>
      <c r="X95" s="283" t="str">
        <f ca="1">IF(AND(OR(L95="AA",L95="L"),OR(S95="Penata Muda Tk. I Golongan III/b",S95="Penata Golongan III/c"),DATEDIF(Q95,TODAY(),"m")&gt;=23,ISBLANK(Z95),C95="Aktif"),"Nominasi Serdos","-")</f>
        <v>-</v>
      </c>
      <c r="Y95" s="281"/>
      <c r="Z95" s="282"/>
      <c r="AA95" s="295"/>
      <c r="AB95" s="281"/>
      <c r="AC95" s="282"/>
      <c r="AD95" s="281"/>
      <c r="AE95" s="281"/>
      <c r="AF95" s="281"/>
      <c r="AG95" s="281"/>
      <c r="AH95" s="281" t="s">
        <v>854</v>
      </c>
      <c r="AI95" s="281"/>
      <c r="AJ95" s="281"/>
      <c r="AK95" s="281"/>
      <c r="AM95" s="286">
        <v>45870</v>
      </c>
      <c r="AN95" s="287" t="str">
        <f ca="1">DATEDIF(AM95,TODAY(),"y")&amp;" tahun "&amp;DATEDIF(AM95,TODAY(),"ym")&amp;" bulan "</f>
        <v xml:space="preserve">0 tahun 5 bulan </v>
      </c>
      <c r="AO95" s="281"/>
      <c r="AP95" s="281"/>
      <c r="AQ95" s="281" t="s">
        <v>1354</v>
      </c>
      <c r="AR95" s="281" t="s">
        <v>1355</v>
      </c>
      <c r="AS95" s="281">
        <v>85321790627</v>
      </c>
      <c r="AT95" s="281" t="s">
        <v>1356</v>
      </c>
      <c r="AU95" s="281"/>
      <c r="AV95" s="281"/>
      <c r="AW95" s="281" t="str">
        <f>VLOOKUP(B95,Sheet2!A115:I232,9,FALSE)</f>
        <v>Salsabila Putri Indah Sari, S.T., M.T.</v>
      </c>
      <c r="AX95" s="281" t="s">
        <v>902</v>
      </c>
      <c r="AY95" s="281" t="str">
        <f>VLOOKUP(B95,Sheet2!A115:C232,2,FALSE)</f>
        <v>Cirebon</v>
      </c>
      <c r="AZ95" s="288">
        <f>VLOOKUP(B95,Sheet2!A115:C232,3,FALSE)</f>
        <v>36985</v>
      </c>
      <c r="BA95" s="281">
        <f ca="1">DATEDIF(AZ95, TODAY(),"y")</f>
        <v>24</v>
      </c>
      <c r="BB95" s="281"/>
      <c r="BC95" s="281"/>
      <c r="BD95" s="281"/>
      <c r="BE95" s="281"/>
      <c r="BF95" s="289"/>
      <c r="BG95" s="289"/>
      <c r="BH95" s="289"/>
      <c r="BI95" s="289"/>
      <c r="BJ95" s="289"/>
      <c r="BK95" s="289"/>
      <c r="BL95" s="288" t="s">
        <v>21</v>
      </c>
      <c r="BM95" s="281"/>
      <c r="BN95" s="281"/>
      <c r="BO95" s="281"/>
      <c r="BP95" s="281"/>
      <c r="BQ95" s="281"/>
      <c r="BR95" s="288"/>
      <c r="BS95" s="288" t="str">
        <f>VLOOKUP(B95,Sheet2!A115:F232,6,FALSE)</f>
        <v>SSP</v>
      </c>
      <c r="BT95" s="288" t="str">
        <f>VLOOKUP(B95,Sheet2!A115:G232,7,FALSE)</f>
        <v>Fakultas Rekayasa Industri</v>
      </c>
      <c r="BU95" s="288" t="s">
        <v>1357</v>
      </c>
      <c r="BW95" s="273"/>
    </row>
    <row r="96" spans="1:83" ht="19.5" hidden="1">
      <c r="A96" s="281">
        <v>74</v>
      </c>
      <c r="B96" s="281" t="s">
        <v>386</v>
      </c>
      <c r="C96" s="281" t="s">
        <v>20</v>
      </c>
      <c r="D96" s="281" t="s">
        <v>370</v>
      </c>
      <c r="E96" s="281">
        <v>22960010</v>
      </c>
      <c r="F96" s="281" t="s">
        <v>1127</v>
      </c>
      <c r="G96" s="282" t="s">
        <v>387</v>
      </c>
      <c r="H96" s="291" t="s">
        <v>884</v>
      </c>
      <c r="I96" s="281" t="s">
        <v>30</v>
      </c>
      <c r="J96" s="281" t="s">
        <v>176</v>
      </c>
      <c r="K96" s="281" t="s">
        <v>846</v>
      </c>
      <c r="L96" s="281" t="s">
        <v>847</v>
      </c>
      <c r="M96" s="283" t="str">
        <f>IF(L96="NJAD","AA",IF(L96="AA","L",IF(L96="L","LK","GB")))</f>
        <v>L</v>
      </c>
      <c r="N96" s="282" t="s">
        <v>511</v>
      </c>
      <c r="O96" s="281">
        <v>150</v>
      </c>
      <c r="P96" s="281" t="s">
        <v>1128</v>
      </c>
      <c r="Q96" s="284">
        <v>45444</v>
      </c>
      <c r="R96" s="281" t="str">
        <f ca="1">DATEDIF(Q96,TODAY(), "Y") &amp; " Tahun " &amp; DATEDIF(Q96, TODAY(), "YM") &amp; " Bulan"</f>
        <v>1 Tahun 7 Bulan</v>
      </c>
      <c r="S96" s="281" t="s">
        <v>849</v>
      </c>
      <c r="T96" s="285">
        <v>45717</v>
      </c>
      <c r="U96" s="281" t="str">
        <f ca="1">DATEDIF(T96,TODAY(), "Y") &amp; " Tahun " &amp; DATEDIF(T96, TODAY(), "YM") &amp; " Bulan"</f>
        <v>0 Tahun 10 Bulan</v>
      </c>
      <c r="V96" s="281" t="s">
        <v>966</v>
      </c>
      <c r="W96" s="281" t="s">
        <v>851</v>
      </c>
      <c r="X96" s="283" t="str">
        <f ca="1">IF(AND(OR(L96="AA",L96="L"),OR(S96="Penata Muda Tk. I Golongan III/b",S96="Penata Golongan III/c"),DATEDIF(Q96,TODAY(),"m")&gt;=23,ISBLANK(Z96),C96="Aktif"),"Nominasi Serdos","-")</f>
        <v>-</v>
      </c>
      <c r="Y96" s="281"/>
      <c r="Z96" s="282"/>
      <c r="AA96" s="281"/>
      <c r="AB96" s="281" t="s">
        <v>30</v>
      </c>
      <c r="AC96" s="282" t="s">
        <v>511</v>
      </c>
      <c r="AD96" s="281" t="s">
        <v>30</v>
      </c>
      <c r="AE96" s="281" t="s">
        <v>30</v>
      </c>
      <c r="AF96" s="281" t="s">
        <v>30</v>
      </c>
      <c r="AG96" s="281" t="s">
        <v>30</v>
      </c>
      <c r="AH96" s="281" t="s">
        <v>854</v>
      </c>
      <c r="AI96" s="281" t="s">
        <v>30</v>
      </c>
      <c r="AJ96" s="281" t="s">
        <v>30</v>
      </c>
      <c r="AK96" s="281" t="s">
        <v>30</v>
      </c>
      <c r="AM96" s="286">
        <v>44627</v>
      </c>
      <c r="AN96" s="287" t="str">
        <f ca="1">DATEDIF(AM96,TODAY(),"y")&amp;" tahun "&amp;DATEDIF(AM96,TODAY(),"ym")&amp;" bulan "</f>
        <v xml:space="preserve">3 tahun 10 bulan </v>
      </c>
      <c r="AO96" s="281" t="s">
        <v>868</v>
      </c>
      <c r="AP96" s="281" t="s">
        <v>968</v>
      </c>
      <c r="AQ96" s="281" t="s">
        <v>1129</v>
      </c>
      <c r="AR96" s="305" t="s">
        <v>388</v>
      </c>
      <c r="AS96" s="281">
        <v>82213601320</v>
      </c>
      <c r="AT96" s="281" t="s">
        <v>389</v>
      </c>
      <c r="AU96" s="281" t="s">
        <v>30</v>
      </c>
      <c r="AV96" s="281"/>
      <c r="AW96" s="281" t="str">
        <f>VLOOKUP(B96,Sheet2!A75:I192,9,FALSE)</f>
        <v>Silvi Istiqomah, S.T., M.T.</v>
      </c>
      <c r="AX96" s="281" t="s">
        <v>902</v>
      </c>
      <c r="AY96" s="281" t="str">
        <f>VLOOKUP(B96,Sheet2!A75:C192,2,FALSE)</f>
        <v>Sidoarjo</v>
      </c>
      <c r="AZ96" s="288">
        <f>VLOOKUP(B96,Sheet2!A75:C192,3,FALSE)</f>
        <v>35392</v>
      </c>
      <c r="BA96" s="281">
        <f ca="1">DATEDIF(AZ96, TODAY(),"y")</f>
        <v>29</v>
      </c>
      <c r="BB96" s="281"/>
      <c r="BC96" s="281"/>
      <c r="BD96" s="281"/>
      <c r="BE96" s="281"/>
      <c r="BF96" s="289"/>
      <c r="BG96" s="289"/>
      <c r="BH96" s="289"/>
      <c r="BI96" s="289"/>
      <c r="BJ96" s="289"/>
      <c r="BK96" s="289"/>
      <c r="BL96" s="288" t="str">
        <f>VLOOKUP(B96,Sheet2!A75:D192,4,FALSE)</f>
        <v>Dosen</v>
      </c>
      <c r="BM96" s="281"/>
      <c r="BN96" s="286"/>
      <c r="BO96" s="281"/>
      <c r="BP96" s="281"/>
      <c r="BQ96" s="281"/>
      <c r="BR96" s="288" t="str">
        <f>VLOOKUP(B96,Sheet2!A75:E192,5,FALSE)</f>
        <v>Enterprise and Industrial System (EINS)</v>
      </c>
      <c r="BS96" s="288" t="str">
        <f>VLOOKUP(B96,Sheet2!A75:F192,6,FALSE)</f>
        <v>CEO</v>
      </c>
      <c r="BT96" s="288" t="str">
        <f>VLOOKUP(B96,Sheet2!A75:G192,7,FALSE)</f>
        <v>Fakultas Rekayasa Industri</v>
      </c>
      <c r="BU96" s="288" t="str">
        <f>VLOOKUP(B96,Sheet2!A75:H192,8,FALSE)</f>
        <v>silviistiqomah@telkomuniversity.ac.id</v>
      </c>
      <c r="BV96" s="280">
        <f>COUNTIFS('Join TPA Dosen'!B:B,'Dosen sorted'!B75)</f>
        <v>1</v>
      </c>
      <c r="BW96" s="273" t="str">
        <f>DATEDIF(AM96,DATE(2026,1,1),"y")&amp;" tahun "&amp;DATEDIF(AM96,DATE(2026,1,1),"ym")&amp;" bulan "</f>
        <v xml:space="preserve">3 tahun 9 bulan </v>
      </c>
      <c r="BX96" s="280" t="str">
        <f>VLOOKUP($B96,Sheet1!$A:$G,2,FALSE)</f>
        <v>UNS</v>
      </c>
      <c r="BY96" s="280" t="str">
        <f>VLOOKUP($B96,Sheet1!$A:$G,3,FALSE)</f>
        <v>Teknik Industri</v>
      </c>
      <c r="BZ96" s="280" t="str">
        <f>VLOOKUP($B96,Sheet1!$A:$G,4,FALSE)</f>
        <v>UNS</v>
      </c>
      <c r="CA96" s="280" t="str">
        <f>VLOOKUP($B96,Sheet1!$A:$G,5,FALSE)</f>
        <v>Teknik Industri</v>
      </c>
      <c r="CB96" s="280" t="str">
        <f>VLOOKUP($B96,Sheet1!$A:$G,6,FALSE)</f>
        <v>-</v>
      </c>
      <c r="CC96" s="280">
        <f>VLOOKUP($B96,Sheet1!$A:$G,7,FALSE)</f>
        <v>0</v>
      </c>
      <c r="CD96" s="280" t="s">
        <v>871</v>
      </c>
      <c r="CE96" s="280" t="s">
        <v>863</v>
      </c>
    </row>
    <row r="97" spans="1:83" ht="19.5" hidden="1">
      <c r="A97" s="281">
        <v>10</v>
      </c>
      <c r="B97" s="281" t="s">
        <v>408</v>
      </c>
      <c r="C97" s="281" t="s">
        <v>20</v>
      </c>
      <c r="D97" s="281" t="s">
        <v>370</v>
      </c>
      <c r="E97" s="281">
        <v>19870002</v>
      </c>
      <c r="F97" s="281" t="s">
        <v>1211</v>
      </c>
      <c r="G97" s="282" t="s">
        <v>409</v>
      </c>
      <c r="H97" s="281" t="s">
        <v>845</v>
      </c>
      <c r="I97" s="281" t="s">
        <v>30</v>
      </c>
      <c r="J97" s="281" t="s">
        <v>162</v>
      </c>
      <c r="K97" s="281" t="s">
        <v>893</v>
      </c>
      <c r="L97" s="281" t="s">
        <v>775</v>
      </c>
      <c r="M97" s="283" t="str">
        <f>IF(L97="NJAD","AA",IF(L97="AA","L",IF(L97="L","LK","GB")))</f>
        <v>LK</v>
      </c>
      <c r="N97" s="281" t="s">
        <v>30</v>
      </c>
      <c r="O97" s="281">
        <v>200</v>
      </c>
      <c r="P97" s="281" t="s">
        <v>1212</v>
      </c>
      <c r="Q97" s="284">
        <v>45108</v>
      </c>
      <c r="R97" s="281" t="str">
        <f ca="1">DATEDIF(Q97,TODAY(), "Y") &amp; " Tahun " &amp; DATEDIF(Q97, TODAY(), "YM") &amp; " Bulan"</f>
        <v>2 Tahun 6 Bulan</v>
      </c>
      <c r="S97" s="281" t="s">
        <v>876</v>
      </c>
      <c r="T97" s="285">
        <v>45658</v>
      </c>
      <c r="U97" s="281" t="str">
        <f ca="1">DATEDIF(T97,TODAY(), "Y") &amp; " Tahun " &amp; DATEDIF(T97, TODAY(), "YM") &amp; " Bulan"</f>
        <v>1 Tahun 0 Bulan</v>
      </c>
      <c r="V97" s="281" t="s">
        <v>966</v>
      </c>
      <c r="W97" s="281" t="s">
        <v>851</v>
      </c>
      <c r="X97" s="283" t="str">
        <f ca="1">IF(AND(OR(L97="AA",L97="L"),OR(S97="Penata Muda Tk. I Golongan III/b",S97="Penata Golongan III/c"),DATEDIF(Q97,TODAY(),"m")&gt;=23,ISBLANK(Z97),C97="Aktif"),"Nominasi Serdos","-")</f>
        <v>-</v>
      </c>
      <c r="Y97" s="281"/>
      <c r="Z97" s="281" t="s">
        <v>852</v>
      </c>
      <c r="AA97" s="281">
        <v>22107201905183</v>
      </c>
      <c r="AB97" s="281" t="s">
        <v>1213</v>
      </c>
      <c r="AC97" s="285">
        <v>44846</v>
      </c>
      <c r="AD97" s="281" t="s">
        <v>30</v>
      </c>
      <c r="AE97" s="281" t="s">
        <v>30</v>
      </c>
      <c r="AF97" s="281" t="s">
        <v>30</v>
      </c>
      <c r="AG97" s="281" t="s">
        <v>30</v>
      </c>
      <c r="AH97" s="281" t="s">
        <v>854</v>
      </c>
      <c r="AI97" s="293" t="s">
        <v>855</v>
      </c>
      <c r="AJ97" s="293" t="s">
        <v>856</v>
      </c>
      <c r="AK97" s="281" t="s">
        <v>855</v>
      </c>
      <c r="AL97" s="293" t="s">
        <v>857</v>
      </c>
      <c r="AM97" s="286">
        <v>43101</v>
      </c>
      <c r="AN97" s="287" t="str">
        <f ca="1">DATEDIF(AM97,TODAY(),"y")&amp;" tahun "&amp;DATEDIF(AM97,TODAY(),"ym")&amp;" bulan "</f>
        <v xml:space="preserve">8 tahun 0 bulan </v>
      </c>
      <c r="AO97" s="281" t="s">
        <v>868</v>
      </c>
      <c r="AP97" s="281" t="s">
        <v>968</v>
      </c>
      <c r="AQ97" s="281" t="s">
        <v>1214</v>
      </c>
      <c r="AR97" s="281" t="s">
        <v>410</v>
      </c>
      <c r="AS97" s="281">
        <v>81217225716</v>
      </c>
      <c r="AT97" s="281" t="s">
        <v>411</v>
      </c>
      <c r="AU97" s="281" t="s">
        <v>30</v>
      </c>
      <c r="AV97" s="281"/>
      <c r="AW97" s="281" t="str">
        <f>VLOOKUP(B97,Sheet2!A11:I128,9,FALSE)</f>
        <v>Wahyu Andy Prastyabudi, S.Kom., M.Sc.</v>
      </c>
      <c r="AX97" s="281" t="s">
        <v>861</v>
      </c>
      <c r="AY97" s="281" t="str">
        <f>VLOOKUP(B97,Sheet2!A11:C128,2,FALSE)</f>
        <v>Madiun</v>
      </c>
      <c r="AZ97" s="288">
        <f>VLOOKUP(B97,Sheet2!A11:C128,3,FALSE)</f>
        <v>31812</v>
      </c>
      <c r="BA97" s="281">
        <f ca="1">DATEDIF(AZ97, TODAY(),"y")</f>
        <v>38</v>
      </c>
      <c r="BB97" s="281"/>
      <c r="BC97" s="281"/>
      <c r="BD97" s="281"/>
      <c r="BE97" s="281"/>
      <c r="BF97" s="289"/>
      <c r="BG97" s="289"/>
      <c r="BH97" s="289"/>
      <c r="BI97" s="289"/>
      <c r="BJ97" s="289"/>
      <c r="BK97" s="289"/>
      <c r="BL97" s="288" t="str">
        <f>VLOOKUP(B97,Sheet2!A11:D128,4,FALSE)</f>
        <v>Dosen</v>
      </c>
      <c r="BM97" s="281"/>
      <c r="BN97" s="281"/>
      <c r="BO97" s="281"/>
      <c r="BP97" s="281"/>
      <c r="BQ97" s="281"/>
      <c r="BR97" s="288" t="str">
        <f>VLOOKUP(B97,Sheet2!A11:E128,5,FALSE)</f>
        <v>Enterprise and Industrial System (EINS)</v>
      </c>
      <c r="BS97" s="288" t="str">
        <f>VLOOKUP(B97,Sheet2!A11:F128,6,FALSE)</f>
        <v>WAY</v>
      </c>
      <c r="BT97" s="288" t="str">
        <f>VLOOKUP(B97,Sheet2!A11:G128,7,FALSE)</f>
        <v>Fakultas Rekayasa Industri</v>
      </c>
      <c r="BU97" s="288" t="str">
        <f>VLOOKUP(B97,Sheet2!A11:H128,8,FALSE)</f>
        <v>wahyuandy@telkomuniversity.ac.id</v>
      </c>
      <c r="BV97" s="280">
        <f>COUNTIFS('Join TPA Dosen'!B:B,'Dosen sorted'!B119)</f>
        <v>1</v>
      </c>
      <c r="BW97" s="273" t="str">
        <f>DATEDIF(AM97,DATE(2026,1,1),"y")&amp;" tahun "&amp;DATEDIF(AM97,DATE(2026,1,1),"ym")&amp;" bulan "</f>
        <v xml:space="preserve">8 tahun 0 bulan </v>
      </c>
      <c r="BX97" s="280" t="str">
        <f>VLOOKUP($B97,Sheet1!$A:$G,2,FALSE)</f>
        <v>ITS</v>
      </c>
      <c r="BY97" s="280" t="str">
        <f>VLOOKUP($B97,Sheet1!$A:$G,3,FALSE)</f>
        <v>Sistem Informasi</v>
      </c>
      <c r="BZ97" s="280" t="str">
        <f>VLOOKUP($B97,Sheet1!$A:$G,4,FALSE)</f>
        <v>Pusan National Univ</v>
      </c>
      <c r="CA97" s="280" t="str">
        <f>VLOOKUP($B97,Sheet1!$A:$G,5,FALSE)</f>
        <v>Industrial Engineering</v>
      </c>
      <c r="CB97" s="280" t="str">
        <f>VLOOKUP($B97,Sheet1!$A:$G,6,FALSE)</f>
        <v>The Arctic University of Norway (UiT)</v>
      </c>
      <c r="CC97" s="280" t="str">
        <f>VLOOKUP($B97,Sheet1!$A:$G,7,FALSE)</f>
        <v>Industrial Engineering</v>
      </c>
      <c r="CD97" s="280" t="s">
        <v>871</v>
      </c>
      <c r="CE97" s="280" t="s">
        <v>863</v>
      </c>
    </row>
    <row r="98" spans="1:83" ht="19.5" hidden="1">
      <c r="A98" s="281">
        <v>30</v>
      </c>
      <c r="B98" s="281" t="s">
        <v>412</v>
      </c>
      <c r="C98" s="281" t="s">
        <v>20</v>
      </c>
      <c r="D98" s="281" t="s">
        <v>413</v>
      </c>
      <c r="E98" s="281">
        <v>20930033</v>
      </c>
      <c r="F98" s="281" t="s">
        <v>1261</v>
      </c>
      <c r="G98" s="282" t="s">
        <v>414</v>
      </c>
      <c r="H98" s="281" t="s">
        <v>845</v>
      </c>
      <c r="I98" s="281" t="s">
        <v>30</v>
      </c>
      <c r="J98" s="281" t="s">
        <v>354</v>
      </c>
      <c r="K98" s="281" t="s">
        <v>893</v>
      </c>
      <c r="L98" s="281" t="s">
        <v>775</v>
      </c>
      <c r="M98" s="283" t="str">
        <f>IF(L98="NJAD","AA",IF(L98="AA","L",IF(L98="L","LK","GB")))</f>
        <v>LK</v>
      </c>
      <c r="N98" s="282" t="s">
        <v>511</v>
      </c>
      <c r="O98" s="281">
        <v>200</v>
      </c>
      <c r="P98" s="281" t="s">
        <v>1262</v>
      </c>
      <c r="Q98" s="284">
        <v>44805</v>
      </c>
      <c r="R98" s="281" t="str">
        <f ca="1">DATEDIF(Q98,TODAY(), "Y") &amp; " Tahun " &amp; DATEDIF(Q98, TODAY(), "YM") &amp; " Bulan"</f>
        <v>3 Tahun 4 Bulan</v>
      </c>
      <c r="S98" s="281" t="s">
        <v>876</v>
      </c>
      <c r="T98" s="285">
        <v>45047</v>
      </c>
      <c r="U98" s="281" t="str">
        <f ca="1">DATEDIF(T98,TODAY(), "Y") &amp; " Tahun " &amp; DATEDIF(T98, TODAY(), "YM") &amp; " Bulan"</f>
        <v>2 Tahun 8 Bulan</v>
      </c>
      <c r="V98" s="281" t="s">
        <v>938</v>
      </c>
      <c r="W98" s="281" t="s">
        <v>851</v>
      </c>
      <c r="X98" s="283" t="str">
        <f ca="1">IF(AND(OR(L98="AA",L98="L"),OR(S98="Penata Muda Tk. I Golongan III/b",S98="Penata Golongan III/c"),DATEDIF(Q98,TODAY(),"m")&gt;=23,ISBLANK(Z98),C98="Aktif"),"Nominasi Serdos","-")</f>
        <v>-</v>
      </c>
      <c r="Y98" s="281"/>
      <c r="Z98" s="281" t="s">
        <v>852</v>
      </c>
      <c r="AA98" s="281">
        <v>22107201903879</v>
      </c>
      <c r="AB98" s="281" t="s">
        <v>1263</v>
      </c>
      <c r="AC98" s="285">
        <v>44846</v>
      </c>
      <c r="AD98" s="281" t="s">
        <v>30</v>
      </c>
      <c r="AE98" s="281" t="s">
        <v>30</v>
      </c>
      <c r="AF98" s="281" t="s">
        <v>30</v>
      </c>
      <c r="AG98" s="281" t="s">
        <v>30</v>
      </c>
      <c r="AH98" s="281" t="s">
        <v>854</v>
      </c>
      <c r="AI98" s="293" t="s">
        <v>855</v>
      </c>
      <c r="AJ98" s="293" t="s">
        <v>856</v>
      </c>
      <c r="AK98" s="281" t="s">
        <v>855</v>
      </c>
      <c r="AL98" s="293" t="s">
        <v>857</v>
      </c>
      <c r="AM98" s="286">
        <v>43282</v>
      </c>
      <c r="AN98" s="287" t="str">
        <f ca="1">DATEDIF(AM98,TODAY(),"y")&amp;" tahun "&amp;DATEDIF(AM98,TODAY(),"ym")&amp;" bulan "</f>
        <v xml:space="preserve">7 tahun 6 bulan </v>
      </c>
      <c r="AO98" s="281" t="s">
        <v>868</v>
      </c>
      <c r="AP98" s="281" t="s">
        <v>939</v>
      </c>
      <c r="AQ98" s="281" t="s">
        <v>1264</v>
      </c>
      <c r="AR98" s="281" t="s">
        <v>415</v>
      </c>
      <c r="AS98" s="281">
        <v>81241833022</v>
      </c>
      <c r="AT98" s="281" t="s">
        <v>416</v>
      </c>
      <c r="AU98" s="281" t="s">
        <v>30</v>
      </c>
      <c r="AV98" s="281"/>
      <c r="AW98" s="281" t="str">
        <f>VLOOKUP(B98,Sheet2!A31:I148,9,FALSE)</f>
        <v>Ardiansyah Al Farouq, S.ST., M.T.</v>
      </c>
      <c r="AX98" s="281" t="s">
        <v>861</v>
      </c>
      <c r="AY98" s="281" t="str">
        <f>VLOOKUP(B98,Sheet2!A31:C148,2,FALSE)</f>
        <v>Surabaya</v>
      </c>
      <c r="AZ98" s="288">
        <f>VLOOKUP(B98,Sheet2!A31:C148,3,FALSE)</f>
        <v>34014</v>
      </c>
      <c r="BA98" s="281">
        <f ca="1">DATEDIF(AZ98, TODAY(),"y")</f>
        <v>32</v>
      </c>
      <c r="BB98" s="281"/>
      <c r="BC98" s="281"/>
      <c r="BD98" s="281"/>
      <c r="BE98" s="281"/>
      <c r="BF98" s="289"/>
      <c r="BG98" s="289"/>
      <c r="BH98" s="289"/>
      <c r="BI98" s="289"/>
      <c r="BJ98" s="289"/>
      <c r="BK98" s="289"/>
      <c r="BL98" s="288" t="str">
        <f>VLOOKUP(B98,Sheet2!A31:D148,4,FALSE)</f>
        <v>Dosen</v>
      </c>
      <c r="BM98" s="281"/>
      <c r="BN98" s="281"/>
      <c r="BO98" s="281"/>
      <c r="BP98" s="281"/>
      <c r="BQ98" s="281"/>
      <c r="BR98" s="288" t="str">
        <f>VLOOKUP(B98,Sheet2!A31:E148,5,FALSE)</f>
        <v>Control, Elektronics, and Intelligent Systems (CEIS)</v>
      </c>
      <c r="BS98" s="288" t="str">
        <f>VLOOKUP(B98,Sheet2!A31:F148,6,FALSE)</f>
        <v>ADQ</v>
      </c>
      <c r="BT98" s="288" t="str">
        <f>VLOOKUP(B98,Sheet2!A31:G148,7,FALSE)</f>
        <v>Fakultas Teknik Elektro</v>
      </c>
      <c r="BU98" s="288" t="str">
        <f>VLOOKUP(B98,Sheet2!A31:H148,8,FALSE)</f>
        <v>farouq@telkomuniversity.ac.id</v>
      </c>
      <c r="BV98" s="280">
        <f>COUNTIFS('Join TPA Dosen'!B:B,'Dosen sorted'!B5)</f>
        <v>1</v>
      </c>
      <c r="BW98" s="273" t="str">
        <f>DATEDIF(AM98,DATE(2026,1,1),"y")&amp;" tahun "&amp;DATEDIF(AM98,DATE(2026,1,1),"ym")&amp;" bulan "</f>
        <v xml:space="preserve">7 tahun 6 bulan </v>
      </c>
      <c r="BX98" s="280" t="str">
        <f>VLOOKUP($B98,Sheet1!$A:$G,2,FALSE)</f>
        <v>PENS</v>
      </c>
      <c r="BY98" s="280" t="str">
        <f>VLOOKUP($B98,Sheet1!$A:$G,3,FALSE)</f>
        <v>Teknik Komputer</v>
      </c>
      <c r="BZ98" s="280" t="str">
        <f>VLOOKUP($B98,Sheet1!$A:$G,4,FALSE)</f>
        <v>PENS</v>
      </c>
      <c r="CA98" s="280" t="str">
        <f>VLOOKUP($B98,Sheet1!$A:$G,5,FALSE)</f>
        <v>Teknik Informatika dan Komputer</v>
      </c>
      <c r="CB98" s="280" t="str">
        <f>VLOOKUP($B98,Sheet1!$A:$G,6,FALSE)</f>
        <v>Ritsumeikan University</v>
      </c>
      <c r="CC98" s="280" t="str">
        <f>VLOOKUP($B98,Sheet1!$A:$G,7,FALSE)</f>
        <v>Information Science and Engineering</v>
      </c>
      <c r="CD98" s="280" t="s">
        <v>871</v>
      </c>
      <c r="CE98" s="280" t="s">
        <v>872</v>
      </c>
    </row>
    <row r="99" spans="1:83" ht="23.25" hidden="1" customHeight="1">
      <c r="A99" s="281">
        <v>60</v>
      </c>
      <c r="B99" s="281" t="s">
        <v>432</v>
      </c>
      <c r="C99" s="281" t="s">
        <v>46</v>
      </c>
      <c r="D99" s="281" t="s">
        <v>413</v>
      </c>
      <c r="E99" s="281">
        <v>23910011</v>
      </c>
      <c r="F99" s="281" t="s">
        <v>1270</v>
      </c>
      <c r="G99" s="281"/>
      <c r="H99" s="291" t="s">
        <v>884</v>
      </c>
      <c r="I99" s="281" t="s">
        <v>30</v>
      </c>
      <c r="J99" s="281" t="s">
        <v>354</v>
      </c>
      <c r="K99" s="281" t="s">
        <v>846</v>
      </c>
      <c r="L99" s="281" t="s">
        <v>847</v>
      </c>
      <c r="M99" s="283" t="str">
        <f>IF(L99="NJAD","AA",IF(L99="AA","L",IF(L99="L","LK","GB")))</f>
        <v>L</v>
      </c>
      <c r="N99" s="282" t="s">
        <v>511</v>
      </c>
      <c r="O99" s="281">
        <v>150</v>
      </c>
      <c r="P99" s="281" t="s">
        <v>1271</v>
      </c>
      <c r="Q99" s="284">
        <v>44044</v>
      </c>
      <c r="R99" s="281" t="str">
        <f ca="1">DATEDIF(Q99,TODAY(), "Y") &amp; " Tahun " &amp; DATEDIF(Q99, TODAY(), "YM") &amp; " Bulan"</f>
        <v>5 Tahun 5 Bulan</v>
      </c>
      <c r="S99" s="281" t="s">
        <v>849</v>
      </c>
      <c r="T99" s="285">
        <v>44256</v>
      </c>
      <c r="U99" s="281" t="str">
        <f ca="1">DATEDIF(T99,TODAY(), "Y") &amp; " Tahun " &amp; DATEDIF(T99, TODAY(), "YM") &amp; " Bulan"</f>
        <v>4 Tahun 10 Bulan</v>
      </c>
      <c r="V99" s="281" t="s">
        <v>938</v>
      </c>
      <c r="W99" s="281" t="s">
        <v>851</v>
      </c>
      <c r="X99" s="283" t="str">
        <f ca="1">IF(AND(OR(L99="AA",L99="L"),OR(S99="Penata Muda Tk. I Golongan III/b",S99="Penata Golongan III/c"),DATEDIF(Q99,TODAY(),"m")&gt;=23,ISBLANK(Z99),C99="Aktif"),"Nominasi Serdos","-")</f>
        <v>-</v>
      </c>
      <c r="Y99" s="281"/>
      <c r="Z99" s="281" t="s">
        <v>852</v>
      </c>
      <c r="AA99" s="290">
        <v>2.41072E+18</v>
      </c>
      <c r="AB99" s="281" t="s">
        <v>1272</v>
      </c>
      <c r="AC99" s="285">
        <v>45351</v>
      </c>
      <c r="AD99" s="281" t="s">
        <v>30</v>
      </c>
      <c r="AE99" s="281" t="s">
        <v>30</v>
      </c>
      <c r="AF99" s="281" t="s">
        <v>30</v>
      </c>
      <c r="AG99" s="281" t="s">
        <v>30</v>
      </c>
      <c r="AH99" s="281" t="s">
        <v>854</v>
      </c>
      <c r="AI99" s="281" t="s">
        <v>30</v>
      </c>
      <c r="AJ99" s="281" t="s">
        <v>30</v>
      </c>
      <c r="AK99" s="281" t="s">
        <v>30</v>
      </c>
      <c r="AM99" s="286">
        <v>44562</v>
      </c>
      <c r="AN99" s="287" t="str">
        <f ca="1">DATEDIF(AM99,TODAY(),"y")&amp;" tahun "&amp;DATEDIF(AM99,TODAY(),"ym")&amp;" bulan "</f>
        <v xml:space="preserve">4 tahun 0 bulan </v>
      </c>
      <c r="AO99" s="281" t="s">
        <v>868</v>
      </c>
      <c r="AP99" s="281" t="s">
        <v>939</v>
      </c>
      <c r="AQ99" s="281" t="s">
        <v>1273</v>
      </c>
      <c r="AR99" s="281" t="s">
        <v>433</v>
      </c>
      <c r="AS99" s="281">
        <v>82143778029</v>
      </c>
      <c r="AT99" s="281" t="s">
        <v>434</v>
      </c>
      <c r="AU99" s="281" t="s">
        <v>30</v>
      </c>
      <c r="AV99" s="281"/>
      <c r="AW99" s="281" t="str">
        <f>VLOOKUP(B99,Sheet2!A61:I178,9,FALSE)</f>
        <v>Aulia Rahma Annisa, S.ST., M.T.</v>
      </c>
      <c r="AX99" s="281" t="s">
        <v>902</v>
      </c>
      <c r="AY99" s="281" t="str">
        <f>VLOOKUP(B99,Sheet2!A61:C178,2,FALSE)</f>
        <v>Surabaya</v>
      </c>
      <c r="AZ99" s="288">
        <f>VLOOKUP(B99,Sheet2!A61:C178,3,FALSE)</f>
        <v>33392</v>
      </c>
      <c r="BA99" s="281">
        <f ca="1">DATEDIF(AZ99, TODAY(),"y")</f>
        <v>34</v>
      </c>
      <c r="BB99" s="281"/>
      <c r="BC99" s="281"/>
      <c r="BD99" s="281"/>
      <c r="BE99" s="281"/>
      <c r="BF99" s="289"/>
      <c r="BG99" s="289"/>
      <c r="BH99" s="289"/>
      <c r="BI99" s="304"/>
      <c r="BJ99" s="304"/>
      <c r="BK99" s="304"/>
      <c r="BL99" s="288" t="str">
        <f>VLOOKUP(B99,Sheet2!A61:D178,4,FALSE)</f>
        <v>Dosen</v>
      </c>
      <c r="BM99" s="281"/>
      <c r="BN99" s="281"/>
      <c r="BO99" s="281"/>
      <c r="BP99" s="281"/>
      <c r="BQ99" s="281"/>
      <c r="BR99" s="288" t="str">
        <f>VLOOKUP(B99,Sheet2!A61:E178,5,FALSE)</f>
        <v>Control, Elektronics, and Intelligent Systems (CEIS)</v>
      </c>
      <c r="BS99" s="288" t="str">
        <f>VLOOKUP(B99,Sheet2!A61:F178,6,FALSE)</f>
        <v>AUV</v>
      </c>
      <c r="BT99" s="288" t="str">
        <f>VLOOKUP(B99,Sheet2!A61:G178,7,FALSE)</f>
        <v>Fakultas Teknik Elektro</v>
      </c>
      <c r="BU99" s="288" t="str">
        <f>VLOOKUP(B99,Sheet2!A61:H178,8,FALSE)</f>
        <v>auliannisa@telkomuniversity.ac.id</v>
      </c>
      <c r="BV99" s="280">
        <f>COUNTIFS('Join TPA Dosen'!B:B,'Dosen sorted'!B61)</f>
        <v>1</v>
      </c>
      <c r="BW99" s="273" t="str">
        <f>DATEDIF(AM99,DATE(2026,1,1),"y")&amp;" tahun "&amp;DATEDIF(AM99,DATE(2026,1,1),"ym")&amp;" bulan "</f>
        <v xml:space="preserve">4 tahun 0 bulan </v>
      </c>
      <c r="BX99" s="280" t="str">
        <f>VLOOKUP($B99,Sheet1!$A:$G,2,FALSE)</f>
        <v>PENS</v>
      </c>
      <c r="BY99" s="280" t="str">
        <f>VLOOKUP($B99,Sheet1!$A:$G,3,FALSE)</f>
        <v>Teknik Elektronika</v>
      </c>
      <c r="BZ99" s="280" t="str">
        <f>VLOOKUP($B99,Sheet1!$A:$G,4,FALSE)</f>
        <v>ITS</v>
      </c>
      <c r="CA99" s="280" t="str">
        <f>VLOOKUP($B99,Sheet1!$A:$G,5,FALSE)</f>
        <v>Teknik Elektro</v>
      </c>
      <c r="CB99" s="280" t="str">
        <f>VLOOKUP($B99,Sheet1!$A:$G,6,FALSE)</f>
        <v>-</v>
      </c>
      <c r="CC99" s="280">
        <f>VLOOKUP($B99,Sheet1!$A:$G,7,FALSE)</f>
        <v>0</v>
      </c>
      <c r="CD99" s="280" t="e">
        <v>#N/A</v>
      </c>
      <c r="CE99" s="280" t="e">
        <v>#N/A</v>
      </c>
    </row>
    <row r="100" spans="1:83" ht="19.5" hidden="1">
      <c r="A100" s="281">
        <v>105</v>
      </c>
      <c r="B100" s="281" t="s">
        <v>442</v>
      </c>
      <c r="C100" s="281" t="s">
        <v>20</v>
      </c>
      <c r="D100" s="281" t="s">
        <v>413</v>
      </c>
      <c r="E100" s="281">
        <v>23910008</v>
      </c>
      <c r="F100" s="291" t="s">
        <v>1252</v>
      </c>
      <c r="G100" s="296" t="s">
        <v>443</v>
      </c>
      <c r="H100" s="291" t="s">
        <v>884</v>
      </c>
      <c r="I100" s="295" t="s">
        <v>30</v>
      </c>
      <c r="J100" s="281" t="s">
        <v>444</v>
      </c>
      <c r="K100" s="281" t="s">
        <v>846</v>
      </c>
      <c r="L100" s="281" t="s">
        <v>847</v>
      </c>
      <c r="M100" s="283" t="str">
        <f>IF(L100="NJAD","AA",IF(L100="AA","L",IF(L100="L","LK","GB")))</f>
        <v>L</v>
      </c>
      <c r="N100" s="282" t="s">
        <v>511</v>
      </c>
      <c r="O100" s="281">
        <v>150</v>
      </c>
      <c r="P100" s="281" t="s">
        <v>1253</v>
      </c>
      <c r="Q100" s="284">
        <v>45870</v>
      </c>
      <c r="R100" s="281" t="str">
        <f ca="1">DATEDIF(Q100,TODAY(), "Y") &amp; " Tahun " &amp; DATEDIF(Q100, TODAY(), "YM") &amp; " Bulan"</f>
        <v>0 Tahun 5 Bulan</v>
      </c>
      <c r="S100" s="281" t="s">
        <v>849</v>
      </c>
      <c r="T100" s="285">
        <v>45992</v>
      </c>
      <c r="U100" s="281" t="str">
        <f ca="1">DATEDIF(T100,TODAY(), "Y") &amp; " Tahun " &amp; DATEDIF(T100, TODAY(), "YM") &amp; " Bulan"</f>
        <v>0 Tahun 1 Bulan</v>
      </c>
      <c r="V100" s="281" t="s">
        <v>1254</v>
      </c>
      <c r="W100" s="281" t="s">
        <v>851</v>
      </c>
      <c r="X100" s="283" t="str">
        <f ca="1">IF(AND(OR(L100="AA",L100="L"),OR(S100="Penata Muda Tk. I Golongan III/b",S100="Penata Golongan III/c"),DATEDIF(Q100,TODAY(),"m")&gt;=23,ISBLANK(Z100),C100="Aktif"),"Nominasi Serdos","-")</f>
        <v>-</v>
      </c>
      <c r="Y100" s="281"/>
      <c r="Z100" s="297"/>
      <c r="AA100" s="297"/>
      <c r="AB100" s="295" t="s">
        <v>30</v>
      </c>
      <c r="AC100" s="297" t="s">
        <v>511</v>
      </c>
      <c r="AD100" s="281" t="s">
        <v>30</v>
      </c>
      <c r="AE100" s="281" t="s">
        <v>30</v>
      </c>
      <c r="AF100" s="281" t="s">
        <v>30</v>
      </c>
      <c r="AG100" s="281" t="s">
        <v>30</v>
      </c>
      <c r="AH100" s="281" t="s">
        <v>854</v>
      </c>
      <c r="AI100" s="295" t="s">
        <v>30</v>
      </c>
      <c r="AJ100" s="295" t="s">
        <v>30</v>
      </c>
      <c r="AK100" s="295" t="s">
        <v>30</v>
      </c>
      <c r="AM100" s="286">
        <v>45170</v>
      </c>
      <c r="AN100" s="287" t="str">
        <f ca="1">DATEDIF(AM100,TODAY(),"y")&amp;" tahun "&amp;DATEDIF(AM100,TODAY(),"ym")&amp;" bulan "</f>
        <v xml:space="preserve">2 tahun 4 bulan </v>
      </c>
      <c r="AO100" s="281" t="s">
        <v>868</v>
      </c>
      <c r="AP100" s="281" t="s">
        <v>939</v>
      </c>
      <c r="AQ100" s="281" t="s">
        <v>1255</v>
      </c>
      <c r="AR100" s="281" t="s">
        <v>445</v>
      </c>
      <c r="AS100" s="281">
        <v>81945944686</v>
      </c>
      <c r="AT100" s="281" t="s">
        <v>446</v>
      </c>
      <c r="AU100" s="281" t="s">
        <v>1256</v>
      </c>
      <c r="AV100" s="281"/>
      <c r="AW100" s="281" t="str">
        <f>VLOOKUP(B100,Sheet2!A106:I223,9,FALSE)</f>
        <v>Eka Sari Oktarina, S.Kom., M.Eng.</v>
      </c>
      <c r="AX100" s="281" t="s">
        <v>902</v>
      </c>
      <c r="AY100" s="281" t="str">
        <f>VLOOKUP(B100,Sheet2!A106:C223,2,FALSE)</f>
        <v>Malang</v>
      </c>
      <c r="AZ100" s="288">
        <f>VLOOKUP(B100,Sheet2!A106:C223,3,FALSE)</f>
        <v>33515</v>
      </c>
      <c r="BA100" s="281">
        <f ca="1">DATEDIF(AZ100, TODAY(),"y")</f>
        <v>34</v>
      </c>
      <c r="BB100" s="281"/>
      <c r="BC100" s="281"/>
      <c r="BD100" s="281"/>
      <c r="BE100" s="281"/>
      <c r="BF100" s="289"/>
      <c r="BG100" s="289"/>
      <c r="BH100" s="289"/>
      <c r="BI100" s="289"/>
      <c r="BJ100" s="289"/>
      <c r="BK100" s="289"/>
      <c r="BL100" s="288" t="s">
        <v>1153</v>
      </c>
      <c r="BM100" s="281"/>
      <c r="BN100" s="281"/>
      <c r="BO100" s="281"/>
      <c r="BP100" s="281"/>
      <c r="BQ100" s="281"/>
      <c r="BR100" s="288" t="str">
        <f>VLOOKUP(B100,Sheet2!A106:E223,5,FALSE)</f>
        <v>Control, Elektronics, and Intelligent Systems (CEIS)</v>
      </c>
      <c r="BS100" s="288" t="str">
        <f>VLOOKUP(B100,Sheet2!A106:F223,6,FALSE)</f>
        <v>ORN</v>
      </c>
      <c r="BT100" s="288" t="str">
        <f>VLOOKUP(B100,Sheet2!A106:G223,7,FALSE)</f>
        <v>Fakultas Teknik Elektro</v>
      </c>
      <c r="BU100" s="288" t="str">
        <f>VLOOKUP(B100,Sheet2!A106:H223,8,FALSE)</f>
        <v>ekasario@telkomuniversity.ac.id</v>
      </c>
      <c r="BV100" s="280">
        <f>COUNTIFS('Join TPA Dosen'!B:B,'Dosen sorted'!B106)</f>
        <v>1</v>
      </c>
      <c r="BW100" s="273" t="str">
        <f>DATEDIF(AM100,DATE(2026,1,1),"y")&amp;" tahun "&amp;DATEDIF(AM100,DATE(2026,1,1),"ym")&amp;" bulan "</f>
        <v xml:space="preserve">2 tahun 4 bulan </v>
      </c>
      <c r="BX100" s="280" t="str">
        <f>VLOOKUP($B100,Sheet1!$A:$G,2,FALSE)</f>
        <v>STIKOM</v>
      </c>
      <c r="BY100" s="280" t="str">
        <f>VLOOKUP($B100,Sheet1!$A:$G,3,FALSE)</f>
        <v>Sistem Komputer</v>
      </c>
      <c r="BZ100" s="280" t="str">
        <f>VLOOKUP($B100,Sheet1!$A:$G,4,FALSE)</f>
        <v>UGM</v>
      </c>
      <c r="CA100" s="280" t="str">
        <f>VLOOKUP($B100,Sheet1!$A:$G,5,FALSE)</f>
        <v>Teknik Elektro</v>
      </c>
      <c r="CB100" s="280">
        <f>VLOOKUP($B100,Sheet1!$A:$G,6,FALSE)</f>
        <v>0</v>
      </c>
      <c r="CC100" s="280">
        <f>VLOOKUP($B100,Sheet1!$A:$G,7,FALSE)</f>
        <v>0</v>
      </c>
      <c r="CD100" s="280" t="s">
        <v>862</v>
      </c>
      <c r="CE100" s="280" t="s">
        <v>872</v>
      </c>
    </row>
    <row r="101" spans="1:83" ht="19.5" hidden="1" customHeight="1">
      <c r="A101" s="281">
        <v>137</v>
      </c>
      <c r="B101" s="281" t="s">
        <v>606</v>
      </c>
      <c r="C101" s="281" t="s">
        <v>20</v>
      </c>
      <c r="D101" s="281" t="s">
        <v>413</v>
      </c>
      <c r="E101" s="281" t="s">
        <v>607</v>
      </c>
      <c r="F101" s="281"/>
      <c r="G101" s="282" t="s">
        <v>1392</v>
      </c>
      <c r="H101" s="291" t="s">
        <v>845</v>
      </c>
      <c r="I101" s="281"/>
      <c r="J101" s="281" t="s">
        <v>176</v>
      </c>
      <c r="K101" s="281" t="s">
        <v>917</v>
      </c>
      <c r="L101" s="281" t="s">
        <v>918</v>
      </c>
      <c r="M101" s="283" t="str">
        <f>IF(L101="NJAD","AA",IF(L101="AA","L",IF(L101="L","LK","GB")))</f>
        <v>AA</v>
      </c>
      <c r="N101" s="282" t="s">
        <v>511</v>
      </c>
      <c r="O101" s="281">
        <v>0</v>
      </c>
      <c r="P101" s="281"/>
      <c r="Q101" s="284">
        <v>45992</v>
      </c>
      <c r="R101" s="281" t="str">
        <f ca="1">DATEDIF(Q101,TODAY(), "Y") &amp; " Tahun " &amp; DATEDIF(Q101, TODAY(), "YM") &amp; " Bulan"</f>
        <v>0 Tahun 1 Bulan</v>
      </c>
      <c r="S101" s="281" t="s">
        <v>511</v>
      </c>
      <c r="T101" s="282" t="s">
        <v>511</v>
      </c>
      <c r="U101" s="281" t="e">
        <f ca="1">DATEDIF(T101,TODAY(), "Y") &amp; " Tahun " &amp; DATEDIF(T101, TODAY(), "YM") &amp; " Bulan"</f>
        <v>#VALUE!</v>
      </c>
      <c r="V101" s="281" t="s">
        <v>1254</v>
      </c>
      <c r="W101" s="281" t="s">
        <v>851</v>
      </c>
      <c r="X101" s="283"/>
      <c r="Y101" s="281"/>
      <c r="Z101" s="281"/>
      <c r="AA101" s="295"/>
      <c r="AB101" s="281"/>
      <c r="AC101" s="281"/>
      <c r="AD101" s="281"/>
      <c r="AE101" s="281"/>
      <c r="AF101" s="281"/>
      <c r="AG101" s="281"/>
      <c r="AH101" s="281" t="s">
        <v>854</v>
      </c>
      <c r="AI101" s="281"/>
      <c r="AJ101" s="281"/>
      <c r="AK101" s="281"/>
      <c r="AM101" s="286">
        <v>45992</v>
      </c>
      <c r="AN101" s="287" t="str">
        <f ca="1">DATEDIF(AM101,TODAY(),"y")&amp;" tahun "&amp;DATEDIF(AM101,TODAY(),"ym")&amp;" bulan "</f>
        <v xml:space="preserve">0 tahun 1 bulan </v>
      </c>
      <c r="AO101" s="281"/>
      <c r="AP101" s="281"/>
      <c r="AQ101" s="281" t="s">
        <v>1393</v>
      </c>
      <c r="AR101" s="281"/>
      <c r="AS101" s="281"/>
      <c r="AT101" s="281"/>
      <c r="AU101" s="281"/>
      <c r="AV101" s="281"/>
      <c r="AW101" s="281" t="e">
        <f>VLOOKUP(B101,Sheet2!A117:I234,9,FALSE)</f>
        <v>#N/A</v>
      </c>
      <c r="AX101" s="281" t="s">
        <v>902</v>
      </c>
      <c r="AY101" s="281" t="e">
        <f>VLOOKUP(B101,Sheet2!A117:C234,2,FALSE)</f>
        <v>#N/A</v>
      </c>
      <c r="AZ101" s="288" t="e">
        <f>VLOOKUP(B101,Sheet2!A117:C234,3,FALSE)</f>
        <v>#N/A</v>
      </c>
      <c r="BA101" s="281" t="e">
        <f ca="1">DATEDIF(AZ101, TODAY(),"y")</f>
        <v>#N/A</v>
      </c>
      <c r="BB101" s="281"/>
      <c r="BC101" s="281"/>
      <c r="BD101" s="281"/>
      <c r="BE101" s="281"/>
      <c r="BF101" s="289"/>
      <c r="BG101" s="289"/>
      <c r="BH101" s="289"/>
      <c r="BI101" s="289"/>
      <c r="BJ101" s="289"/>
      <c r="BK101" s="289"/>
      <c r="BL101" s="288" t="s">
        <v>21</v>
      </c>
      <c r="BM101" s="281"/>
      <c r="BN101" s="281"/>
      <c r="BO101" s="281"/>
      <c r="BP101" s="281"/>
      <c r="BQ101" s="281"/>
      <c r="BR101" s="288"/>
      <c r="BS101" s="281" t="s">
        <v>1393</v>
      </c>
      <c r="BT101" s="288"/>
      <c r="BU101" s="288"/>
      <c r="BV101" s="280">
        <f>COUNTIFS('Join TPA Dosen'!B:B,'Dosen sorted'!B112)</f>
        <v>1</v>
      </c>
      <c r="BW101" s="273" t="str">
        <f>DATEDIF(AM101,DATE(2026,1,1),"y")&amp;" tahun "&amp;DATEDIF(AM101,DATE(2026,1,1),"ym")&amp;" bulan "</f>
        <v xml:space="preserve">0 tahun 1 bulan </v>
      </c>
    </row>
    <row r="102" spans="1:83" ht="19.5" hidden="1">
      <c r="A102" s="281">
        <v>17</v>
      </c>
      <c r="B102" s="281" t="s">
        <v>417</v>
      </c>
      <c r="C102" s="281" t="s">
        <v>20</v>
      </c>
      <c r="D102" s="281" t="s">
        <v>413</v>
      </c>
      <c r="E102" s="281">
        <v>17910092</v>
      </c>
      <c r="F102" s="281" t="s">
        <v>936</v>
      </c>
      <c r="G102" s="282" t="s">
        <v>418</v>
      </c>
      <c r="H102" s="291" t="s">
        <v>884</v>
      </c>
      <c r="I102" s="281" t="s">
        <v>30</v>
      </c>
      <c r="J102" s="281" t="s">
        <v>419</v>
      </c>
      <c r="K102" s="281" t="s">
        <v>937</v>
      </c>
      <c r="L102" s="281" t="s">
        <v>918</v>
      </c>
      <c r="M102" s="283" t="str">
        <f>IF(L102="NJAD","AA",IF(L102="AA","L",IF(L102="L","LK","GB")))</f>
        <v>AA</v>
      </c>
      <c r="N102" s="282" t="s">
        <v>511</v>
      </c>
      <c r="O102" s="281">
        <v>0</v>
      </c>
      <c r="P102" s="281" t="s">
        <v>30</v>
      </c>
      <c r="Q102" s="284">
        <v>43101</v>
      </c>
      <c r="R102" s="281" t="str">
        <f ca="1">DATEDIF(Q102,TODAY(), "Y") &amp; " Tahun " &amp; DATEDIF(Q102, TODAY(), "YM") &amp; " Bulan"</f>
        <v>8 Tahun 0 Bulan</v>
      </c>
      <c r="S102" s="282" t="s">
        <v>511</v>
      </c>
      <c r="T102" s="282" t="s">
        <v>511</v>
      </c>
      <c r="U102" s="281" t="e">
        <f ca="1">DATEDIF(T102,TODAY(), "Y") &amp; " Tahun " &amp; DATEDIF(T102, TODAY(), "YM") &amp; " Bulan"</f>
        <v>#VALUE!</v>
      </c>
      <c r="V102" s="281" t="s">
        <v>938</v>
      </c>
      <c r="W102" s="281" t="s">
        <v>851</v>
      </c>
      <c r="X102" s="283" t="str">
        <f ca="1">IF(AND(OR(L102="AA",L102="L"),OR(S102="Penata Muda Tk. I Golongan III/b",S102="Penata Golongan III/c"),DATEDIF(Q102,TODAY(),"m")&gt;=23,ISBLANK(Z102),C102="Aktif"),"Nominasi Serdos","-")</f>
        <v>-</v>
      </c>
      <c r="Y102" s="281"/>
      <c r="Z102" s="282"/>
      <c r="AA102" s="281"/>
      <c r="AB102" s="281" t="s">
        <v>30</v>
      </c>
      <c r="AC102" s="282" t="s">
        <v>511</v>
      </c>
      <c r="AD102" s="281" t="s">
        <v>30</v>
      </c>
      <c r="AE102" s="281" t="s">
        <v>30</v>
      </c>
      <c r="AF102" s="281" t="s">
        <v>30</v>
      </c>
      <c r="AG102" s="281" t="s">
        <v>30</v>
      </c>
      <c r="AH102" s="281" t="s">
        <v>879</v>
      </c>
      <c r="AI102" s="281" t="s">
        <v>30</v>
      </c>
      <c r="AJ102" s="281" t="s">
        <v>30</v>
      </c>
      <c r="AK102" s="281" t="s">
        <v>30</v>
      </c>
      <c r="AM102" s="286">
        <v>43101</v>
      </c>
      <c r="AN102" s="287" t="str">
        <f ca="1">DATEDIF(AM102,TODAY(),"y")&amp;" tahun "&amp;DATEDIF(AM102,TODAY(),"ym")&amp;" bulan "</f>
        <v xml:space="preserve">8 tahun 0 bulan </v>
      </c>
      <c r="AO102" s="281" t="s">
        <v>868</v>
      </c>
      <c r="AP102" s="281" t="s">
        <v>939</v>
      </c>
      <c r="AQ102" s="281" t="s">
        <v>940</v>
      </c>
      <c r="AR102" s="281" t="s">
        <v>420</v>
      </c>
      <c r="AS102" s="281">
        <v>81226595253</v>
      </c>
      <c r="AT102" s="281" t="s">
        <v>421</v>
      </c>
      <c r="AU102" s="281" t="s">
        <v>30</v>
      </c>
      <c r="AV102" s="281"/>
      <c r="AW102" s="281" t="str">
        <f>VLOOKUP(B102,Sheet2!A18:I135,9,FALSE)</f>
        <v>Mohamad Yani, S.ST., M.Phil., Ph.D.</v>
      </c>
      <c r="AX102" s="281" t="s">
        <v>861</v>
      </c>
      <c r="AY102" s="281" t="str">
        <f>VLOOKUP(B102,Sheet2!A18:C135,2,FALSE)</f>
        <v>Surabaya</v>
      </c>
      <c r="AZ102" s="288">
        <f>VLOOKUP(B102,Sheet2!A18:C135,3,FALSE)</f>
        <v>33250</v>
      </c>
      <c r="BA102" s="281">
        <f ca="1">DATEDIF(AZ102, TODAY(),"y")</f>
        <v>35</v>
      </c>
      <c r="BB102" s="281"/>
      <c r="BC102" s="281"/>
      <c r="BD102" s="281"/>
      <c r="BE102" s="281"/>
      <c r="BF102" s="289"/>
      <c r="BG102" s="289"/>
      <c r="BH102" s="289"/>
      <c r="BI102" s="304"/>
      <c r="BJ102" s="304"/>
      <c r="BK102" s="304"/>
      <c r="BL102" s="288" t="str">
        <f>VLOOKUP(B102,Sheet2!A18:D135,4,FALSE)</f>
        <v>Dosen</v>
      </c>
      <c r="BM102" s="281"/>
      <c r="BN102" s="281"/>
      <c r="BO102" s="281"/>
      <c r="BP102" s="281"/>
      <c r="BQ102" s="281"/>
      <c r="BR102" s="288" t="str">
        <f>VLOOKUP(B102,Sheet2!A18:E135,5,FALSE)</f>
        <v>Control, Elektronics, and Intelligent Systems (CEIS)</v>
      </c>
      <c r="BS102" s="288" t="str">
        <f>VLOOKUP(B102,Sheet2!A18:F135,6,FALSE)</f>
        <v>MIX</v>
      </c>
      <c r="BT102" s="288" t="str">
        <f>VLOOKUP(B102,Sheet2!A18:G135,7,FALSE)</f>
        <v>Fakultas Teknik Elektro</v>
      </c>
      <c r="BU102" s="288" t="str">
        <f>VLOOKUP(B102,Sheet2!A18:H135,8,FALSE)</f>
        <v>mohamadyani@telkomuniversity.ac.id</v>
      </c>
      <c r="BV102" s="280">
        <f>COUNTIFS('Join TPA Dosen'!B:B,'Dosen sorted'!B18)</f>
        <v>1</v>
      </c>
      <c r="BW102" s="273" t="str">
        <f>DATEDIF(AM102,DATE(2026,1,1),"y")&amp;" tahun "&amp;DATEDIF(AM102,DATE(2026,1,1),"ym")&amp;" bulan "</f>
        <v xml:space="preserve">8 tahun 0 bulan </v>
      </c>
      <c r="BX102" s="280" t="str">
        <f>VLOOKUP($B102,Sheet1!$A:$G,2,FALSE)</f>
        <v>PENS</v>
      </c>
      <c r="BY102" s="280" t="str">
        <f>VLOOKUP($B102,Sheet1!$A:$G,3,FALSE)</f>
        <v>Mechatronics Engineering</v>
      </c>
      <c r="BZ102" s="280" t="str">
        <f>VLOOKUP($B102,Sheet1!$A:$G,4,FALSE)</f>
        <v>Universiti Teknologi Malaysia</v>
      </c>
      <c r="CA102" s="280" t="str">
        <f>VLOOKUP($B102,Sheet1!$A:$G,5,FALSE)</f>
        <v>Teknik Elektro</v>
      </c>
      <c r="CB102" s="280" t="str">
        <f>VLOOKUP($B102,Sheet1!$A:$G,6,FALSE)</f>
        <v>Tokyo Metropolitan University</v>
      </c>
      <c r="CC102" s="280" t="str">
        <f>VLOOKUP($B102,Sheet1!$A:$G,7,FALSE)</f>
        <v>Mechanical Systems Engineering</v>
      </c>
      <c r="CD102" s="280" t="s">
        <v>862</v>
      </c>
      <c r="CE102" s="280" t="s">
        <v>872</v>
      </c>
    </row>
    <row r="103" spans="1:83" ht="19.5" hidden="1">
      <c r="A103" s="281">
        <v>77</v>
      </c>
      <c r="B103" s="281" t="s">
        <v>435</v>
      </c>
      <c r="C103" s="281" t="s">
        <v>46</v>
      </c>
      <c r="D103" s="281" t="s">
        <v>413</v>
      </c>
      <c r="E103" s="302">
        <v>22930046</v>
      </c>
      <c r="F103" s="302" t="s">
        <v>1274</v>
      </c>
      <c r="G103" s="302"/>
      <c r="H103" s="291" t="s">
        <v>884</v>
      </c>
      <c r="I103" s="302" t="s">
        <v>30</v>
      </c>
      <c r="J103" s="302" t="s">
        <v>176</v>
      </c>
      <c r="K103" s="302" t="s">
        <v>846</v>
      </c>
      <c r="L103" s="302" t="s">
        <v>847</v>
      </c>
      <c r="M103" s="283" t="str">
        <f>IF(L103="NJAD","AA",IF(L103="AA","L",IF(L103="L","LK","GB")))</f>
        <v>L</v>
      </c>
      <c r="N103" s="309" t="s">
        <v>511</v>
      </c>
      <c r="O103" s="302">
        <v>150</v>
      </c>
      <c r="P103" s="302" t="s">
        <v>30</v>
      </c>
      <c r="Q103" s="310">
        <v>44349</v>
      </c>
      <c r="R103" s="281" t="str">
        <f ca="1">DATEDIF(Q103,TODAY(), "Y") &amp; " Tahun " &amp; DATEDIF(Q103, TODAY(), "YM") &amp; " Bulan"</f>
        <v>4 Tahun 7 Bulan</v>
      </c>
      <c r="S103" s="311" t="s">
        <v>511</v>
      </c>
      <c r="T103" s="311" t="s">
        <v>511</v>
      </c>
      <c r="U103" s="281" t="e">
        <f ca="1">DATEDIF(T103,TODAY(), "Y") &amp; " Tahun " &amp; DATEDIF(T103, TODAY(), "YM") &amp; " Bulan"</f>
        <v>#VALUE!</v>
      </c>
      <c r="V103" s="302" t="s">
        <v>938</v>
      </c>
      <c r="W103" s="302" t="s">
        <v>851</v>
      </c>
      <c r="X103" s="283" t="str">
        <f ca="1">IF(AND(OR(L103="AA",L103="L"),OR(S103="Penata Muda Tk. I Golongan III/b",S103="Penata Golongan III/c"),DATEDIF(Q103,TODAY(),"m")&gt;=23,ISBLANK(Z103),C103="Aktif"),"Nominasi Serdos","-")</f>
        <v>-</v>
      </c>
      <c r="Y103" s="281"/>
      <c r="Z103" s="311"/>
      <c r="AA103" s="302"/>
      <c r="AB103" s="302" t="s">
        <v>30</v>
      </c>
      <c r="AC103" s="311" t="s">
        <v>511</v>
      </c>
      <c r="AD103" s="302" t="s">
        <v>30</v>
      </c>
      <c r="AE103" s="302" t="s">
        <v>30</v>
      </c>
      <c r="AF103" s="302" t="s">
        <v>30</v>
      </c>
      <c r="AG103" s="302" t="s">
        <v>30</v>
      </c>
      <c r="AH103" s="302" t="s">
        <v>854</v>
      </c>
      <c r="AI103" s="302" t="s">
        <v>30</v>
      </c>
      <c r="AJ103" s="302" t="s">
        <v>30</v>
      </c>
      <c r="AK103" s="302" t="s">
        <v>30</v>
      </c>
      <c r="AM103" s="303">
        <v>44832</v>
      </c>
      <c r="AN103" s="287" t="str">
        <f ca="1">DATEDIF(AM103,TODAY(),"y")&amp;" tahun "&amp;DATEDIF(AM103,TODAY(),"ym")&amp;" bulan "</f>
        <v xml:space="preserve">3 tahun 3 bulan </v>
      </c>
      <c r="AO103" s="302" t="s">
        <v>868</v>
      </c>
      <c r="AP103" s="302" t="s">
        <v>939</v>
      </c>
      <c r="AQ103" s="302" t="s">
        <v>1275</v>
      </c>
      <c r="AR103" s="302" t="s">
        <v>436</v>
      </c>
      <c r="AS103" s="302">
        <v>82137220958</v>
      </c>
      <c r="AT103" s="302" t="s">
        <v>437</v>
      </c>
      <c r="AU103" s="302" t="s">
        <v>30</v>
      </c>
      <c r="AV103" s="295"/>
      <c r="AW103" s="281" t="str">
        <f>VLOOKUP(B103,Sheet2!A78:I195,9,FALSE)</f>
        <v>Nanda Iryani, S.T., M.T.</v>
      </c>
      <c r="AX103" s="281" t="s">
        <v>902</v>
      </c>
      <c r="AY103" s="281" t="str">
        <f>VLOOKUP(B103,Sheet2!A78:C195,2,FALSE)</f>
        <v>Probolinggo</v>
      </c>
      <c r="AZ103" s="288">
        <f>VLOOKUP(B103,Sheet2!A78:C195,3,FALSE)</f>
        <v>34093</v>
      </c>
      <c r="BA103" s="281">
        <f ca="1">DATEDIF(AZ103, TODAY(),"y")</f>
        <v>32</v>
      </c>
      <c r="BB103" s="281"/>
      <c r="BC103" s="281"/>
      <c r="BD103" s="281"/>
      <c r="BE103" s="295"/>
      <c r="BF103" s="289"/>
      <c r="BG103" s="289"/>
      <c r="BH103" s="289"/>
      <c r="BI103" s="289"/>
      <c r="BJ103" s="289"/>
      <c r="BK103" s="289"/>
      <c r="BL103" s="288" t="str">
        <f>VLOOKUP(B103,Sheet2!A78:D195,4,FALSE)</f>
        <v>Dosen</v>
      </c>
      <c r="BM103" s="281"/>
      <c r="BN103" s="281"/>
      <c r="BO103" s="281"/>
      <c r="BP103" s="281"/>
      <c r="BQ103" s="281"/>
      <c r="BR103" s="288" t="e">
        <f>VLOOKUP(B103,Sheet2!A78:E195,5,FALSE)</f>
        <v>#N/A</v>
      </c>
      <c r="BS103" s="288" t="str">
        <f>VLOOKUP(B103,Sheet2!A78:F195,6,FALSE)</f>
        <v>NDZ</v>
      </c>
      <c r="BT103" s="288" t="str">
        <f>VLOOKUP(B103,Sheet2!A78:G195,7,FALSE)</f>
        <v>Fakultas Teknik Elektro</v>
      </c>
      <c r="BU103" s="288"/>
      <c r="BV103" s="280">
        <f>COUNTIFS('Join TPA Dosen'!B:B,'Dosen sorted'!B78)</f>
        <v>1</v>
      </c>
      <c r="BW103" s="273" t="str">
        <f>DATEDIF(AM103,DATE(2026,1,1),"y")&amp;" tahun "&amp;DATEDIF(AM103,DATE(2026,1,1),"ym")&amp;" bulan "</f>
        <v xml:space="preserve">3 tahun 3 bulan </v>
      </c>
      <c r="BX103" s="280" t="str">
        <f>VLOOKUP($B103,Sheet1!$A:$G,2,FALSE)</f>
        <v>Tel-U</v>
      </c>
      <c r="BY103" s="280" t="str">
        <f>VLOOKUP($B103,Sheet1!$A:$G,3,FALSE)</f>
        <v>Sistem Komputer</v>
      </c>
      <c r="BZ103" s="280" t="str">
        <f>VLOOKUP($B103,Sheet1!$A:$G,4,FALSE)</f>
        <v>Universitas Mercu Buana</v>
      </c>
      <c r="CA103" s="280" t="str">
        <f>VLOOKUP($B103,Sheet1!$A:$G,5,FALSE)</f>
        <v>Teknik Elektro</v>
      </c>
      <c r="CB103" s="280" t="str">
        <f>VLOOKUP($B103,Sheet1!$A:$G,6,FALSE)</f>
        <v>-</v>
      </c>
      <c r="CC103" s="280">
        <f>VLOOKUP($B103,Sheet1!$A:$G,7,FALSE)</f>
        <v>0</v>
      </c>
      <c r="CD103" s="280" t="e">
        <v>#N/A</v>
      </c>
      <c r="CE103" s="280" t="e">
        <v>#N/A</v>
      </c>
    </row>
    <row r="104" spans="1:83" ht="19.5" hidden="1">
      <c r="A104" s="281">
        <v>35</v>
      </c>
      <c r="B104" s="281" t="s">
        <v>422</v>
      </c>
      <c r="C104" s="281" t="s">
        <v>20</v>
      </c>
      <c r="D104" s="281" t="s">
        <v>413</v>
      </c>
      <c r="E104" s="281">
        <v>20830012</v>
      </c>
      <c r="F104" s="281" t="s">
        <v>973</v>
      </c>
      <c r="G104" s="282" t="s">
        <v>423</v>
      </c>
      <c r="H104" s="281" t="s">
        <v>845</v>
      </c>
      <c r="I104" s="281" t="s">
        <v>30</v>
      </c>
      <c r="J104" s="281" t="s">
        <v>424</v>
      </c>
      <c r="K104" s="281" t="s">
        <v>846</v>
      </c>
      <c r="L104" s="281" t="s">
        <v>847</v>
      </c>
      <c r="M104" s="283" t="str">
        <f>IF(L104="NJAD","AA",IF(L104="AA","L",IF(L104="L","LK","GB")))</f>
        <v>L</v>
      </c>
      <c r="N104" s="282" t="s">
        <v>511</v>
      </c>
      <c r="O104" s="281">
        <v>150</v>
      </c>
      <c r="P104" s="281" t="s">
        <v>974</v>
      </c>
      <c r="Q104" s="284">
        <v>45870</v>
      </c>
      <c r="R104" s="281" t="str">
        <f ca="1">DATEDIF(Q104,TODAY(), "Y") &amp; " Tahun " &amp; DATEDIF(Q104, TODAY(), "YM") &amp; " Bulan"</f>
        <v>0 Tahun 5 Bulan</v>
      </c>
      <c r="S104" s="281" t="s">
        <v>849</v>
      </c>
      <c r="T104" s="285">
        <v>45992</v>
      </c>
      <c r="U104" s="281" t="str">
        <f ca="1">DATEDIF(T104,TODAY(), "Y") &amp; " Tahun " &amp; DATEDIF(T104, TODAY(), "YM") &amp; " Bulan"</f>
        <v>0 Tahun 1 Bulan</v>
      </c>
      <c r="V104" s="281" t="s">
        <v>938</v>
      </c>
      <c r="W104" s="281" t="s">
        <v>851</v>
      </c>
      <c r="X104" s="283" t="str">
        <f ca="1">IF(AND(OR(L104="AA",L104="L"),OR(S104="Penata Muda Tk. I Golongan III/b",S104="Penata Golongan III/c"),DATEDIF(Q104,TODAY(),"m")&gt;=23,ISBLANK(Z104),C104="Aktif"),"Nominasi Serdos","-")</f>
        <v>-</v>
      </c>
      <c r="Y104" s="281"/>
      <c r="Z104" s="282"/>
      <c r="AA104" s="281"/>
      <c r="AB104" s="281" t="s">
        <v>30</v>
      </c>
      <c r="AC104" s="282" t="s">
        <v>511</v>
      </c>
      <c r="AD104" s="281" t="s">
        <v>30</v>
      </c>
      <c r="AE104" s="281" t="s">
        <v>30</v>
      </c>
      <c r="AF104" s="281" t="s">
        <v>30</v>
      </c>
      <c r="AG104" s="281" t="s">
        <v>30</v>
      </c>
      <c r="AH104" s="281" t="s">
        <v>854</v>
      </c>
      <c r="AI104" s="281" t="s">
        <v>30</v>
      </c>
      <c r="AJ104" s="281" t="s">
        <v>30</v>
      </c>
      <c r="AK104" s="281" t="s">
        <v>30</v>
      </c>
      <c r="AM104" s="286">
        <v>43282</v>
      </c>
      <c r="AN104" s="287" t="str">
        <f ca="1">DATEDIF(AM104,TODAY(),"y")&amp;" tahun "&amp;DATEDIF(AM104,TODAY(),"ym")&amp;" bulan "</f>
        <v xml:space="preserve">7 tahun 6 bulan </v>
      </c>
      <c r="AO104" s="281" t="s">
        <v>868</v>
      </c>
      <c r="AP104" s="281" t="s">
        <v>939</v>
      </c>
      <c r="AQ104" s="281" t="s">
        <v>975</v>
      </c>
      <c r="AR104" s="281" t="s">
        <v>425</v>
      </c>
      <c r="AS104" s="281">
        <v>85258754375</v>
      </c>
      <c r="AT104" s="281" t="s">
        <v>426</v>
      </c>
      <c r="AU104" s="281" t="s">
        <v>30</v>
      </c>
      <c r="AV104" s="281"/>
      <c r="AW104" s="281" t="str">
        <f>VLOOKUP(B104,Sheet2!A36:I153,9,FALSE)</f>
        <v>Pangestu Widodo, S.T., M.Kom.</v>
      </c>
      <c r="AX104" s="281" t="s">
        <v>861</v>
      </c>
      <c r="AY104" s="281" t="str">
        <f>VLOOKUP(B104,Sheet2!A36:C153,2,FALSE)</f>
        <v>Malang</v>
      </c>
      <c r="AZ104" s="288">
        <f>VLOOKUP(B104,Sheet2!A36:C153,3,FALSE)</f>
        <v>30457</v>
      </c>
      <c r="BA104" s="281">
        <f ca="1">DATEDIF(AZ104, TODAY(),"y")</f>
        <v>42</v>
      </c>
      <c r="BB104" s="281"/>
      <c r="BC104" s="281"/>
      <c r="BD104" s="281"/>
      <c r="BE104" s="281"/>
      <c r="BF104" s="289"/>
      <c r="BG104" s="289"/>
      <c r="BH104" s="289"/>
      <c r="BI104" s="289"/>
      <c r="BJ104" s="289"/>
      <c r="BK104" s="289"/>
      <c r="BL104" s="288" t="str">
        <f>VLOOKUP(B104,Sheet2!A36:D153,4,FALSE)</f>
        <v>Dosen</v>
      </c>
      <c r="BM104" s="281"/>
      <c r="BN104" s="281"/>
      <c r="BO104" s="281"/>
      <c r="BP104" s="281"/>
      <c r="BQ104" s="281"/>
      <c r="BR104" s="288" t="str">
        <f>VLOOKUP(B104,Sheet2!A36:E153,5,FALSE)</f>
        <v>Signal Processing, Information Security, and Computer Engineering (SPICE)</v>
      </c>
      <c r="BS104" s="288" t="str">
        <f>VLOOKUP(B104,Sheet2!A36:F153,6,FALSE)</f>
        <v>PNG</v>
      </c>
      <c r="BT104" s="288" t="str">
        <f>VLOOKUP(B104,Sheet2!A36:G153,7,FALSE)</f>
        <v>Fakultas Teknik Elektro</v>
      </c>
      <c r="BU104" s="288" t="str">
        <f>VLOOKUP(B104,Sheet2!A36:H153,8,FALSE)</f>
        <v>pangestuw@telkomuniversity.ac.id</v>
      </c>
      <c r="BV104" s="280">
        <f>COUNTIFS('Join TPA Dosen'!B:B,'Dosen sorted'!B36)</f>
        <v>1</v>
      </c>
      <c r="BW104" s="273" t="str">
        <f>DATEDIF(AM104,DATE(2026,1,1),"y")&amp;" tahun "&amp;DATEDIF(AM104,DATE(2026,1,1),"ym")&amp;" bulan "</f>
        <v xml:space="preserve">7 tahun 6 bulan </v>
      </c>
      <c r="BX104" s="280" t="str">
        <f>VLOOKUP($B104,Sheet1!$A:$G,2,FALSE)</f>
        <v>ITB</v>
      </c>
      <c r="BY104" s="280" t="str">
        <f>VLOOKUP($B104,Sheet1!$A:$G,3,FALSE)</f>
        <v>Teknik Informatika</v>
      </c>
      <c r="BZ104" s="280" t="str">
        <f>VLOOKUP($B104,Sheet1!$A:$G,4,FALSE)</f>
        <v>ITS</v>
      </c>
      <c r="CA104" s="280" t="str">
        <f>VLOOKUP($B104,Sheet1!$A:$G,5,FALSE)</f>
        <v>Teknik Informatika</v>
      </c>
      <c r="CB104" s="280" t="str">
        <f>VLOOKUP($B104,Sheet1!$A:$G,6,FALSE)</f>
        <v>-</v>
      </c>
      <c r="CC104" s="280">
        <f>VLOOKUP($B104,Sheet1!$A:$G,7,FALSE)</f>
        <v>0</v>
      </c>
      <c r="CD104" s="280" t="s">
        <v>862</v>
      </c>
      <c r="CE104" s="280" t="s">
        <v>903</v>
      </c>
    </row>
    <row r="105" spans="1:83" ht="19.5" hidden="1">
      <c r="A105" s="281">
        <v>129</v>
      </c>
      <c r="B105" s="281" t="s">
        <v>756</v>
      </c>
      <c r="C105" s="281" t="s">
        <v>694</v>
      </c>
      <c r="D105" s="281" t="s">
        <v>413</v>
      </c>
      <c r="E105" s="281">
        <v>25000022</v>
      </c>
      <c r="F105" s="281"/>
      <c r="G105" s="282"/>
      <c r="H105" s="291" t="s">
        <v>884</v>
      </c>
      <c r="I105" s="281"/>
      <c r="J105" s="281" t="s">
        <v>1348</v>
      </c>
      <c r="K105" s="281" t="s">
        <v>917</v>
      </c>
      <c r="L105" s="281" t="s">
        <v>918</v>
      </c>
      <c r="M105" s="283" t="str">
        <f>IF(L105="NJAD","AA",IF(L105="AA","L",IF(L105="L","LK","GB")))</f>
        <v>AA</v>
      </c>
      <c r="N105" s="282" t="s">
        <v>511</v>
      </c>
      <c r="O105" s="281">
        <v>0</v>
      </c>
      <c r="P105" s="281"/>
      <c r="Q105" s="284">
        <v>45870</v>
      </c>
      <c r="R105" s="281" t="str">
        <f ca="1">DATEDIF(Q105,TODAY(), "Y") &amp; " Tahun " &amp; DATEDIF(Q105, TODAY(), "YM") &amp; " Bulan"</f>
        <v>0 Tahun 5 Bulan</v>
      </c>
      <c r="S105" s="281" t="s">
        <v>511</v>
      </c>
      <c r="T105" s="282" t="s">
        <v>511</v>
      </c>
      <c r="U105" s="281" t="e">
        <f ca="1">DATEDIF(T105,TODAY(), "Y") &amp; " Tahun " &amp; DATEDIF(T105, TODAY(), "YM") &amp; " Bulan"</f>
        <v>#VALUE!</v>
      </c>
      <c r="V105" s="281" t="s">
        <v>1254</v>
      </c>
      <c r="W105" s="281" t="s">
        <v>851</v>
      </c>
      <c r="X105" s="283" t="str">
        <f ca="1">IF(AND(OR(L105="AA",L105="L"),OR(S105="Penata Muda Tk. I Golongan III/b",S105="Penata Golongan III/c"),DATEDIF(Q105,TODAY(),"m")&gt;=23,ISBLANK(Z105),C105="Aktif"),"Nominasi Serdos","-")</f>
        <v>-</v>
      </c>
      <c r="Y105" s="281"/>
      <c r="Z105" s="282"/>
      <c r="AA105" s="295"/>
      <c r="AB105" s="281"/>
      <c r="AC105" s="282"/>
      <c r="AD105" s="281"/>
      <c r="AE105" s="281"/>
      <c r="AF105" s="281"/>
      <c r="AG105" s="281"/>
      <c r="AH105" s="281" t="s">
        <v>854</v>
      </c>
      <c r="AI105" s="281"/>
      <c r="AJ105" s="281"/>
      <c r="AK105" s="281"/>
      <c r="AM105" s="286">
        <v>45870</v>
      </c>
      <c r="AN105" s="287" t="str">
        <f ca="1">DATEDIF(AM105,TODAY(),"y")&amp;" tahun "&amp;DATEDIF(AM105,TODAY(),"ym")&amp;" bulan "</f>
        <v xml:space="preserve">0 tahun 5 bulan </v>
      </c>
      <c r="AO105" s="281"/>
      <c r="AP105" s="281"/>
      <c r="AQ105" s="281" t="s">
        <v>1349</v>
      </c>
      <c r="AR105" s="281" t="s">
        <v>1350</v>
      </c>
      <c r="AS105" s="281">
        <v>85899591792</v>
      </c>
      <c r="AT105" s="281" t="s">
        <v>1351</v>
      </c>
      <c r="AU105" s="281"/>
      <c r="AV105" s="281"/>
      <c r="AW105" s="281" t="str">
        <f>VLOOKUP(B105,Sheet2!A114:I231,9,FALSE)</f>
        <v>Rohmah Hidayah, S.Tr.T., M.T.</v>
      </c>
      <c r="AX105" s="281" t="s">
        <v>902</v>
      </c>
      <c r="AY105" s="281" t="str">
        <f>VLOOKUP(B105,Sheet2!A114:C231,2,FALSE)</f>
        <v>Tuban</v>
      </c>
      <c r="AZ105" s="288">
        <f>VLOOKUP(B105,Sheet2!A114:C231,3,FALSE)</f>
        <v>36534</v>
      </c>
      <c r="BA105" s="281">
        <f ca="1">DATEDIF(AZ105, TODAY(),"y")</f>
        <v>26</v>
      </c>
      <c r="BB105" s="281"/>
      <c r="BC105" s="281"/>
      <c r="BD105" s="281"/>
      <c r="BE105" s="281"/>
      <c r="BF105" s="289"/>
      <c r="BG105" s="289"/>
      <c r="BH105" s="289"/>
      <c r="BI105" s="289"/>
      <c r="BJ105" s="289"/>
      <c r="BK105" s="289"/>
      <c r="BL105" s="288" t="s">
        <v>21</v>
      </c>
      <c r="BM105" s="281"/>
      <c r="BN105" s="281"/>
      <c r="BO105" s="281"/>
      <c r="BP105" s="281"/>
      <c r="BQ105" s="281"/>
      <c r="BR105" s="288"/>
      <c r="BS105" s="288" t="str">
        <f>VLOOKUP(B105,Sheet2!A114:F231,6,FALSE)</f>
        <v>HYH</v>
      </c>
      <c r="BT105" s="288" t="str">
        <f>VLOOKUP(B105,Sheet2!A114:G231,7,FALSE)</f>
        <v>Fakultas Teknik Elektro</v>
      </c>
      <c r="BU105" s="288" t="s">
        <v>1352</v>
      </c>
      <c r="BW105" s="273"/>
    </row>
    <row r="106" spans="1:83" ht="29.25" hidden="1">
      <c r="A106" s="281">
        <v>43</v>
      </c>
      <c r="B106" s="281" t="s">
        <v>427</v>
      </c>
      <c r="C106" s="281" t="s">
        <v>20</v>
      </c>
      <c r="D106" s="281" t="s">
        <v>413</v>
      </c>
      <c r="E106" s="281">
        <v>22730002</v>
      </c>
      <c r="F106" s="281" t="s">
        <v>995</v>
      </c>
      <c r="G106" s="282" t="s">
        <v>428</v>
      </c>
      <c r="H106" s="281" t="s">
        <v>845</v>
      </c>
      <c r="I106" s="281" t="s">
        <v>143</v>
      </c>
      <c r="J106" s="281" t="s">
        <v>429</v>
      </c>
      <c r="K106" s="281" t="s">
        <v>874</v>
      </c>
      <c r="L106" s="281" t="s">
        <v>775</v>
      </c>
      <c r="M106" s="283" t="str">
        <f>IF(L106="NJAD","AA",IF(L106="AA","L",IF(L106="L","LK","GB")))</f>
        <v>LK</v>
      </c>
      <c r="N106" s="282" t="s">
        <v>511</v>
      </c>
      <c r="O106" s="281">
        <v>300</v>
      </c>
      <c r="P106" s="281" t="s">
        <v>996</v>
      </c>
      <c r="Q106" s="284">
        <v>45108</v>
      </c>
      <c r="R106" s="281" t="str">
        <f ca="1">DATEDIF(Q106,TODAY(), "Y") &amp; " Tahun " &amp; DATEDIF(Q106, TODAY(), "YM") &amp; " Bulan"</f>
        <v>2 Tahun 6 Bulan</v>
      </c>
      <c r="S106" s="281" t="s">
        <v>849</v>
      </c>
      <c r="T106" s="285">
        <v>45658</v>
      </c>
      <c r="U106" s="281" t="str">
        <f ca="1">DATEDIF(T106,TODAY(), "Y") &amp; " Tahun " &amp; DATEDIF(T106, TODAY(), "YM") &amp; " Bulan"</f>
        <v>1 Tahun 0 Bulan</v>
      </c>
      <c r="V106" s="281" t="s">
        <v>997</v>
      </c>
      <c r="W106" s="281" t="s">
        <v>851</v>
      </c>
      <c r="X106" s="283" t="str">
        <f ca="1">IF(AND(OR(L106="AA",L106="L"),OR(S106="Penata Muda Tk. I Golongan III/b",S106="Penata Golongan III/c"),DATEDIF(Q106,TODAY(),"m")&gt;=23,ISBLANK(Z106),C106="Aktif"),"Nominasi Serdos","-")</f>
        <v>-</v>
      </c>
      <c r="Y106" s="281"/>
      <c r="Z106" s="281" t="s">
        <v>852</v>
      </c>
      <c r="AA106" s="281">
        <v>15107201608505</v>
      </c>
      <c r="AB106" s="281" t="s">
        <v>998</v>
      </c>
      <c r="AC106" s="285">
        <v>42357</v>
      </c>
      <c r="AD106" s="281" t="s">
        <v>30</v>
      </c>
      <c r="AE106" s="281" t="s">
        <v>30</v>
      </c>
      <c r="AF106" s="281" t="s">
        <v>30</v>
      </c>
      <c r="AG106" s="281" t="s">
        <v>30</v>
      </c>
      <c r="AH106" s="281" t="s">
        <v>879</v>
      </c>
      <c r="AI106" s="281" t="s">
        <v>30</v>
      </c>
      <c r="AJ106" s="281" t="s">
        <v>30</v>
      </c>
      <c r="AK106" s="281" t="s">
        <v>30</v>
      </c>
      <c r="AM106" s="286">
        <v>44075</v>
      </c>
      <c r="AN106" s="287" t="str">
        <f ca="1">DATEDIF(AM106,TODAY(),"y")&amp;" tahun "&amp;DATEDIF(AM106,TODAY(),"ym")&amp;" bulan "</f>
        <v xml:space="preserve">5 tahun 4 bulan </v>
      </c>
      <c r="AO106" s="281" t="s">
        <v>868</v>
      </c>
      <c r="AP106" s="281" t="s">
        <v>880</v>
      </c>
      <c r="AQ106" s="281" t="s">
        <v>999</v>
      </c>
      <c r="AR106" s="281" t="s">
        <v>430</v>
      </c>
      <c r="AS106" s="281">
        <v>81216170645</v>
      </c>
      <c r="AT106" s="281" t="s">
        <v>431</v>
      </c>
      <c r="AU106" s="281" t="s">
        <v>30</v>
      </c>
      <c r="AV106" s="281"/>
      <c r="AW106" s="281" t="str">
        <f>VLOOKUP(B106,Sheet2!A44:I161,9,FALSE)</f>
        <v>Dr. Susijanto Tri Rasmana, S.Kom., M.T.</v>
      </c>
      <c r="AX106" s="281" t="s">
        <v>861</v>
      </c>
      <c r="AY106" s="281" t="str">
        <f>VLOOKUP(B106,Sheet2!A44:C161,2,FALSE)</f>
        <v>Surabaya</v>
      </c>
      <c r="AZ106" s="288">
        <f>VLOOKUP(B106,Sheet2!A44:C161,3,FALSE)</f>
        <v>26934</v>
      </c>
      <c r="BA106" s="281">
        <f ca="1">DATEDIF(AZ106, TODAY(),"y")</f>
        <v>52</v>
      </c>
      <c r="BB106" s="281"/>
      <c r="BC106" s="281"/>
      <c r="BD106" s="281"/>
      <c r="BE106" s="281"/>
      <c r="BF106" s="289"/>
      <c r="BG106" s="289"/>
      <c r="BH106" s="289"/>
      <c r="BI106" s="289"/>
      <c r="BJ106" s="289"/>
      <c r="BK106" s="289"/>
      <c r="BL106" s="288" t="s">
        <v>1000</v>
      </c>
      <c r="BM106" s="281"/>
      <c r="BN106" s="281"/>
      <c r="BO106" s="281"/>
      <c r="BP106" s="281"/>
      <c r="BQ106" s="281"/>
      <c r="BR106" s="288" t="str">
        <f>VLOOKUP(B106,Sheet2!A44:E161,5,FALSE)</f>
        <v>Control, Elektronics, and Intelligent Systems (CEIS)</v>
      </c>
      <c r="BS106" s="288" t="str">
        <f>VLOOKUP(B106,Sheet2!A44:F161,6,FALSE)</f>
        <v>SUZ</v>
      </c>
      <c r="BT106" s="288" t="str">
        <f>VLOOKUP(B106,Sheet2!A44:G161,7,FALSE)</f>
        <v>Fakultas Teknik Elektro</v>
      </c>
      <c r="BU106" s="288" t="str">
        <f>VLOOKUP(B106,Sheet2!A44:H161,8,FALSE)</f>
        <v>susijanto@telkomuniversity.ac.id</v>
      </c>
      <c r="BV106" s="280">
        <f>COUNTIFS('Join TPA Dosen'!B:B,'Dosen sorted'!B45)</f>
        <v>0</v>
      </c>
      <c r="BW106" s="273" t="str">
        <f>DATEDIF(AM106,DATE(2026,1,1),"y")&amp;" tahun "&amp;DATEDIF(AM106,DATE(2026,1,1),"ym")&amp;" bulan "</f>
        <v xml:space="preserve">5 tahun 4 bulan </v>
      </c>
      <c r="BX106" s="280" t="str">
        <f>VLOOKUP($B106,Sheet1!$A:$G,2,FALSE)</f>
        <v>STIKOM</v>
      </c>
      <c r="BY106" s="280" t="str">
        <f>VLOOKUP($B106,Sheet1!$A:$G,3,FALSE)</f>
        <v>Teknik Komputer</v>
      </c>
      <c r="BZ106" s="280" t="str">
        <f>VLOOKUP($B106,Sheet1!$A:$G,4,FALSE)</f>
        <v>ITS</v>
      </c>
      <c r="CA106" s="280" t="str">
        <f>VLOOKUP($B106,Sheet1!$A:$G,5,FALSE)</f>
        <v>Teknik Elektro</v>
      </c>
      <c r="CB106" s="280" t="str">
        <f>VLOOKUP($B106,Sheet1!$A:$G,6,FALSE)</f>
        <v>ITS</v>
      </c>
      <c r="CC106" s="280" t="str">
        <f>VLOOKUP($B106,Sheet1!$A:$G,7,FALSE)</f>
        <v>Teknik Elektro</v>
      </c>
      <c r="CD106" s="280" t="s">
        <v>882</v>
      </c>
      <c r="CE106" s="273" t="s">
        <v>872</v>
      </c>
    </row>
    <row r="107" spans="1:83" ht="19.5" hidden="1">
      <c r="A107" s="281">
        <v>24</v>
      </c>
      <c r="B107" s="281" t="s">
        <v>438</v>
      </c>
      <c r="C107" s="281" t="s">
        <v>20</v>
      </c>
      <c r="D107" s="281" t="s">
        <v>413</v>
      </c>
      <c r="E107" s="281">
        <v>19880003</v>
      </c>
      <c r="F107" s="281" t="s">
        <v>1257</v>
      </c>
      <c r="G107" s="282" t="s">
        <v>439</v>
      </c>
      <c r="H107" s="281" t="s">
        <v>845</v>
      </c>
      <c r="I107" s="281" t="s">
        <v>30</v>
      </c>
      <c r="J107" s="281" t="s">
        <v>354</v>
      </c>
      <c r="K107" s="281" t="s">
        <v>893</v>
      </c>
      <c r="L107" s="281" t="s">
        <v>775</v>
      </c>
      <c r="M107" s="283" t="str">
        <f>IF(L107="NJAD","AA",IF(L107="AA","L",IF(L107="L","LK","GB")))</f>
        <v>LK</v>
      </c>
      <c r="N107" s="282" t="s">
        <v>511</v>
      </c>
      <c r="O107" s="281">
        <v>200</v>
      </c>
      <c r="P107" s="281" t="s">
        <v>1258</v>
      </c>
      <c r="Q107" s="284">
        <v>45413</v>
      </c>
      <c r="R107" s="281" t="str">
        <f ca="1">DATEDIF(Q107,TODAY(), "Y") &amp; " Tahun " &amp; DATEDIF(Q107, TODAY(), "YM") &amp; " Bulan"</f>
        <v>1 Tahun 8 Bulan</v>
      </c>
      <c r="S107" s="281" t="s">
        <v>876</v>
      </c>
      <c r="T107" s="285">
        <v>45658</v>
      </c>
      <c r="U107" s="281" t="str">
        <f ca="1">DATEDIF(T107,TODAY(), "Y") &amp; " Tahun " &amp; DATEDIF(T107, TODAY(), "YM") &amp; " Bulan"</f>
        <v>1 Tahun 0 Bulan</v>
      </c>
      <c r="V107" s="281" t="s">
        <v>938</v>
      </c>
      <c r="W107" s="281" t="s">
        <v>851</v>
      </c>
      <c r="X107" s="283" t="str">
        <f ca="1">IF(AND(OR(L107="AA",L107="L"),OR(S107="Penata Muda Tk. I Golongan III/b",S107="Penata Golongan III/c"),DATEDIF(Q107,TODAY(),"m")&gt;=23,ISBLANK(Z107),C107="Aktif"),"Nominasi Serdos","-")</f>
        <v>-</v>
      </c>
      <c r="Y107" s="281"/>
      <c r="Z107" s="281" t="s">
        <v>852</v>
      </c>
      <c r="AA107" s="281">
        <v>23107201902956</v>
      </c>
      <c r="AB107" s="281" t="s">
        <v>1259</v>
      </c>
      <c r="AC107" s="285">
        <v>45085</v>
      </c>
      <c r="AD107" s="281" t="s">
        <v>30</v>
      </c>
      <c r="AE107" s="281" t="s">
        <v>30</v>
      </c>
      <c r="AF107" s="281" t="s">
        <v>30</v>
      </c>
      <c r="AG107" s="281" t="s">
        <v>30</v>
      </c>
      <c r="AH107" s="281" t="s">
        <v>854</v>
      </c>
      <c r="AI107" s="281" t="s">
        <v>855</v>
      </c>
      <c r="AJ107" s="281" t="s">
        <v>856</v>
      </c>
      <c r="AK107" s="281" t="s">
        <v>855</v>
      </c>
      <c r="AL107" s="281" t="s">
        <v>857</v>
      </c>
      <c r="AM107" s="286">
        <v>43101</v>
      </c>
      <c r="AN107" s="287" t="str">
        <f ca="1">DATEDIF(AM107,TODAY(),"y")&amp;" tahun "&amp;DATEDIF(AM107,TODAY(),"ym")&amp;" bulan "</f>
        <v xml:space="preserve">8 tahun 0 bulan </v>
      </c>
      <c r="AO107" s="281" t="s">
        <v>868</v>
      </c>
      <c r="AP107" s="281" t="s">
        <v>939</v>
      </c>
      <c r="AQ107" s="281" t="s">
        <v>1260</v>
      </c>
      <c r="AR107" s="300" t="s">
        <v>440</v>
      </c>
      <c r="AS107" s="281">
        <v>82336823404</v>
      </c>
      <c r="AT107" s="281" t="s">
        <v>441</v>
      </c>
      <c r="AU107" s="281" t="s">
        <v>30</v>
      </c>
      <c r="AV107" s="281"/>
      <c r="AW107" s="281" t="str">
        <f>VLOOKUP(B107,Sheet2!A25:I142,9,FALSE)</f>
        <v>Ubaidillah Umar, S.ST., M.T.</v>
      </c>
      <c r="AX107" s="281" t="s">
        <v>861</v>
      </c>
      <c r="AY107" s="281" t="str">
        <f>VLOOKUP(B107,Sheet2!A25:C142,2,FALSE)</f>
        <v>Bangkalan</v>
      </c>
      <c r="AZ107" s="288">
        <f>VLOOKUP(B107,Sheet2!A25:C142,3,FALSE)</f>
        <v>32260</v>
      </c>
      <c r="BA107" s="281">
        <f ca="1">DATEDIF(AZ107, TODAY(),"y")</f>
        <v>37</v>
      </c>
      <c r="BB107" s="281"/>
      <c r="BC107" s="281"/>
      <c r="BD107" s="281"/>
      <c r="BE107" s="281"/>
      <c r="BF107" s="289"/>
      <c r="BG107" s="289"/>
      <c r="BH107" s="289"/>
      <c r="BI107" s="289"/>
      <c r="BJ107" s="289"/>
      <c r="BK107" s="289"/>
      <c r="BL107" s="288" t="str">
        <f>VLOOKUP(B107,Sheet2!A25:D142,4,FALSE)</f>
        <v>Dosen</v>
      </c>
      <c r="BM107" s="281"/>
      <c r="BN107" s="281"/>
      <c r="BO107" s="281"/>
      <c r="BP107" s="281"/>
      <c r="BQ107" s="281"/>
      <c r="BR107" s="288" t="str">
        <f>VLOOKUP(B107,Sheet2!A25:E142,5,FALSE)</f>
        <v>Signal Processing, Information Security, and Computer Engineering (SPICE)</v>
      </c>
      <c r="BS107" s="288" t="str">
        <f>VLOOKUP(B107,Sheet2!A25:F142,6,FALSE)</f>
        <v>UBM</v>
      </c>
      <c r="BT107" s="288" t="str">
        <f>VLOOKUP(B107,Sheet2!A25:G142,7,FALSE)</f>
        <v>Fakultas Teknik Elektro</v>
      </c>
      <c r="BU107" s="288" t="str">
        <f>VLOOKUP(B107,Sheet2!A25:H142,8,FALSE)</f>
        <v>ubaidillahumar@telkomuniversity.ac.id</v>
      </c>
      <c r="BV107" s="280">
        <f>COUNTIFS('Join TPA Dosen'!B:B,'Dosen sorted'!B95)</f>
        <v>0</v>
      </c>
      <c r="BW107" s="273" t="str">
        <f>DATEDIF(AM107,DATE(2026,1,1),"y")&amp;" tahun "&amp;DATEDIF(AM107,DATE(2026,1,1),"ym")&amp;" bulan "</f>
        <v xml:space="preserve">8 tahun 0 bulan </v>
      </c>
      <c r="BX107" s="280" t="str">
        <f>VLOOKUP($B107,Sheet1!$A:$G,2,FALSE)</f>
        <v>PENS</v>
      </c>
      <c r="BY107" s="280" t="str">
        <f>VLOOKUP($B107,Sheet1!$A:$G,3,FALSE)</f>
        <v>Teknik Telekomunikasi</v>
      </c>
      <c r="BZ107" s="280" t="str">
        <f>VLOOKUP($B107,Sheet1!$A:$G,4,FALSE)</f>
        <v>PENS</v>
      </c>
      <c r="CA107" s="280" t="str">
        <f>VLOOKUP($B107,Sheet1!$A:$G,5,FALSE)</f>
        <v>Teknik Informatika dan Komputer</v>
      </c>
      <c r="CB107" s="280" t="str">
        <f>VLOOKUP($B107,Sheet1!$A:$G,6,FALSE)</f>
        <v>ITS</v>
      </c>
      <c r="CC107" s="280" t="str">
        <f>VLOOKUP($B107,Sheet1!$A:$G,7,FALSE)</f>
        <v>Teknik Elektro</v>
      </c>
      <c r="CD107" s="280" t="s">
        <v>862</v>
      </c>
      <c r="CE107" s="280" t="s">
        <v>903</v>
      </c>
    </row>
    <row r="108" spans="1:83" ht="19.5" hidden="1">
      <c r="A108" s="281">
        <v>36</v>
      </c>
      <c r="B108" s="281" t="s">
        <v>447</v>
      </c>
      <c r="C108" s="281" t="s">
        <v>20</v>
      </c>
      <c r="D108" s="281" t="s">
        <v>448</v>
      </c>
      <c r="E108" s="281">
        <v>19900001</v>
      </c>
      <c r="F108" s="281" t="s">
        <v>976</v>
      </c>
      <c r="G108" s="282" t="s">
        <v>449</v>
      </c>
      <c r="H108" s="281" t="s">
        <v>845</v>
      </c>
      <c r="I108" s="281" t="s">
        <v>30</v>
      </c>
      <c r="J108" s="281" t="s">
        <v>450</v>
      </c>
      <c r="K108" s="281" t="s">
        <v>874</v>
      </c>
      <c r="L108" s="281" t="s">
        <v>775</v>
      </c>
      <c r="M108" s="283" t="str">
        <f>IF(L108="NJAD","AA",IF(L108="AA","L",IF(L108="L","LK","GB")))</f>
        <v>LK</v>
      </c>
      <c r="N108" s="282" t="s">
        <v>511</v>
      </c>
      <c r="O108" s="281">
        <v>200</v>
      </c>
      <c r="P108" s="281" t="s">
        <v>977</v>
      </c>
      <c r="Q108" s="284">
        <v>44032</v>
      </c>
      <c r="R108" s="281" t="str">
        <f ca="1">DATEDIF(Q108,TODAY(), "Y") &amp; " Tahun " &amp; DATEDIF(Q108, TODAY(), "YM") &amp; " Bulan"</f>
        <v>5 Tahun 5 Bulan</v>
      </c>
      <c r="S108" s="281" t="s">
        <v>876</v>
      </c>
      <c r="T108" s="285">
        <v>45047</v>
      </c>
      <c r="U108" s="281" t="str">
        <f ca="1">DATEDIF(T108,TODAY(), "Y") &amp; " Tahun " &amp; DATEDIF(T108, TODAY(), "YM") &amp; " Bulan"</f>
        <v>2 Tahun 8 Bulan</v>
      </c>
      <c r="V108" s="281" t="s">
        <v>978</v>
      </c>
      <c r="W108" s="281" t="s">
        <v>851</v>
      </c>
      <c r="X108" s="283" t="str">
        <f ca="1">IF(AND(OR(L108="AA",L108="L"),OR(S108="Penata Muda Tk. I Golongan III/b",S108="Penata Golongan III/c"),DATEDIF(Q108,TODAY(),"m")&gt;=23,ISBLANK(Z108),C108="Aktif"),"Nominasi Serdos","-")</f>
        <v>-</v>
      </c>
      <c r="Y108" s="281"/>
      <c r="Z108" s="281" t="s">
        <v>852</v>
      </c>
      <c r="AA108" s="281">
        <v>23107201901133</v>
      </c>
      <c r="AB108" s="281" t="s">
        <v>979</v>
      </c>
      <c r="AC108" s="285">
        <v>45085</v>
      </c>
      <c r="AD108" s="281" t="s">
        <v>30</v>
      </c>
      <c r="AE108" s="281" t="s">
        <v>30</v>
      </c>
      <c r="AF108" s="281" t="s">
        <v>30</v>
      </c>
      <c r="AG108" s="281" t="s">
        <v>30</v>
      </c>
      <c r="AH108" s="281" t="s">
        <v>879</v>
      </c>
      <c r="AI108" s="281" t="s">
        <v>30</v>
      </c>
      <c r="AJ108" s="281" t="s">
        <v>30</v>
      </c>
      <c r="AK108" s="281" t="s">
        <v>30</v>
      </c>
      <c r="AM108" s="286">
        <v>43282</v>
      </c>
      <c r="AN108" s="287" t="str">
        <f ca="1">DATEDIF(AM108,TODAY(),"y")&amp;" tahun "&amp;DATEDIF(AM108,TODAY(),"ym")&amp;" bulan "</f>
        <v xml:space="preserve">7 tahun 6 bulan </v>
      </c>
      <c r="AO108" s="281" t="s">
        <v>868</v>
      </c>
      <c r="AP108" s="281" t="s">
        <v>980</v>
      </c>
      <c r="AQ108" s="281" t="s">
        <v>981</v>
      </c>
      <c r="AR108" s="281" t="s">
        <v>451</v>
      </c>
      <c r="AS108" s="281">
        <v>82142628195</v>
      </c>
      <c r="AT108" s="281" t="s">
        <v>452</v>
      </c>
      <c r="AU108" s="281" t="s">
        <v>30</v>
      </c>
      <c r="AV108" s="281"/>
      <c r="AW108" s="281" t="str">
        <f>VLOOKUP(B108,Sheet2!A37:I154,9,FALSE)</f>
        <v>Abduh Sayid Albana, S.T., M.T., M.Sc., Ph.D.</v>
      </c>
      <c r="AX108" s="281" t="s">
        <v>861</v>
      </c>
      <c r="AY108" s="281" t="str">
        <f>VLOOKUP(B108,Sheet2!A37:C154,2,FALSE)</f>
        <v>Pekalongan</v>
      </c>
      <c r="AZ108" s="288">
        <f>VLOOKUP(B108,Sheet2!A37:C154,3,FALSE)</f>
        <v>32934</v>
      </c>
      <c r="BA108" s="281">
        <f ca="1">DATEDIF(AZ108, TODAY(),"y")</f>
        <v>35</v>
      </c>
      <c r="BB108" s="281"/>
      <c r="BC108" s="281"/>
      <c r="BD108" s="281"/>
      <c r="BE108" s="281"/>
      <c r="BF108" s="289"/>
      <c r="BG108" s="289"/>
      <c r="BH108" s="289"/>
      <c r="BI108" s="289"/>
      <c r="BJ108" s="289"/>
      <c r="BK108" s="289"/>
      <c r="BL108" s="288" t="s">
        <v>982</v>
      </c>
      <c r="BM108" s="281"/>
      <c r="BN108" s="281"/>
      <c r="BO108" s="281"/>
      <c r="BP108" s="281"/>
      <c r="BQ108" s="281"/>
      <c r="BR108" s="288" t="str">
        <f>VLOOKUP(B108,Sheet2!A37:E154,5,FALSE)</f>
        <v>Enterprise and Industrial System (EINS)</v>
      </c>
      <c r="BS108" s="288" t="str">
        <f>VLOOKUP(B108,Sheet2!A37:F154,6,FALSE)</f>
        <v>EXE</v>
      </c>
      <c r="BT108" s="288" t="str">
        <f>VLOOKUP(B108,Sheet2!A37:G154,7,FALSE)</f>
        <v>Fakultas Rekayasa Industri</v>
      </c>
      <c r="BU108" s="288" t="str">
        <f>VLOOKUP(B108,Sheet2!A37:H154,8,FALSE)</f>
        <v>abduhalbana@telkomuniversity.ac.id</v>
      </c>
      <c r="BV108" s="280">
        <f>COUNTIFS('Join TPA Dosen'!B:B,'Dosen sorted'!B3)</f>
        <v>1</v>
      </c>
      <c r="BW108" s="273" t="str">
        <f>DATEDIF(AM108,DATE(2026,1,1),"y")&amp;" tahun "&amp;DATEDIF(AM108,DATE(2026,1,1),"ym")&amp;" bulan "</f>
        <v xml:space="preserve">7 tahun 6 bulan </v>
      </c>
      <c r="BX108" s="280" t="str">
        <f>VLOOKUP($B108,Sheet1!$A:$G,2,FALSE)</f>
        <v>ITS</v>
      </c>
      <c r="BY108" s="280" t="str">
        <f>VLOOKUP($B108,Sheet1!$A:$G,3,FALSE)</f>
        <v>Teknologi Industri/Teknik Industri</v>
      </c>
      <c r="BZ108" s="280" t="str">
        <f>VLOOKUP($B108,Sheet1!$A:$G,4,FALSE)</f>
        <v>ITS &amp; Grenoble INP</v>
      </c>
      <c r="CA108" s="280" t="str">
        <f>VLOOKUP($B108,Sheet1!$A:$G,5,FALSE)</f>
        <v>Teknologi Industri/Teknik Industri; Master Recherche</v>
      </c>
      <c r="CB108" s="280" t="str">
        <f>VLOOKUP($B108,Sheet1!$A:$G,6,FALSE)</f>
        <v>Université Grenoble Alpes</v>
      </c>
      <c r="CC108" s="280" t="str">
        <f>VLOOKUP($B108,Sheet1!$A:$G,7,FALSE)</f>
        <v>Industrial Engineering</v>
      </c>
      <c r="CD108" s="280" t="s">
        <v>871</v>
      </c>
      <c r="CE108" s="280" t="s">
        <v>863</v>
      </c>
    </row>
    <row r="109" spans="1:83" ht="19.5" hidden="1">
      <c r="A109" s="281">
        <v>55</v>
      </c>
      <c r="B109" s="281" t="s">
        <v>457</v>
      </c>
      <c r="C109" s="281" t="s">
        <v>46</v>
      </c>
      <c r="D109" s="281" t="s">
        <v>448</v>
      </c>
      <c r="E109" s="302">
        <v>20940045</v>
      </c>
      <c r="F109" s="302" t="s">
        <v>1284</v>
      </c>
      <c r="G109" s="302"/>
      <c r="H109" s="291" t="s">
        <v>884</v>
      </c>
      <c r="I109" s="302" t="s">
        <v>30</v>
      </c>
      <c r="J109" s="302" t="s">
        <v>458</v>
      </c>
      <c r="K109" s="302" t="s">
        <v>917</v>
      </c>
      <c r="L109" s="302" t="s">
        <v>918</v>
      </c>
      <c r="M109" s="283" t="str">
        <f>IF(L109="NJAD","AA",IF(L109="AA","L",IF(L109="L","LK","GB")))</f>
        <v>AA</v>
      </c>
      <c r="N109" s="311" t="s">
        <v>511</v>
      </c>
      <c r="O109" s="302">
        <v>0</v>
      </c>
      <c r="P109" s="302" t="s">
        <v>30</v>
      </c>
      <c r="Q109" s="310">
        <v>44166</v>
      </c>
      <c r="R109" s="281" t="str">
        <f ca="1">DATEDIF(Q109,TODAY(), "Y") &amp; " Tahun " &amp; DATEDIF(Q109, TODAY(), "YM") &amp; " Bulan"</f>
        <v>5 Tahun 1 Bulan</v>
      </c>
      <c r="S109" s="311" t="s">
        <v>511</v>
      </c>
      <c r="T109" s="311" t="s">
        <v>511</v>
      </c>
      <c r="U109" s="281" t="e">
        <f ca="1">DATEDIF(T109,TODAY(), "Y") &amp; " Tahun " &amp; DATEDIF(T109, TODAY(), "YM") &amp; " Bulan"</f>
        <v>#VALUE!</v>
      </c>
      <c r="V109" s="302" t="s">
        <v>1047</v>
      </c>
      <c r="W109" s="302" t="s">
        <v>851</v>
      </c>
      <c r="X109" s="283" t="str">
        <f ca="1">IF(AND(OR(L109="AA",L109="L"),OR(S109="Penata Muda Tk. I Golongan III/b",S109="Penata Golongan III/c"),DATEDIF(Q109,TODAY(),"m")&gt;=23,ISBLANK(Z109),C109="Aktif"),"Nominasi Serdos","-")</f>
        <v>-</v>
      </c>
      <c r="Y109" s="302"/>
      <c r="Z109" s="311"/>
      <c r="AA109" s="302"/>
      <c r="AB109" s="302" t="s">
        <v>30</v>
      </c>
      <c r="AC109" s="311" t="s">
        <v>511</v>
      </c>
      <c r="AD109" s="302" t="s">
        <v>30</v>
      </c>
      <c r="AE109" s="302" t="s">
        <v>30</v>
      </c>
      <c r="AF109" s="302" t="s">
        <v>30</v>
      </c>
      <c r="AG109" s="302" t="s">
        <v>30</v>
      </c>
      <c r="AH109" s="302" t="s">
        <v>854</v>
      </c>
      <c r="AI109" s="302" t="s">
        <v>855</v>
      </c>
      <c r="AJ109" s="302" t="s">
        <v>897</v>
      </c>
      <c r="AK109" s="281" t="s">
        <v>898</v>
      </c>
      <c r="AL109" s="302" t="s">
        <v>899</v>
      </c>
      <c r="AM109" s="303">
        <v>44166</v>
      </c>
      <c r="AN109" s="287" t="str">
        <f ca="1">DATEDIF(AM109,TODAY(),"y")&amp;" tahun "&amp;DATEDIF(AM109,TODAY(),"ym")&amp;" bulan "</f>
        <v xml:space="preserve">5 tahun 1 bulan </v>
      </c>
      <c r="AO109" s="302" t="s">
        <v>868</v>
      </c>
      <c r="AP109" s="302" t="s">
        <v>980</v>
      </c>
      <c r="AQ109" s="302" t="s">
        <v>1285</v>
      </c>
      <c r="AR109" s="302" t="s">
        <v>459</v>
      </c>
      <c r="AS109" s="302">
        <v>81325336037</v>
      </c>
      <c r="AT109" s="302" t="s">
        <v>460</v>
      </c>
      <c r="AU109" s="302" t="s">
        <v>30</v>
      </c>
      <c r="AV109" s="295"/>
      <c r="AW109" s="281" t="str">
        <f>VLOOKUP(B109,Sheet2!A56:I173,9,FALSE)</f>
        <v>Ahmad Faisal Dahlan, S.T., M.Eng.</v>
      </c>
      <c r="AX109" s="281" t="s">
        <v>861</v>
      </c>
      <c r="AY109" s="281" t="str">
        <f>VLOOKUP(B109,Sheet2!A56:C173,2,FALSE)</f>
        <v>Malang</v>
      </c>
      <c r="AZ109" s="288">
        <f>VLOOKUP(B109,Sheet2!A56:C173,3,FALSE)</f>
        <v>34358</v>
      </c>
      <c r="BA109" s="281">
        <f ca="1">DATEDIF(AZ109, TODAY(),"y")</f>
        <v>31</v>
      </c>
      <c r="BB109" s="281"/>
      <c r="BC109" s="281"/>
      <c r="BD109" s="281"/>
      <c r="BE109" s="295"/>
      <c r="BF109" s="289"/>
      <c r="BG109" s="289"/>
      <c r="BH109" s="289"/>
      <c r="BI109" s="289"/>
      <c r="BJ109" s="289"/>
      <c r="BK109" s="289"/>
      <c r="BL109" s="288" t="str">
        <f>VLOOKUP(B109,Sheet2!A56:D173,4,FALSE)</f>
        <v>Dosen</v>
      </c>
      <c r="BM109" s="281"/>
      <c r="BN109" s="281"/>
      <c r="BO109" s="281"/>
      <c r="BP109" s="281"/>
      <c r="BQ109" s="281"/>
      <c r="BR109" s="288" t="str">
        <f>VLOOKUP(B109,Sheet2!A56:E173,5,FALSE)</f>
        <v>-</v>
      </c>
      <c r="BS109" s="288" t="str">
        <f>VLOOKUP(B109,Sheet2!A56:F173,6,FALSE)</f>
        <v>AFX</v>
      </c>
      <c r="BT109" s="288" t="str">
        <f>VLOOKUP(B109,Sheet2!A56:G173,7,FALSE)</f>
        <v>Fakultas Rekayasa Industri</v>
      </c>
      <c r="BU109" s="288"/>
      <c r="BV109" s="280">
        <f>COUNTIFS('Join TPA Dosen'!B:B,'Dosen sorted'!B56)</f>
        <v>1</v>
      </c>
      <c r="BW109" s="273" t="str">
        <f>DATEDIF(AM109,DATE(2026,1,1),"y")&amp;" tahun "&amp;DATEDIF(AM109,DATE(2026,1,1),"ym")&amp;" bulan "</f>
        <v xml:space="preserve">5 tahun 1 bulan </v>
      </c>
      <c r="BX109" s="280" t="str">
        <f>VLOOKUP($B109,Sheet1!$A:$G,2,FALSE)</f>
        <v>Ma Chung Univ</v>
      </c>
      <c r="BY109" s="280" t="str">
        <f>VLOOKUP($B109,Sheet1!$A:$G,3,FALSE)</f>
        <v>Sains dan Teknologi/Teknik Industri</v>
      </c>
      <c r="BZ109" s="280" t="str">
        <f>VLOOKUP($B109,Sheet1!$A:$G,4,FALSE)</f>
        <v>Mahidol Univ</v>
      </c>
      <c r="CA109" s="280" t="str">
        <f>VLOOKUP($B109,Sheet1!$A:$G,5,FALSE)</f>
        <v>Engineering/ Industrial Engineering</v>
      </c>
      <c r="CB109" s="280" t="str">
        <f>VLOOKUP($B109,Sheet1!$A:$G,6,FALSE)</f>
        <v>King Mongkut's University of Technology Thonburi</v>
      </c>
      <c r="CC109" s="280" t="str">
        <f>VLOOKUP($B109,Sheet1!$A:$G,7,FALSE)</f>
        <v>Engineering/ Industrial Engineering</v>
      </c>
      <c r="CD109" s="280" t="e">
        <v>#N/A</v>
      </c>
      <c r="CE109" s="280" t="e">
        <v>#N/A</v>
      </c>
    </row>
    <row r="110" spans="1:83" ht="19.5" hidden="1">
      <c r="A110" s="281">
        <v>56</v>
      </c>
      <c r="B110" s="281" t="s">
        <v>461</v>
      </c>
      <c r="C110" s="281" t="s">
        <v>20</v>
      </c>
      <c r="D110" s="281" t="s">
        <v>448</v>
      </c>
      <c r="E110" s="281">
        <v>25930030</v>
      </c>
      <c r="F110" s="281" t="s">
        <v>1045</v>
      </c>
      <c r="G110" s="282" t="s">
        <v>462</v>
      </c>
      <c r="H110" s="301" t="s">
        <v>845</v>
      </c>
      <c r="I110" s="281" t="s">
        <v>30</v>
      </c>
      <c r="J110" s="281" t="s">
        <v>395</v>
      </c>
      <c r="K110" s="281" t="s">
        <v>846</v>
      </c>
      <c r="L110" s="281" t="s">
        <v>847</v>
      </c>
      <c r="M110" s="283" t="str">
        <f>IF(L110="NJAD","AA",IF(L110="AA","L",IF(L110="L","LK","GB")))</f>
        <v>L</v>
      </c>
      <c r="N110" s="282" t="s">
        <v>511</v>
      </c>
      <c r="O110" s="281">
        <v>150</v>
      </c>
      <c r="P110" s="281" t="s">
        <v>1046</v>
      </c>
      <c r="Q110" s="284">
        <v>45108</v>
      </c>
      <c r="R110" s="281" t="str">
        <f ca="1">DATEDIF(Q110,TODAY(), "Y") &amp; " Tahun " &amp; DATEDIF(Q110, TODAY(), "YM") &amp; " Bulan"</f>
        <v>2 Tahun 6 Bulan</v>
      </c>
      <c r="S110" s="281" t="s">
        <v>849</v>
      </c>
      <c r="T110" s="285">
        <v>45505</v>
      </c>
      <c r="U110" s="281" t="str">
        <f ca="1">DATEDIF(T110,TODAY(), "Y") &amp; " Tahun " &amp; DATEDIF(T110, TODAY(), "YM") &amp; " Bulan"</f>
        <v>1 Tahun 5 Bulan</v>
      </c>
      <c r="V110" s="281" t="s">
        <v>1047</v>
      </c>
      <c r="W110" s="281" t="s">
        <v>851</v>
      </c>
      <c r="X110" s="283" t="str">
        <f ca="1">IF(AND(OR(L110="AA",L110="L"),OR(S110="Penata Muda Tk. I Golongan III/b",S110="Penata Golongan III/c"),DATEDIF(Q110,TODAY(),"m")&gt;=23,ISBLANK(Z110),C110="Aktif"),"Nominasi Serdos","-")</f>
        <v>Nominasi Serdos</v>
      </c>
      <c r="Y110" s="281"/>
      <c r="Z110" s="282"/>
      <c r="AA110" s="281"/>
      <c r="AB110" s="281" t="s">
        <v>30</v>
      </c>
      <c r="AC110" s="282" t="s">
        <v>511</v>
      </c>
      <c r="AD110" s="281" t="s">
        <v>30</v>
      </c>
      <c r="AE110" s="281" t="s">
        <v>30</v>
      </c>
      <c r="AF110" s="281" t="s">
        <v>30</v>
      </c>
      <c r="AG110" s="281" t="s">
        <v>30</v>
      </c>
      <c r="AH110" s="281" t="s">
        <v>854</v>
      </c>
      <c r="AI110" s="281" t="s">
        <v>30</v>
      </c>
      <c r="AJ110" s="281" t="s">
        <v>30</v>
      </c>
      <c r="AK110" s="281" t="s">
        <v>30</v>
      </c>
      <c r="AM110" s="286">
        <v>44166</v>
      </c>
      <c r="AN110" s="287" t="str">
        <f ca="1">DATEDIF(AM110,TODAY(),"y")&amp;" tahun "&amp;DATEDIF(AM110,TODAY(),"ym")&amp;" bulan "</f>
        <v xml:space="preserve">5 tahun 1 bulan </v>
      </c>
      <c r="AO110" s="281" t="s">
        <v>868</v>
      </c>
      <c r="AP110" s="281" t="s">
        <v>980</v>
      </c>
      <c r="AQ110" s="281" t="s">
        <v>1048</v>
      </c>
      <c r="AR110" s="281" t="s">
        <v>463</v>
      </c>
      <c r="AS110" s="281">
        <v>8113770702</v>
      </c>
      <c r="AT110" s="281" t="s">
        <v>464</v>
      </c>
      <c r="AU110" s="281" t="s">
        <v>30</v>
      </c>
      <c r="AV110" s="281"/>
      <c r="AW110" s="281" t="str">
        <f>VLOOKUP(B110,Sheet2!A57:I174,9,FALSE)</f>
        <v>Desita Nur Rachmaniar, S.T., M.Sc.</v>
      </c>
      <c r="AX110" s="281" t="s">
        <v>902</v>
      </c>
      <c r="AY110" s="281" t="str">
        <f>VLOOKUP(B110,Sheet2!A57:C174,2,FALSE)</f>
        <v>Bantul</v>
      </c>
      <c r="AZ110" s="288">
        <f>VLOOKUP(B110,Sheet2!A57:C174,3,FALSE)</f>
        <v>34152</v>
      </c>
      <c r="BA110" s="281">
        <f ca="1">DATEDIF(AZ110, TODAY(),"y")</f>
        <v>32</v>
      </c>
      <c r="BB110" s="281"/>
      <c r="BC110" s="281"/>
      <c r="BD110" s="281"/>
      <c r="BE110" s="281"/>
      <c r="BF110" s="289"/>
      <c r="BG110" s="289"/>
      <c r="BH110" s="289"/>
      <c r="BI110" s="304"/>
      <c r="BJ110" s="304"/>
      <c r="BK110" s="304"/>
      <c r="BL110" s="288" t="str">
        <f>VLOOKUP(B110,Sheet2!A57:D174,4,FALSE)</f>
        <v>Dosen</v>
      </c>
      <c r="BM110" s="281"/>
      <c r="BN110" s="281"/>
      <c r="BO110" s="281"/>
      <c r="BP110" s="281"/>
      <c r="BQ110" s="281"/>
      <c r="BR110" s="288" t="str">
        <f>VLOOKUP(B110,Sheet2!A57:E174,5,FALSE)</f>
        <v>Enterprise and Industrial System (EINS)</v>
      </c>
      <c r="BS110" s="288" t="str">
        <f>VLOOKUP(B110,Sheet2!A57:F174,6,FALSE)</f>
        <v>DEZ</v>
      </c>
      <c r="BT110" s="288" t="str">
        <f>VLOOKUP(B110,Sheet2!A57:G174,7,FALSE)</f>
        <v>Fakultas Rekayasa Industri</v>
      </c>
      <c r="BU110" s="288" t="str">
        <f>VLOOKUP(B110,Sheet2!A57:H174,8,FALSE)</f>
        <v>desitanurr@telkomuniversity.ac.id</v>
      </c>
      <c r="BV110" s="280">
        <f>COUNTIFS('Join TPA Dosen'!B:B,'Dosen sorted'!B57)</f>
        <v>1</v>
      </c>
      <c r="BW110" s="273" t="str">
        <f>DATEDIF(AM110,DATE(2026,1,1),"y")&amp;" tahun "&amp;DATEDIF(AM110,DATE(2026,1,1),"ym")&amp;" bulan "</f>
        <v xml:space="preserve">5 tahun 1 bulan </v>
      </c>
      <c r="BX110" s="280" t="str">
        <f>VLOOKUP($B110,Sheet1!$A:$G,2,FALSE)</f>
        <v>Univ. Brawijaya</v>
      </c>
      <c r="BY110" s="280" t="str">
        <f>VLOOKUP($B110,Sheet1!$A:$G,3,FALSE)</f>
        <v>Teknik/Teknik Industri</v>
      </c>
      <c r="BZ110" s="280" t="str">
        <f>VLOOKUP($B110,Sheet1!$A:$G,4,FALSE)</f>
        <v>UGM</v>
      </c>
      <c r="CA110" s="280" t="str">
        <f>VLOOKUP($B110,Sheet1!$A:$G,5,FALSE)</f>
        <v>Teknik/Teknik Industri</v>
      </c>
      <c r="CB110" s="280" t="str">
        <f>VLOOKUP($B110,Sheet1!$A:$G,6,FALSE)</f>
        <v>-</v>
      </c>
      <c r="CC110" s="280">
        <f>VLOOKUP($B110,Sheet1!$A:$G,7,FALSE)</f>
        <v>0</v>
      </c>
      <c r="CD110" s="280" t="s">
        <v>871</v>
      </c>
      <c r="CE110" s="280" t="s">
        <v>863</v>
      </c>
    </row>
    <row r="111" spans="1:83" ht="19.5" hidden="1">
      <c r="A111" s="281">
        <v>119</v>
      </c>
      <c r="B111" s="281" t="s">
        <v>453</v>
      </c>
      <c r="C111" s="281" t="s">
        <v>20</v>
      </c>
      <c r="D111" s="281" t="s">
        <v>448</v>
      </c>
      <c r="E111" s="281">
        <v>25820001</v>
      </c>
      <c r="F111" s="291" t="s">
        <v>1291</v>
      </c>
      <c r="G111" s="291" t="s">
        <v>454</v>
      </c>
      <c r="H111" s="291" t="s">
        <v>884</v>
      </c>
      <c r="I111" s="281" t="s">
        <v>189</v>
      </c>
      <c r="J111" s="281" t="s">
        <v>176</v>
      </c>
      <c r="K111" s="281" t="s">
        <v>874</v>
      </c>
      <c r="L111" s="281" t="s">
        <v>775</v>
      </c>
      <c r="M111" s="283" t="str">
        <f>IF(L111="NJAD","AA",IF(L111="AA","L",IF(L111="L","LK","GB")))</f>
        <v>LK</v>
      </c>
      <c r="N111" s="282" t="s">
        <v>511</v>
      </c>
      <c r="O111" s="281">
        <v>200</v>
      </c>
      <c r="P111" s="281" t="s">
        <v>1292</v>
      </c>
      <c r="Q111" s="284">
        <v>41365</v>
      </c>
      <c r="R111" s="281" t="str">
        <f ca="1">DATEDIF(Q111,TODAY(), "Y") &amp; " Tahun " &amp; DATEDIF(Q111, TODAY(), "YM") &amp; " Bulan"</f>
        <v>12 Tahun 9 Bulan</v>
      </c>
      <c r="S111" s="281" t="s">
        <v>876</v>
      </c>
      <c r="T111" s="285">
        <v>45078</v>
      </c>
      <c r="U111" s="281" t="str">
        <f ca="1">DATEDIF(T111,TODAY(), "Y") &amp; " Tahun " &amp; DATEDIF(T111, TODAY(), "YM") &amp; " Bulan"</f>
        <v>2 Tahun 7 Bulan</v>
      </c>
      <c r="V111" s="281" t="s">
        <v>1047</v>
      </c>
      <c r="W111" s="281" t="s">
        <v>851</v>
      </c>
      <c r="X111" s="283" t="str">
        <f ca="1">IF(AND(OR(L111="AA",L111="L"),OR(S111="Penata Muda Tk. I Golongan III/b",S111="Penata Golongan III/c"),DATEDIF(Q111,TODAY(),"m")&gt;=23,ISBLANK(Z111),C111="Aktif"),"Nominasi Serdos","-")</f>
        <v>-</v>
      </c>
      <c r="Y111" s="281"/>
      <c r="Z111" s="295" t="s">
        <v>852</v>
      </c>
      <c r="AA111" s="290">
        <v>15107106601366</v>
      </c>
      <c r="AB111" s="281">
        <v>150010030030</v>
      </c>
      <c r="AC111" s="285">
        <v>42275</v>
      </c>
      <c r="AD111" s="281" t="s">
        <v>30</v>
      </c>
      <c r="AE111" s="281" t="s">
        <v>30</v>
      </c>
      <c r="AF111" s="281" t="s">
        <v>30</v>
      </c>
      <c r="AG111" s="281" t="s">
        <v>30</v>
      </c>
      <c r="AH111" s="281" t="s">
        <v>879</v>
      </c>
      <c r="AI111" s="281" t="s">
        <v>30</v>
      </c>
      <c r="AJ111" s="281" t="s">
        <v>30</v>
      </c>
      <c r="AK111" s="281" t="s">
        <v>30</v>
      </c>
      <c r="AM111" s="286">
        <v>45689</v>
      </c>
      <c r="AN111" s="287" t="str">
        <f ca="1">DATEDIF(AM111,TODAY(),"y")&amp;" tahun "&amp;DATEDIF(AM111,TODAY(),"ym")&amp;" bulan "</f>
        <v xml:space="preserve">0 tahun 11 bulan </v>
      </c>
      <c r="AO111" s="281" t="s">
        <v>868</v>
      </c>
      <c r="AP111" s="281" t="s">
        <v>980</v>
      </c>
      <c r="AQ111" s="281" t="s">
        <v>1293</v>
      </c>
      <c r="AR111" s="281" t="s">
        <v>455</v>
      </c>
      <c r="AS111" s="281">
        <v>82245916300</v>
      </c>
      <c r="AT111" s="281" t="s">
        <v>456</v>
      </c>
      <c r="AU111" s="281" t="s">
        <v>30</v>
      </c>
      <c r="AV111" s="281"/>
      <c r="AW111" s="281" t="s">
        <v>1294</v>
      </c>
      <c r="AX111" s="281" t="s">
        <v>902</v>
      </c>
      <c r="AY111" s="281" t="s">
        <v>1295</v>
      </c>
      <c r="AZ111" s="288">
        <v>30012</v>
      </c>
      <c r="BA111" s="281">
        <f ca="1">DATEDIF(AZ111, TODAY(),"y")</f>
        <v>43</v>
      </c>
      <c r="BB111" s="281"/>
      <c r="BC111" s="281"/>
      <c r="BD111" s="281"/>
      <c r="BE111" s="295"/>
      <c r="BF111" s="289"/>
      <c r="BG111" s="289"/>
      <c r="BH111" s="289"/>
      <c r="BI111" s="289"/>
      <c r="BJ111" s="289"/>
      <c r="BK111" s="289"/>
      <c r="BL111" s="288" t="s">
        <v>21</v>
      </c>
      <c r="BM111" s="281"/>
      <c r="BN111" s="286"/>
      <c r="BO111" s="281"/>
      <c r="BP111" s="281"/>
      <c r="BQ111" s="281"/>
      <c r="BR111" s="288" t="e">
        <f>VLOOKUP(B111,Sheet2!A120:E237,5,FALSE)</f>
        <v>#N/A</v>
      </c>
      <c r="BS111" s="288" t="s">
        <v>1293</v>
      </c>
      <c r="BT111" s="288" t="s">
        <v>1296</v>
      </c>
      <c r="BU111" s="288" t="s">
        <v>1297</v>
      </c>
      <c r="BV111" s="280">
        <f>COUNTIFS('Join TPA Dosen'!B:B,'Dosen sorted'!B25)</f>
        <v>1</v>
      </c>
      <c r="BW111" s="273" t="str">
        <f>DATEDIF(AM111,DATE(2026,1,1),"y")&amp;" tahun "&amp;DATEDIF(AM111,DATE(2026,1,1),"ym")&amp;" bulan "</f>
        <v xml:space="preserve">0 tahun 11 bulan </v>
      </c>
      <c r="BX111" s="280" t="e">
        <f>VLOOKUP($B111,Sheet1!$A:$G,2,FALSE)</f>
        <v>#N/A</v>
      </c>
      <c r="BY111" s="280" t="e">
        <f>VLOOKUP($B111,Sheet1!$A:$G,3,FALSE)</f>
        <v>#N/A</v>
      </c>
      <c r="BZ111" s="280" t="e">
        <f>VLOOKUP($B111,Sheet1!$A:$G,4,FALSE)</f>
        <v>#N/A</v>
      </c>
      <c r="CA111" s="280" t="e">
        <f>VLOOKUP($B111,Sheet1!$A:$G,5,FALSE)</f>
        <v>#N/A</v>
      </c>
      <c r="CB111" s="280" t="e">
        <f>VLOOKUP($B111,Sheet1!$A:$G,6,FALSE)</f>
        <v>#N/A</v>
      </c>
      <c r="CC111" s="280" t="e">
        <f>VLOOKUP($B111,Sheet1!$A:$G,7,FALSE)</f>
        <v>#N/A</v>
      </c>
      <c r="CD111" s="280" t="s">
        <v>871</v>
      </c>
      <c r="CE111" s="280" t="s">
        <v>863</v>
      </c>
    </row>
    <row r="112" spans="1:83" ht="19.5" hidden="1">
      <c r="A112" s="281">
        <v>57</v>
      </c>
      <c r="B112" s="281" t="s">
        <v>465</v>
      </c>
      <c r="C112" s="281" t="s">
        <v>20</v>
      </c>
      <c r="D112" s="281" t="s">
        <v>448</v>
      </c>
      <c r="E112" s="281">
        <v>24950003</v>
      </c>
      <c r="F112" s="281" t="s">
        <v>1049</v>
      </c>
      <c r="G112" s="282" t="s">
        <v>466</v>
      </c>
      <c r="H112" s="281" t="s">
        <v>845</v>
      </c>
      <c r="I112" s="281" t="s">
        <v>30</v>
      </c>
      <c r="J112" s="281" t="s">
        <v>176</v>
      </c>
      <c r="K112" s="281" t="s">
        <v>893</v>
      </c>
      <c r="L112" s="281" t="s">
        <v>775</v>
      </c>
      <c r="M112" s="283" t="str">
        <f>IF(L112="NJAD","AA",IF(L112="AA","L",IF(L112="L","LK","GB")))</f>
        <v>LK</v>
      </c>
      <c r="N112" s="282" t="s">
        <v>511</v>
      </c>
      <c r="O112" s="281">
        <v>200</v>
      </c>
      <c r="P112" s="281" t="s">
        <v>1050</v>
      </c>
      <c r="Q112" s="284">
        <v>46023</v>
      </c>
      <c r="R112" s="281" t="str">
        <f ca="1">DATEDIF(Q112,TODAY(), "Y") &amp; " Tahun " &amp; DATEDIF(Q112, TODAY(), "YM") &amp; " Bulan"</f>
        <v>0 Tahun 0 Bulan</v>
      </c>
      <c r="S112" s="281" t="s">
        <v>849</v>
      </c>
      <c r="T112" s="285">
        <v>45017</v>
      </c>
      <c r="U112" s="281" t="str">
        <f ca="1">DATEDIF(T112,TODAY(), "Y") &amp; " Tahun " &amp; DATEDIF(T112, TODAY(), "YM") &amp; " Bulan"</f>
        <v>2 Tahun 9 Bulan</v>
      </c>
      <c r="V112" s="281" t="s">
        <v>1047</v>
      </c>
      <c r="W112" s="281" t="s">
        <v>851</v>
      </c>
      <c r="X112" s="283" t="str">
        <f ca="1">IF(AND(OR(L112="AA",L112="L"),OR(S112="Penata Muda Tk. I Golongan III/b",S112="Penata Golongan III/c"),DATEDIF(Q112,TODAY(),"m")&gt;=23,ISBLANK(Z112),C112="Aktif"),"Nominasi Serdos","-")</f>
        <v>-</v>
      </c>
      <c r="Y112" s="281"/>
      <c r="Z112" s="282" t="s">
        <v>852</v>
      </c>
      <c r="AA112" s="281">
        <v>25104105713495</v>
      </c>
      <c r="AB112" s="281" t="s">
        <v>1051</v>
      </c>
      <c r="AC112" s="285">
        <v>45917</v>
      </c>
      <c r="AD112" s="281" t="s">
        <v>30</v>
      </c>
      <c r="AE112" s="281" t="s">
        <v>30</v>
      </c>
      <c r="AF112" s="281" t="s">
        <v>30</v>
      </c>
      <c r="AG112" s="281" t="s">
        <v>30</v>
      </c>
      <c r="AH112" s="281" t="s">
        <v>854</v>
      </c>
      <c r="AI112" s="281" t="s">
        <v>30</v>
      </c>
      <c r="AJ112" s="281" t="s">
        <v>30</v>
      </c>
      <c r="AK112" s="281" t="s">
        <v>30</v>
      </c>
      <c r="AM112" s="286">
        <v>44166</v>
      </c>
      <c r="AN112" s="287" t="str">
        <f ca="1">DATEDIF(AM112,TODAY(),"y")&amp;" tahun "&amp;DATEDIF(AM112,TODAY(),"ym")&amp;" bulan "</f>
        <v xml:space="preserve">5 tahun 1 bulan </v>
      </c>
      <c r="AO112" s="281" t="s">
        <v>868</v>
      </c>
      <c r="AP112" s="281" t="s">
        <v>980</v>
      </c>
      <c r="AQ112" s="281" t="s">
        <v>1052</v>
      </c>
      <c r="AR112" s="281" t="s">
        <v>467</v>
      </c>
      <c r="AS112" s="281">
        <v>82143305935</v>
      </c>
      <c r="AT112" s="281" t="s">
        <v>468</v>
      </c>
      <c r="AU112" s="281" t="s">
        <v>30</v>
      </c>
      <c r="AV112" s="281"/>
      <c r="AW112" s="281" t="str">
        <f>VLOOKUP(B112,Sheet2!A58:I175,9,FALSE)</f>
        <v>Granita Hajar, S.T., M.T.</v>
      </c>
      <c r="AX112" s="281" t="s">
        <v>902</v>
      </c>
      <c r="AY112" s="281" t="str">
        <f>VLOOKUP(B112,Sheet2!A58:C175,2,FALSE)</f>
        <v>Surabaya</v>
      </c>
      <c r="AZ112" s="288">
        <f>VLOOKUP(B112,Sheet2!A58:C175,3,FALSE)</f>
        <v>34903</v>
      </c>
      <c r="BA112" s="281">
        <f ca="1">DATEDIF(AZ112, TODAY(),"y")</f>
        <v>30</v>
      </c>
      <c r="BB112" s="281"/>
      <c r="BC112" s="281"/>
      <c r="BD112" s="281"/>
      <c r="BE112" s="281"/>
      <c r="BF112" s="289"/>
      <c r="BG112" s="289"/>
      <c r="BH112" s="289"/>
      <c r="BI112" s="289"/>
      <c r="BJ112" s="289"/>
      <c r="BK112" s="289"/>
      <c r="BL112" s="288" t="str">
        <f>VLOOKUP(B112,Sheet2!A58:D175,4,FALSE)</f>
        <v>Dosen</v>
      </c>
      <c r="BM112" s="281"/>
      <c r="BN112" s="281"/>
      <c r="BO112" s="281"/>
      <c r="BP112" s="281"/>
      <c r="BQ112" s="281"/>
      <c r="BR112" s="288" t="str">
        <f>VLOOKUP(B112,Sheet2!A58:E175,5,FALSE)</f>
        <v>Enterprise and Industrial System (EINS)</v>
      </c>
      <c r="BS112" s="288" t="str">
        <f>VLOOKUP(B112,Sheet2!A58:F175,6,FALSE)</f>
        <v>GRN</v>
      </c>
      <c r="BT112" s="288" t="str">
        <f>VLOOKUP(B112,Sheet2!A58:G175,7,FALSE)</f>
        <v>Fakultas Rekayasa Industri</v>
      </c>
      <c r="BU112" s="288" t="str">
        <f>VLOOKUP(B112,Sheet2!A58:H175,8,FALSE)</f>
        <v>granita@telkomuniversity.ac.id</v>
      </c>
      <c r="BV112" s="280">
        <f>COUNTIFS('Join TPA Dosen'!B:B,'Dosen sorted'!B58)</f>
        <v>1</v>
      </c>
      <c r="BW112" s="273" t="str">
        <f>DATEDIF(AM112,DATE(2026,1,1),"y")&amp;" tahun "&amp;DATEDIF(AM112,DATE(2026,1,1),"ym")&amp;" bulan "</f>
        <v xml:space="preserve">5 tahun 1 bulan </v>
      </c>
      <c r="BX112" s="280" t="str">
        <f>VLOOKUP($B112,Sheet1!$A:$G,2,FALSE)</f>
        <v>UBAYA</v>
      </c>
      <c r="BY112" s="280" t="str">
        <f>VLOOKUP($B112,Sheet1!$A:$G,3,FALSE)</f>
        <v>Teknik/Teknik Industri</v>
      </c>
      <c r="BZ112" s="280" t="str">
        <f>VLOOKUP($B112,Sheet1!$A:$G,4,FALSE)</f>
        <v>ITS</v>
      </c>
      <c r="CA112" s="280" t="str">
        <f>VLOOKUP($B112,Sheet1!$A:$G,5,FALSE)</f>
        <v>Teknologi Industri dan Rekayasa Sistem/Teknik Industri</v>
      </c>
      <c r="CB112" s="280" t="str">
        <f>VLOOKUP($B112,Sheet1!$A:$G,6,FALSE)</f>
        <v>-</v>
      </c>
      <c r="CC112" s="280">
        <f>VLOOKUP($B112,Sheet1!$A:$G,7,FALSE)</f>
        <v>0</v>
      </c>
      <c r="CD112" s="280" t="s">
        <v>871</v>
      </c>
      <c r="CE112" s="280" t="s">
        <v>863</v>
      </c>
    </row>
    <row r="113" spans="1:83" ht="19.5" hidden="1">
      <c r="A113" s="281">
        <v>112</v>
      </c>
      <c r="B113" s="281" t="s">
        <v>473</v>
      </c>
      <c r="C113" s="281" t="s">
        <v>46</v>
      </c>
      <c r="D113" s="281" t="s">
        <v>448</v>
      </c>
      <c r="E113" s="302">
        <v>20950049</v>
      </c>
      <c r="F113" s="302"/>
      <c r="G113" s="302"/>
      <c r="H113" s="291" t="s">
        <v>884</v>
      </c>
      <c r="I113" s="302" t="s">
        <v>30</v>
      </c>
      <c r="J113" s="302" t="s">
        <v>30</v>
      </c>
      <c r="K113" s="302" t="s">
        <v>30</v>
      </c>
      <c r="L113" s="302" t="s">
        <v>30</v>
      </c>
      <c r="M113" s="283" t="str">
        <f>IF(L113="NJAD","AA",IF(L113="AA","L",IF(L113="L","LK","GB")))</f>
        <v>GB</v>
      </c>
      <c r="N113" s="312" t="s">
        <v>30</v>
      </c>
      <c r="O113" s="302" t="s">
        <v>30</v>
      </c>
      <c r="P113" s="302" t="s">
        <v>30</v>
      </c>
      <c r="Q113" s="313"/>
      <c r="R113" s="281" t="str">
        <f ca="1">DATEDIF(Q113,TODAY(), "Y") &amp; " Tahun " &amp; DATEDIF(Q113, TODAY(), "YM") &amp; " Bulan"</f>
        <v>126 Tahun 0 Bulan</v>
      </c>
      <c r="S113" s="302" t="s">
        <v>30</v>
      </c>
      <c r="T113" s="302" t="s">
        <v>30</v>
      </c>
      <c r="U113" s="281" t="e">
        <f ca="1">DATEDIF(T113,TODAY(), "Y") &amp; " Tahun " &amp; DATEDIF(T113, TODAY(), "YM") &amp; " Bulan"</f>
        <v>#VALUE!</v>
      </c>
      <c r="V113" s="306" t="s">
        <v>30</v>
      </c>
      <c r="W113" s="302" t="s">
        <v>30</v>
      </c>
      <c r="X113" s="283" t="str">
        <f ca="1">IF(AND(OR(L113="AA",L113="L"),OR(S113="Penata Muda Tk. I Golongan III/b",S113="Penata Golongan III/c"),DATEDIF(Q113,TODAY(),"m")&gt;=23,ISBLANK(Z113),C113="Aktif"),"Nominasi Serdos","-")</f>
        <v>-</v>
      </c>
      <c r="Y113" s="281"/>
      <c r="Z113" s="302" t="s">
        <v>30</v>
      </c>
      <c r="AA113" s="302" t="s">
        <v>30</v>
      </c>
      <c r="AB113" s="302" t="s">
        <v>30</v>
      </c>
      <c r="AC113" s="302" t="s">
        <v>30</v>
      </c>
      <c r="AD113" s="302" t="s">
        <v>30</v>
      </c>
      <c r="AE113" s="302" t="s">
        <v>30</v>
      </c>
      <c r="AF113" s="302" t="s">
        <v>30</v>
      </c>
      <c r="AG113" s="302" t="s">
        <v>30</v>
      </c>
      <c r="AH113" s="302" t="s">
        <v>30</v>
      </c>
      <c r="AI113" s="302" t="s">
        <v>30</v>
      </c>
      <c r="AJ113" s="302" t="s">
        <v>30</v>
      </c>
      <c r="AK113" s="302" t="s">
        <v>30</v>
      </c>
      <c r="AM113" s="303">
        <v>44166</v>
      </c>
      <c r="AN113" s="287" t="str">
        <f ca="1">DATEDIF(AM113,TODAY(),"y")&amp;" tahun "&amp;DATEDIF(AM113,TODAY(),"ym")&amp;" bulan "</f>
        <v xml:space="preserve">5 tahun 1 bulan </v>
      </c>
      <c r="AO113" s="302" t="s">
        <v>30</v>
      </c>
      <c r="AP113" s="302" t="s">
        <v>30</v>
      </c>
      <c r="AQ113" s="302" t="s">
        <v>30</v>
      </c>
      <c r="AR113" s="302" t="s">
        <v>30</v>
      </c>
      <c r="AS113" s="302" t="s">
        <v>30</v>
      </c>
      <c r="AT113" s="302" t="s">
        <v>30</v>
      </c>
      <c r="AU113" s="302" t="s">
        <v>30</v>
      </c>
      <c r="AV113" s="281"/>
      <c r="AW113" s="281">
        <f>VLOOKUP(B113,Sheet2!A113:I230,9,FALSE)</f>
        <v>0</v>
      </c>
      <c r="AX113" s="281" t="s">
        <v>861</v>
      </c>
      <c r="AY113" s="281">
        <f>VLOOKUP(B113,Sheet2!A113:C230,2,FALSE)</f>
        <v>0</v>
      </c>
      <c r="AZ113" s="288" t="e">
        <f>VLOOKUP(B113,Sheet2!A113:C230,3,FALSE)</f>
        <v>#N/A</v>
      </c>
      <c r="BA113" s="281" t="e">
        <f ca="1">DATEDIF(AZ113, TODAY(),"y")</f>
        <v>#N/A</v>
      </c>
      <c r="BB113" s="281"/>
      <c r="BC113" s="281"/>
      <c r="BD113" s="281"/>
      <c r="BE113" s="281"/>
      <c r="BF113" s="289"/>
      <c r="BG113" s="289"/>
      <c r="BH113" s="289"/>
      <c r="BI113" s="289"/>
      <c r="BJ113" s="289"/>
      <c r="BK113" s="289"/>
      <c r="BL113" s="288" t="s">
        <v>21</v>
      </c>
      <c r="BM113" s="281"/>
      <c r="BN113" s="281"/>
      <c r="BO113" s="281"/>
      <c r="BP113" s="281"/>
      <c r="BQ113" s="281"/>
      <c r="BR113" s="288" t="e">
        <f>VLOOKUP(B113,Sheet2!A113:E230,5,FALSE)</f>
        <v>#N/A</v>
      </c>
      <c r="BS113" s="288" t="e">
        <f>VLOOKUP(B113,Sheet2!A113:F230,6,FALSE)</f>
        <v>#N/A</v>
      </c>
      <c r="BT113" s="288"/>
      <c r="BU113" s="288" t="str">
        <f>VLOOKUP(B113,Sheet2!A113:H230,8,FALSE)</f>
        <v xml:space="preserve"> </v>
      </c>
      <c r="BV113" s="280">
        <f>COUNTIFS('Join TPA Dosen'!B:B,'Dosen sorted'!B113)</f>
        <v>1</v>
      </c>
      <c r="BW113" s="273" t="str">
        <f>DATEDIF(AM113,DATE(2026,1,1),"y")&amp;" tahun "&amp;DATEDIF(AM113,DATE(2026,1,1),"ym")&amp;" bulan "</f>
        <v xml:space="preserve">5 tahun 1 bulan </v>
      </c>
      <c r="BX113" s="280">
        <f>VLOOKUP($B113,Sheet1!$A:$G,2,FALSE)</f>
        <v>0</v>
      </c>
      <c r="BY113" s="280">
        <f>VLOOKUP($B113,Sheet1!$A:$G,3,FALSE)</f>
        <v>0</v>
      </c>
      <c r="BZ113" s="280">
        <f>VLOOKUP($B113,Sheet1!$A:$G,4,FALSE)</f>
        <v>0</v>
      </c>
      <c r="CA113" s="280">
        <f>VLOOKUP($B113,Sheet1!$A:$G,5,FALSE)</f>
        <v>0</v>
      </c>
      <c r="CB113" s="280">
        <f>VLOOKUP($B113,Sheet1!$A:$G,6,FALSE)</f>
        <v>0</v>
      </c>
      <c r="CC113" s="280">
        <f>VLOOKUP($B113,Sheet1!$A:$G,7,FALSE)</f>
        <v>0</v>
      </c>
      <c r="CD113" s="280" t="e">
        <v>#N/A</v>
      </c>
      <c r="CE113" s="280" t="e">
        <v>#N/A</v>
      </c>
    </row>
    <row r="114" spans="1:83" ht="19.5" hidden="1">
      <c r="A114" s="281">
        <v>58</v>
      </c>
      <c r="B114" s="281" t="s">
        <v>469</v>
      </c>
      <c r="C114" s="281" t="s">
        <v>20</v>
      </c>
      <c r="D114" s="281" t="s">
        <v>448</v>
      </c>
      <c r="E114" s="281">
        <v>25930031</v>
      </c>
      <c r="F114" s="281" t="s">
        <v>1053</v>
      </c>
      <c r="G114" s="282" t="s">
        <v>470</v>
      </c>
      <c r="H114" s="301" t="s">
        <v>845</v>
      </c>
      <c r="I114" s="281" t="s">
        <v>30</v>
      </c>
      <c r="J114" s="281" t="s">
        <v>176</v>
      </c>
      <c r="K114" s="281" t="s">
        <v>846</v>
      </c>
      <c r="L114" s="281" t="s">
        <v>847</v>
      </c>
      <c r="M114" s="283" t="str">
        <f>IF(L114="NJAD","AA",IF(L114="AA","L",IF(L114="L","LK","GB")))</f>
        <v>L</v>
      </c>
      <c r="N114" s="282" t="s">
        <v>511</v>
      </c>
      <c r="O114" s="281">
        <v>150</v>
      </c>
      <c r="P114" s="281" t="s">
        <v>1054</v>
      </c>
      <c r="Q114" s="284">
        <v>45108</v>
      </c>
      <c r="R114" s="281" t="str">
        <f ca="1">DATEDIF(Q114,TODAY(), "Y") &amp; " Tahun " &amp; DATEDIF(Q114, TODAY(), "YM") &amp; " Bulan"</f>
        <v>2 Tahun 6 Bulan</v>
      </c>
      <c r="S114" s="281" t="s">
        <v>849</v>
      </c>
      <c r="T114" s="285">
        <v>45505</v>
      </c>
      <c r="U114" s="281" t="str">
        <f ca="1">DATEDIF(T114,TODAY(), "Y") &amp; " Tahun " &amp; DATEDIF(T114, TODAY(), "YM") &amp; " Bulan"</f>
        <v>1 Tahun 5 Bulan</v>
      </c>
      <c r="V114" s="281" t="s">
        <v>1055</v>
      </c>
      <c r="W114" s="281" t="s">
        <v>851</v>
      </c>
      <c r="X114" s="283" t="str">
        <f ca="1">IF(AND(OR(L114="AA",L114="L"),OR(S114="Penata Muda Tk. I Golongan III/b",S114="Penata Golongan III/c"),DATEDIF(Q114,TODAY(),"m")&gt;=23,ISBLANK(Z114),C114="Aktif"),"Nominasi Serdos","-")</f>
        <v>Nominasi Serdos</v>
      </c>
      <c r="Y114" s="281"/>
      <c r="Z114" s="282"/>
      <c r="AA114" s="281"/>
      <c r="AB114" s="281" t="s">
        <v>30</v>
      </c>
      <c r="AC114" s="282" t="s">
        <v>511</v>
      </c>
      <c r="AD114" s="281" t="s">
        <v>30</v>
      </c>
      <c r="AE114" s="281" t="s">
        <v>30</v>
      </c>
      <c r="AF114" s="281" t="s">
        <v>30</v>
      </c>
      <c r="AG114" s="281" t="s">
        <v>30</v>
      </c>
      <c r="AH114" s="281" t="s">
        <v>854</v>
      </c>
      <c r="AI114" s="281" t="s">
        <v>30</v>
      </c>
      <c r="AJ114" s="281" t="s">
        <v>30</v>
      </c>
      <c r="AK114" s="281" t="s">
        <v>30</v>
      </c>
      <c r="AM114" s="286">
        <v>44166</v>
      </c>
      <c r="AN114" s="287" t="str">
        <f ca="1">DATEDIF(AM114,TODAY(),"y")&amp;" tahun "&amp;DATEDIF(AM114,TODAY(),"ym")&amp;" bulan "</f>
        <v xml:space="preserve">5 tahun 1 bulan </v>
      </c>
      <c r="AO114" s="281" t="s">
        <v>868</v>
      </c>
      <c r="AP114" s="281" t="s">
        <v>980</v>
      </c>
      <c r="AQ114" s="281" t="s">
        <v>1056</v>
      </c>
      <c r="AR114" s="281" t="s">
        <v>471</v>
      </c>
      <c r="AS114" s="281">
        <v>81331292077</v>
      </c>
      <c r="AT114" s="281" t="s">
        <v>472</v>
      </c>
      <c r="AU114" s="281" t="s">
        <v>30</v>
      </c>
      <c r="AV114" s="281"/>
      <c r="AW114" s="281" t="str">
        <f>VLOOKUP(B114,Sheet2!A59:I176,9,FALSE)</f>
        <v>Nisa Isrofi, S.T., M.T.</v>
      </c>
      <c r="AX114" s="281" t="s">
        <v>902</v>
      </c>
      <c r="AY114" s="281" t="str">
        <f>VLOOKUP(B114,Sheet2!A59:C176,2,FALSE)</f>
        <v>Kediri</v>
      </c>
      <c r="AZ114" s="288">
        <f>VLOOKUP(B114,Sheet2!A59:C176,3,FALSE)</f>
        <v>34308</v>
      </c>
      <c r="BA114" s="281">
        <f ca="1">DATEDIF(AZ114, TODAY(),"y")</f>
        <v>32</v>
      </c>
      <c r="BB114" s="281"/>
      <c r="BC114" s="281"/>
      <c r="BD114" s="281"/>
      <c r="BE114" s="281"/>
      <c r="BF114" s="289"/>
      <c r="BG114" s="289"/>
      <c r="BH114" s="289"/>
      <c r="BI114" s="289"/>
      <c r="BJ114" s="289"/>
      <c r="BK114" s="289"/>
      <c r="BL114" s="288" t="str">
        <f>VLOOKUP(B114,Sheet2!A59:D176,4,FALSE)</f>
        <v>Kaprodi</v>
      </c>
      <c r="BM114" s="281"/>
      <c r="BN114" s="281"/>
      <c r="BO114" s="281"/>
      <c r="BP114" s="281"/>
      <c r="BQ114" s="281"/>
      <c r="BR114" s="288" t="str">
        <f>VLOOKUP(B114,Sheet2!A59:E176,5,FALSE)</f>
        <v>Enterprise and Industrial System (EINS)</v>
      </c>
      <c r="BS114" s="288" t="str">
        <f>VLOOKUP(B114,Sheet2!A59:F176,6,FALSE)</f>
        <v>NSX</v>
      </c>
      <c r="BT114" s="288" t="str">
        <f>VLOOKUP(B114,Sheet2!A59:G176,7,FALSE)</f>
        <v>Fakultas Rekayasa Industri</v>
      </c>
      <c r="BU114" s="288" t="str">
        <f>VLOOKUP(B114,Sheet2!A59:H176,8,FALSE)</f>
        <v>nisaisrofi@telkomuniversity.ac.id</v>
      </c>
      <c r="BV114" s="280">
        <f>COUNTIFS('Join TPA Dosen'!B:B,'Dosen sorted'!B59)</f>
        <v>1</v>
      </c>
      <c r="BW114" s="273" t="str">
        <f>DATEDIF(AM114,DATE(2026,1,1),"y")&amp;" tahun "&amp;DATEDIF(AM114,DATE(2026,1,1),"ym")&amp;" bulan "</f>
        <v xml:space="preserve">5 tahun 1 bulan </v>
      </c>
      <c r="BX114" s="280" t="str">
        <f>VLOOKUP($B114,Sheet1!$A:$G,2,FALSE)</f>
        <v>Univ. Brawijaya</v>
      </c>
      <c r="BY114" s="280" t="str">
        <f>VLOOKUP($B114,Sheet1!$A:$G,3,FALSE)</f>
        <v>Teknik/Teknik Industri</v>
      </c>
      <c r="BZ114" s="280" t="str">
        <f>VLOOKUP($B114,Sheet1!$A:$G,4,FALSE)</f>
        <v>ITS</v>
      </c>
      <c r="CA114" s="280" t="str">
        <f>VLOOKUP($B114,Sheet1!$A:$G,5,FALSE)</f>
        <v>Teknologi Industri/Teknik Industri</v>
      </c>
      <c r="CB114" s="280" t="str">
        <f>VLOOKUP($B114,Sheet1!$A:$G,6,FALSE)</f>
        <v>-</v>
      </c>
      <c r="CC114" s="280">
        <f>VLOOKUP($B114,Sheet1!$A:$G,7,FALSE)</f>
        <v>0</v>
      </c>
      <c r="CD114" s="280" t="s">
        <v>871</v>
      </c>
      <c r="CE114" s="280" t="s">
        <v>863</v>
      </c>
    </row>
    <row r="115" spans="1:83" ht="19.5" hidden="1">
      <c r="A115" s="281">
        <v>64</v>
      </c>
      <c r="B115" s="281" t="s">
        <v>506</v>
      </c>
      <c r="C115" s="281" t="s">
        <v>20</v>
      </c>
      <c r="D115" s="281" t="s">
        <v>475</v>
      </c>
      <c r="E115" s="281">
        <v>22960009</v>
      </c>
      <c r="F115" s="281" t="s">
        <v>1079</v>
      </c>
      <c r="G115" s="282" t="s">
        <v>507</v>
      </c>
      <c r="H115" s="291" t="s">
        <v>884</v>
      </c>
      <c r="I115" s="281" t="s">
        <v>30</v>
      </c>
      <c r="J115" s="281" t="s">
        <v>176</v>
      </c>
      <c r="K115" s="281" t="s">
        <v>917</v>
      </c>
      <c r="L115" s="281" t="s">
        <v>918</v>
      </c>
      <c r="M115" s="283" t="str">
        <f>IF(L115="NJAD","AA",IF(L115="AA","L",IF(L115="L","LK","GB")))</f>
        <v>AA</v>
      </c>
      <c r="N115" s="282" t="s">
        <v>511</v>
      </c>
      <c r="O115" s="281">
        <v>0</v>
      </c>
      <c r="P115" s="281" t="s">
        <v>30</v>
      </c>
      <c r="Q115" s="284">
        <v>44627</v>
      </c>
      <c r="R115" s="281" t="str">
        <f ca="1">DATEDIF(Q115,TODAY(), "Y") &amp; " Tahun " &amp; DATEDIF(Q115, TODAY(), "YM") &amp; " Bulan"</f>
        <v>3 Tahun 10 Bulan</v>
      </c>
      <c r="S115" s="282" t="s">
        <v>511</v>
      </c>
      <c r="T115" s="282" t="s">
        <v>511</v>
      </c>
      <c r="U115" s="281" t="e">
        <f ca="1">DATEDIF(T115,TODAY(), "Y") &amp; " Tahun " &amp; DATEDIF(T115, TODAY(), "YM") &amp; " Bulan"</f>
        <v>#VALUE!</v>
      </c>
      <c r="V115" s="281" t="s">
        <v>866</v>
      </c>
      <c r="W115" s="281" t="s">
        <v>851</v>
      </c>
      <c r="X115" s="283" t="str">
        <f ca="1">IF(AND(OR(L115="AA",L115="L"),OR(S115="Penata Muda Tk. I Golongan III/b",S115="Penata Golongan III/c"),DATEDIF(Q115,TODAY(),"m")&gt;=23,ISBLANK(Z115),C115="Aktif"),"Nominasi Serdos","-")</f>
        <v>-</v>
      </c>
      <c r="Y115" s="281"/>
      <c r="Z115" s="282"/>
      <c r="AA115" s="281"/>
      <c r="AB115" s="281" t="s">
        <v>30</v>
      </c>
      <c r="AC115" s="282" t="s">
        <v>511</v>
      </c>
      <c r="AD115" s="281" t="s">
        <v>30</v>
      </c>
      <c r="AE115" s="281" t="s">
        <v>30</v>
      </c>
      <c r="AF115" s="281" t="s">
        <v>30</v>
      </c>
      <c r="AG115" s="281" t="s">
        <v>30</v>
      </c>
      <c r="AH115" s="281" t="s">
        <v>854</v>
      </c>
      <c r="AI115" s="281" t="s">
        <v>30</v>
      </c>
      <c r="AJ115" s="281" t="s">
        <v>30</v>
      </c>
      <c r="AK115" s="281" t="s">
        <v>30</v>
      </c>
      <c r="AM115" s="286">
        <v>44627</v>
      </c>
      <c r="AN115" s="287" t="str">
        <f ca="1">DATEDIF(AM115,TODAY(),"y")&amp;" tahun "&amp;DATEDIF(AM115,TODAY(),"ym")&amp;" bulan "</f>
        <v xml:space="preserve">3 tahun 10 bulan </v>
      </c>
      <c r="AO115" s="281" t="s">
        <v>868</v>
      </c>
      <c r="AP115" s="281" t="s">
        <v>869</v>
      </c>
      <c r="AQ115" s="281" t="s">
        <v>1080</v>
      </c>
      <c r="AR115" s="281" t="s">
        <v>508</v>
      </c>
      <c r="AS115" s="281">
        <v>82116869268</v>
      </c>
      <c r="AT115" s="281" t="s">
        <v>509</v>
      </c>
      <c r="AU115" s="281" t="s">
        <v>30</v>
      </c>
      <c r="AV115" s="281"/>
      <c r="AW115" s="281" t="str">
        <f>VLOOKUP(B115,Sheet2!A65:I182,9,FALSE)</f>
        <v>Arrizky Ayu Faradila Purnama, S.T., M.T.</v>
      </c>
      <c r="AX115" s="281" t="s">
        <v>902</v>
      </c>
      <c r="AY115" s="281" t="str">
        <f>VLOOKUP(B115,Sheet2!A65:C182,2,FALSE)</f>
        <v>Trenggalek</v>
      </c>
      <c r="AZ115" s="288">
        <f>VLOOKUP(B115,Sheet2!A65:C182,3,FALSE)</f>
        <v>35109</v>
      </c>
      <c r="BA115" s="281">
        <f ca="1">DATEDIF(AZ115, TODAY(),"y")</f>
        <v>29</v>
      </c>
      <c r="BB115" s="281"/>
      <c r="BC115" s="281"/>
      <c r="BD115" s="281"/>
      <c r="BE115" s="281"/>
      <c r="BF115" s="289"/>
      <c r="BG115" s="289"/>
      <c r="BH115" s="289"/>
      <c r="BI115" s="289"/>
      <c r="BJ115" s="289"/>
      <c r="BK115" s="289"/>
      <c r="BL115" s="288" t="str">
        <f>VLOOKUP(B115,Sheet2!A65:D182,4,FALSE)</f>
        <v>Dosen</v>
      </c>
      <c r="BM115" s="281"/>
      <c r="BN115" s="281"/>
      <c r="BO115" s="281"/>
      <c r="BP115" s="281"/>
      <c r="BQ115" s="281"/>
      <c r="BR115" s="288" t="str">
        <f>VLOOKUP(B115,Sheet2!A65:E182,5,FALSE)</f>
        <v>Intelligent Communications and Networks (ICON)</v>
      </c>
      <c r="BS115" s="288" t="str">
        <f>VLOOKUP(B115,Sheet2!A65:F182,6,FALSE)</f>
        <v>KYA</v>
      </c>
      <c r="BT115" s="288" t="str">
        <f>VLOOKUP(B115,Sheet2!A65:G182,7,FALSE)</f>
        <v>Fakultas Teknik Elektro</v>
      </c>
      <c r="BU115" s="288" t="str">
        <f>VLOOKUP(B115,Sheet2!A65:H182,8,FALSE)</f>
        <v>kyafara@telkomuniversity.ac.id</v>
      </c>
      <c r="BV115" s="280">
        <f>COUNTIFS('Join TPA Dosen'!B:B,'Dosen sorted'!B65)</f>
        <v>1</v>
      </c>
      <c r="BW115" s="273" t="str">
        <f>DATEDIF(AM115,DATE(2026,1,1),"y")&amp;" tahun "&amp;DATEDIF(AM115,DATE(2026,1,1),"ym")&amp;" bulan "</f>
        <v xml:space="preserve">3 tahun 9 bulan </v>
      </c>
      <c r="BX115" s="280" t="str">
        <f>VLOOKUP($B115,Sheet1!$A:$G,2,FALSE)</f>
        <v>Tel-U</v>
      </c>
      <c r="BY115" s="280" t="str">
        <f>VLOOKUP($B115,Sheet1!$A:$G,3,FALSE)</f>
        <v>Teknik Telekomunikasi</v>
      </c>
      <c r="BZ115" s="280" t="str">
        <f>VLOOKUP($B115,Sheet1!$A:$G,4,FALSE)</f>
        <v>Tel-U</v>
      </c>
      <c r="CA115" s="280" t="str">
        <f>VLOOKUP($B115,Sheet1!$A:$G,5,FALSE)</f>
        <v>Teknik Elektro</v>
      </c>
      <c r="CB115" s="280" t="str">
        <f>VLOOKUP($B115,Sheet1!$A:$G,6,FALSE)</f>
        <v>-</v>
      </c>
      <c r="CC115" s="280">
        <f>VLOOKUP($B115,Sheet1!$A:$G,7,FALSE)</f>
        <v>0</v>
      </c>
      <c r="CD115" s="280" t="s">
        <v>882</v>
      </c>
      <c r="CE115" s="280" t="s">
        <v>872</v>
      </c>
    </row>
    <row r="116" spans="1:83" ht="19.5" hidden="1">
      <c r="A116" s="281">
        <v>59</v>
      </c>
      <c r="B116" s="281" t="s">
        <v>501</v>
      </c>
      <c r="C116" s="281" t="s">
        <v>20</v>
      </c>
      <c r="D116" s="281" t="s">
        <v>475</v>
      </c>
      <c r="E116" s="291">
        <v>25910023</v>
      </c>
      <c r="F116" s="281" t="s">
        <v>1057</v>
      </c>
      <c r="G116" s="282" t="s">
        <v>502</v>
      </c>
      <c r="H116" s="301" t="s">
        <v>845</v>
      </c>
      <c r="I116" s="281" t="s">
        <v>143</v>
      </c>
      <c r="J116" s="281" t="s">
        <v>503</v>
      </c>
      <c r="K116" s="281" t="s">
        <v>874</v>
      </c>
      <c r="L116" s="281" t="s">
        <v>775</v>
      </c>
      <c r="M116" s="283" t="str">
        <f>IF(L116="NJAD","AA",IF(L116="AA","L",IF(L116="L","LK","GB")))</f>
        <v>LK</v>
      </c>
      <c r="N116" s="282" t="s">
        <v>511</v>
      </c>
      <c r="O116" s="281">
        <v>200</v>
      </c>
      <c r="P116" s="281" t="s">
        <v>1058</v>
      </c>
      <c r="Q116" s="284">
        <v>45108</v>
      </c>
      <c r="R116" s="281" t="str">
        <f ca="1">DATEDIF(Q116,TODAY(), "Y") &amp; " Tahun " &amp; DATEDIF(Q116, TODAY(), "YM") &amp; " Bulan"</f>
        <v>2 Tahun 6 Bulan</v>
      </c>
      <c r="S116" s="281" t="s">
        <v>876</v>
      </c>
      <c r="T116" s="285">
        <v>45505</v>
      </c>
      <c r="U116" s="281" t="str">
        <f ca="1">DATEDIF(T116,TODAY(), "Y") &amp; " Tahun " &amp; DATEDIF(T116, TODAY(), "YM") &amp; " Bulan"</f>
        <v>1 Tahun 5 Bulan</v>
      </c>
      <c r="V116" s="281" t="s">
        <v>1059</v>
      </c>
      <c r="W116" s="281" t="s">
        <v>851</v>
      </c>
      <c r="X116" s="283" t="str">
        <f ca="1">IF(AND(OR(L116="AA",L116="L"),OR(S116="Penata Muda Tk. I Golongan III/b",S116="Penata Golongan III/c"),DATEDIF(Q116,TODAY(),"m")&gt;=23,ISBLANK(Z116),C116="Aktif"),"Nominasi Serdos","-")</f>
        <v>Nominasi Serdos</v>
      </c>
      <c r="Y116" s="281"/>
      <c r="Z116" s="282"/>
      <c r="AA116" s="281"/>
      <c r="AB116" s="281" t="s">
        <v>30</v>
      </c>
      <c r="AC116" s="282" t="s">
        <v>511</v>
      </c>
      <c r="AD116" s="281" t="s">
        <v>30</v>
      </c>
      <c r="AE116" s="281" t="s">
        <v>30</v>
      </c>
      <c r="AF116" s="281" t="s">
        <v>30</v>
      </c>
      <c r="AG116" s="281" t="s">
        <v>30</v>
      </c>
      <c r="AH116" s="281" t="s">
        <v>879</v>
      </c>
      <c r="AI116" s="281" t="s">
        <v>30</v>
      </c>
      <c r="AJ116" s="281" t="s">
        <v>30</v>
      </c>
      <c r="AK116" s="281" t="s">
        <v>30</v>
      </c>
      <c r="AM116" s="286">
        <v>43885</v>
      </c>
      <c r="AN116" s="287" t="str">
        <f ca="1">DATEDIF(AM116,TODAY(),"y")&amp;" tahun "&amp;DATEDIF(AM116,TODAY(),"ym")&amp;" bulan "</f>
        <v xml:space="preserve">5 tahun 10 bulan </v>
      </c>
      <c r="AO116" s="281" t="s">
        <v>868</v>
      </c>
      <c r="AP116" s="281" t="s">
        <v>869</v>
      </c>
      <c r="AQ116" s="281" t="s">
        <v>1060</v>
      </c>
      <c r="AR116" s="281" t="s">
        <v>504</v>
      </c>
      <c r="AS116" s="281">
        <v>81333391371</v>
      </c>
      <c r="AT116" s="281" t="s">
        <v>505</v>
      </c>
      <c r="AU116" s="281" t="s">
        <v>30</v>
      </c>
      <c r="AV116" s="281"/>
      <c r="AW116" s="281" t="str">
        <f>VLOOKUP(B116,Sheet2!A60:I177,9,FALSE)</f>
        <v>Dr. Fannush Shofi Akbar, S.ST.</v>
      </c>
      <c r="AX116" s="281" t="s">
        <v>861</v>
      </c>
      <c r="AY116" s="281" t="str">
        <f>VLOOKUP(B116,Sheet2!A60:C177,2,FALSE)</f>
        <v>Surabaya</v>
      </c>
      <c r="AZ116" s="288">
        <f>VLOOKUP(B116,Sheet2!A60:C177,3,FALSE)</f>
        <v>33564</v>
      </c>
      <c r="BA116" s="281">
        <f ca="1">DATEDIF(AZ116, TODAY(),"y")</f>
        <v>34</v>
      </c>
      <c r="BB116" s="281"/>
      <c r="BC116" s="281"/>
      <c r="BD116" s="281"/>
      <c r="BE116" s="281"/>
      <c r="BF116" s="289"/>
      <c r="BG116" s="289"/>
      <c r="BH116" s="289"/>
      <c r="BI116" s="304"/>
      <c r="BJ116" s="304"/>
      <c r="BK116" s="304"/>
      <c r="BL116" s="288" t="str">
        <f>VLOOKUP(B116,Sheet2!A60:D177,4,FALSE)</f>
        <v>Kaprodi</v>
      </c>
      <c r="BM116" s="281"/>
      <c r="BN116" s="281"/>
      <c r="BO116" s="281"/>
      <c r="BP116" s="281"/>
      <c r="BQ116" s="281"/>
      <c r="BR116" s="288" t="str">
        <f>VLOOKUP(B116,Sheet2!A60:E177,5,FALSE)</f>
        <v>Intelligent Communications and Networks (ICON)</v>
      </c>
      <c r="BS116" s="288" t="str">
        <f>VLOOKUP(B116,Sheet2!A60:F177,6,FALSE)</f>
        <v>FSX</v>
      </c>
      <c r="BT116" s="288" t="str">
        <f>VLOOKUP(B116,Sheet2!A60:G177,7,FALSE)</f>
        <v>Fakultas Teknik Elektro</v>
      </c>
      <c r="BU116" s="288" t="str">
        <f>VLOOKUP(B116,Sheet2!A60:H177,8,FALSE)</f>
        <v>fannushakbar@telkomuniversity.ac.id</v>
      </c>
      <c r="BV116" s="280">
        <f>COUNTIFS('Join TPA Dosen'!B:B,'Dosen sorted'!B60)</f>
        <v>1</v>
      </c>
      <c r="BW116" s="273" t="str">
        <f>DATEDIF(AM116,DATE(2026,1,1),"y")&amp;" tahun "&amp;DATEDIF(AM116,DATE(2026,1,1),"ym")&amp;" bulan "</f>
        <v xml:space="preserve">5 tahun 10 bulan </v>
      </c>
      <c r="BX116" s="280" t="str">
        <f>VLOOKUP($B116,Sheet1!$A:$G,2,FALSE)</f>
        <v>PENS</v>
      </c>
      <c r="BY116" s="280" t="str">
        <f>VLOOKUP($B116,Sheet1!$A:$G,3,FALSE)</f>
        <v>Teknik Telekomunikasi</v>
      </c>
      <c r="BZ116" s="280" t="str">
        <f>VLOOKUP($B116,Sheet1!$A:$G,4,FALSE)</f>
        <v>ITS</v>
      </c>
      <c r="CA116" s="280" t="str">
        <f>VLOOKUP($B116,Sheet1!$A:$G,5,FALSE)</f>
        <v>Teknik Elektro</v>
      </c>
      <c r="CB116" s="280" t="str">
        <f>VLOOKUP($B116,Sheet1!$A:$G,6,FALSE)</f>
        <v>ITS</v>
      </c>
      <c r="CC116" s="280" t="str">
        <f>VLOOKUP($B116,Sheet1!$A:$G,7,FALSE)</f>
        <v>Teknik Elektro</v>
      </c>
      <c r="CD116" s="280" t="s">
        <v>882</v>
      </c>
      <c r="CE116" s="280" t="s">
        <v>872</v>
      </c>
    </row>
    <row r="117" spans="1:83" ht="19.5" hidden="1">
      <c r="A117" s="281">
        <v>16</v>
      </c>
      <c r="B117" s="281" t="s">
        <v>484</v>
      </c>
      <c r="C117" s="281" t="s">
        <v>20</v>
      </c>
      <c r="D117" s="281" t="s">
        <v>475</v>
      </c>
      <c r="E117" s="281">
        <v>19900004</v>
      </c>
      <c r="F117" s="281" t="s">
        <v>1302</v>
      </c>
      <c r="G117" s="282" t="s">
        <v>485</v>
      </c>
      <c r="H117" s="281" t="s">
        <v>845</v>
      </c>
      <c r="I117" s="281" t="s">
        <v>30</v>
      </c>
      <c r="J117" s="281" t="s">
        <v>176</v>
      </c>
      <c r="K117" s="281" t="s">
        <v>846</v>
      </c>
      <c r="L117" s="281" t="s">
        <v>847</v>
      </c>
      <c r="M117" s="283" t="str">
        <f>IF(L117="NJAD","AA",IF(L117="AA","L",IF(L117="L","LK","GB")))</f>
        <v>L</v>
      </c>
      <c r="N117" s="282" t="s">
        <v>511</v>
      </c>
      <c r="O117" s="281">
        <v>150</v>
      </c>
      <c r="P117" s="281" t="s">
        <v>1303</v>
      </c>
      <c r="Q117" s="284">
        <v>44007</v>
      </c>
      <c r="R117" s="281" t="str">
        <f ca="1">DATEDIF(Q117,TODAY(), "Y") &amp; " Tahun " &amp; DATEDIF(Q117, TODAY(), "YM") &amp; " Bulan"</f>
        <v>5 Tahun 6 Bulan</v>
      </c>
      <c r="S117" s="281" t="s">
        <v>849</v>
      </c>
      <c r="T117" s="285">
        <v>44075</v>
      </c>
      <c r="U117" s="281" t="str">
        <f ca="1">DATEDIF(T117,TODAY(), "Y") &amp; " Tahun " &amp; DATEDIF(T117, TODAY(), "YM") &amp; " Bulan"</f>
        <v>5 Tahun 4 Bulan</v>
      </c>
      <c r="V117" s="281" t="s">
        <v>866</v>
      </c>
      <c r="W117" s="281" t="s">
        <v>851</v>
      </c>
      <c r="X117" s="283" t="str">
        <f ca="1">IF(AND(OR(L117="AA",L117="L"),OR(S117="Penata Muda Tk. I Golongan III/b",S117="Penata Golongan III/c"),DATEDIF(Q117,TODAY(),"m")&gt;=23,ISBLANK(Z117),C117="Aktif"),"Nominasi Serdos","-")</f>
        <v>-</v>
      </c>
      <c r="Y117" s="281"/>
      <c r="Z117" s="281" t="s">
        <v>852</v>
      </c>
      <c r="AA117" s="281">
        <v>22107201905190</v>
      </c>
      <c r="AB117" s="281" t="s">
        <v>1304</v>
      </c>
      <c r="AC117" s="285">
        <v>44846</v>
      </c>
      <c r="AD117" s="281" t="s">
        <v>30</v>
      </c>
      <c r="AE117" s="281" t="s">
        <v>30</v>
      </c>
      <c r="AF117" s="281" t="s">
        <v>30</v>
      </c>
      <c r="AG117" s="281" t="s">
        <v>30</v>
      </c>
      <c r="AH117" s="281" t="s">
        <v>854</v>
      </c>
      <c r="AI117" s="293" t="s">
        <v>855</v>
      </c>
      <c r="AJ117" s="293" t="s">
        <v>856</v>
      </c>
      <c r="AK117" s="281" t="s">
        <v>855</v>
      </c>
      <c r="AL117" s="293" t="s">
        <v>857</v>
      </c>
      <c r="AM117" s="286">
        <v>43101</v>
      </c>
      <c r="AN117" s="287" t="str">
        <f ca="1">DATEDIF(AM117,TODAY(),"y")&amp;" tahun "&amp;DATEDIF(AM117,TODAY(),"ym")&amp;" bulan "</f>
        <v xml:space="preserve">8 tahun 0 bulan </v>
      </c>
      <c r="AO117" s="281" t="s">
        <v>868</v>
      </c>
      <c r="AP117" s="281" t="s">
        <v>869</v>
      </c>
      <c r="AQ117" s="281" t="s">
        <v>1305</v>
      </c>
      <c r="AR117" s="281" t="s">
        <v>486</v>
      </c>
      <c r="AS117" s="281">
        <v>85316010070</v>
      </c>
      <c r="AT117" s="281" t="s">
        <v>487</v>
      </c>
      <c r="AU117" s="281" t="s">
        <v>30</v>
      </c>
      <c r="AV117" s="281"/>
      <c r="AW117" s="281" t="str">
        <f>VLOOKUP(B117,Sheet2!A17:I134,9,FALSE)</f>
        <v>Hamzah Ulinuha Mustakim, S.T., M.T.</v>
      </c>
      <c r="AX117" s="281" t="s">
        <v>861</v>
      </c>
      <c r="AY117" s="281" t="str">
        <f>VLOOKUP(B117,Sheet2!A17:C134,2,FALSE)</f>
        <v>Blitar</v>
      </c>
      <c r="AZ117" s="288">
        <f>VLOOKUP(B117,Sheet2!A17:C134,3,FALSE)</f>
        <v>33020</v>
      </c>
      <c r="BA117" s="281">
        <f ca="1">DATEDIF(AZ117, TODAY(),"y")</f>
        <v>35</v>
      </c>
      <c r="BB117" s="281"/>
      <c r="BC117" s="281"/>
      <c r="BD117" s="281"/>
      <c r="BE117" s="281"/>
      <c r="BF117" s="289"/>
      <c r="BG117" s="289"/>
      <c r="BH117" s="289"/>
      <c r="BI117" s="304"/>
      <c r="BJ117" s="304"/>
      <c r="BK117" s="304"/>
      <c r="BL117" s="288" t="str">
        <f>VLOOKUP(B117,Sheet2!A17:D134,4,FALSE)</f>
        <v>Dosen</v>
      </c>
      <c r="BM117" s="281"/>
      <c r="BN117" s="281"/>
      <c r="BO117" s="281"/>
      <c r="BP117" s="281"/>
      <c r="BQ117" s="281"/>
      <c r="BR117" s="288" t="str">
        <f>VLOOKUP(B117,Sheet2!A17:E134,5,FALSE)</f>
        <v>Intelligent Communications and Networks (ICON)</v>
      </c>
      <c r="BS117" s="288" t="str">
        <f>VLOOKUP(B117,Sheet2!A17:F134,6,FALSE)</f>
        <v>ZAH</v>
      </c>
      <c r="BT117" s="288" t="str">
        <f>VLOOKUP(B117,Sheet2!A17:G134,7,FALSE)</f>
        <v>Fakultas Teknik Elektro</v>
      </c>
      <c r="BU117" s="288" t="str">
        <f>VLOOKUP(B117,Sheet2!A17:H134,8,FALSE)</f>
        <v>hamzahmustakim@telkomuniversity.ac.id</v>
      </c>
      <c r="BV117" s="280">
        <f>COUNTIFS('Join TPA Dosen'!B:B,'Dosen sorted'!B27)</f>
        <v>1</v>
      </c>
      <c r="BW117" s="273" t="str">
        <f>DATEDIF(AM117,DATE(2026,1,1),"y")&amp;" tahun "&amp;DATEDIF(AM117,DATE(2026,1,1),"ym")&amp;" bulan "</f>
        <v xml:space="preserve">8 tahun 0 bulan </v>
      </c>
      <c r="BX117" s="280" t="str">
        <f>VLOOKUP($B117,Sheet1!$A:$G,2,FALSE)</f>
        <v>Tel-U</v>
      </c>
      <c r="BY117" s="280" t="str">
        <f>VLOOKUP($B117,Sheet1!$A:$G,3,FALSE)</f>
        <v>Teknik Telekomunikasi</v>
      </c>
      <c r="BZ117" s="280" t="str">
        <f>VLOOKUP($B117,Sheet1!$A:$G,4,FALSE)</f>
        <v>ITB</v>
      </c>
      <c r="CA117" s="280" t="str">
        <f>VLOOKUP($B117,Sheet1!$A:$G,5,FALSE)</f>
        <v>Teknik Elektro</v>
      </c>
      <c r="CB117" s="280" t="str">
        <f>VLOOKUP($B117,Sheet1!$A:$G,6,FALSE)</f>
        <v>UGM</v>
      </c>
      <c r="CC117" s="280" t="str">
        <f>VLOOKUP($B117,Sheet1!$A:$G,7,FALSE)</f>
        <v>Teknik Elektro</v>
      </c>
      <c r="CD117" s="280" t="s">
        <v>882</v>
      </c>
      <c r="CE117" s="280" t="s">
        <v>872</v>
      </c>
    </row>
    <row r="118" spans="1:83" ht="19.5" hidden="1">
      <c r="A118" s="281">
        <v>95</v>
      </c>
      <c r="B118" s="281" t="s">
        <v>514</v>
      </c>
      <c r="C118" s="281" t="s">
        <v>20</v>
      </c>
      <c r="D118" s="281" t="s">
        <v>475</v>
      </c>
      <c r="E118" s="281">
        <v>23900001</v>
      </c>
      <c r="F118" s="291" t="s">
        <v>1199</v>
      </c>
      <c r="G118" s="296" t="s">
        <v>515</v>
      </c>
      <c r="H118" s="291" t="s">
        <v>884</v>
      </c>
      <c r="I118" s="281" t="s">
        <v>30</v>
      </c>
      <c r="J118" s="281" t="s">
        <v>516</v>
      </c>
      <c r="K118" s="281" t="s">
        <v>874</v>
      </c>
      <c r="L118" s="281" t="s">
        <v>775</v>
      </c>
      <c r="M118" s="283" t="str">
        <f>IF(L118="NJAD","AA",IF(L118="AA","L",IF(L118="L","LK","GB")))</f>
        <v>LK</v>
      </c>
      <c r="N118" s="292" t="s">
        <v>511</v>
      </c>
      <c r="O118" s="281">
        <v>200</v>
      </c>
      <c r="P118" s="281" t="s">
        <v>30</v>
      </c>
      <c r="Q118" s="284">
        <v>45597</v>
      </c>
      <c r="R118" s="281" t="str">
        <f ca="1">DATEDIF(Q118,TODAY(), "Y") &amp; " Tahun " &amp; DATEDIF(Q118, TODAY(), "YM") &amp; " Bulan"</f>
        <v>1 Tahun 2 Bulan</v>
      </c>
      <c r="S118" s="281" t="s">
        <v>876</v>
      </c>
      <c r="T118" s="285">
        <v>45717</v>
      </c>
      <c r="U118" s="281" t="str">
        <f ca="1">DATEDIF(T118,TODAY(), "Y") &amp; " Tahun " &amp; DATEDIF(T118, TODAY(), "YM") &amp; " Bulan"</f>
        <v>0 Tahun 10 Bulan</v>
      </c>
      <c r="V118" s="281" t="s">
        <v>1200</v>
      </c>
      <c r="W118" s="281" t="s">
        <v>851</v>
      </c>
      <c r="X118" s="283" t="str">
        <f ca="1">IF(AND(OR(L118="AA",L118="L"),OR(S118="Penata Muda Tk. I Golongan III/b",S118="Penata Golongan III/c"),DATEDIF(Q118,TODAY(),"m")&gt;=23,ISBLANK(Z118),C118="Aktif"),"Nominasi Serdos","-")</f>
        <v>-</v>
      </c>
      <c r="Y118" s="281"/>
      <c r="Z118" s="282"/>
      <c r="AA118" s="281"/>
      <c r="AB118" s="281" t="s">
        <v>30</v>
      </c>
      <c r="AC118" s="281" t="s">
        <v>30</v>
      </c>
      <c r="AD118" s="281" t="s">
        <v>30</v>
      </c>
      <c r="AE118" s="281" t="s">
        <v>30</v>
      </c>
      <c r="AF118" s="281" t="s">
        <v>30</v>
      </c>
      <c r="AG118" s="281" t="s">
        <v>30</v>
      </c>
      <c r="AH118" s="281" t="s">
        <v>879</v>
      </c>
      <c r="AI118" s="281" t="s">
        <v>30</v>
      </c>
      <c r="AJ118" s="281" t="s">
        <v>30</v>
      </c>
      <c r="AK118" s="281" t="s">
        <v>30</v>
      </c>
      <c r="AM118" s="286">
        <v>44927</v>
      </c>
      <c r="AN118" s="287" t="str">
        <f ca="1">DATEDIF(AM118,TODAY(),"y")&amp;" tahun "&amp;DATEDIF(AM118,TODAY(),"ym")&amp;" bulan "</f>
        <v xml:space="preserve">3 tahun 0 bulan </v>
      </c>
      <c r="AO118" s="281" t="s">
        <v>868</v>
      </c>
      <c r="AP118" s="281" t="s">
        <v>939</v>
      </c>
      <c r="AQ118" s="281" t="s">
        <v>1201</v>
      </c>
      <c r="AR118" s="281" t="s">
        <v>517</v>
      </c>
      <c r="AS118" s="281">
        <v>81232146437</v>
      </c>
      <c r="AT118" s="281" t="s">
        <v>518</v>
      </c>
      <c r="AU118" s="281" t="s">
        <v>30</v>
      </c>
      <c r="AV118" s="281"/>
      <c r="AW118" s="281" t="str">
        <f>VLOOKUP(B118,Sheet2!A96:I213,9,FALSE)</f>
        <v>Hendy Briantoro, S.ST., M.T., Ph.D.</v>
      </c>
      <c r="AX118" s="281" t="s">
        <v>861</v>
      </c>
      <c r="AY118" s="281" t="str">
        <f>VLOOKUP(B118,Sheet2!A96:C213,2,FALSE)</f>
        <v>Pasuruan</v>
      </c>
      <c r="AZ118" s="288">
        <f>VLOOKUP(B118,Sheet2!A96:C213,3,FALSE)</f>
        <v>33084</v>
      </c>
      <c r="BA118" s="281">
        <f ca="1">DATEDIF(AZ118, TODAY(),"y")</f>
        <v>35</v>
      </c>
      <c r="BB118" s="281"/>
      <c r="BC118" s="281"/>
      <c r="BD118" s="281"/>
      <c r="BE118" s="281"/>
      <c r="BF118" s="289"/>
      <c r="BG118" s="289"/>
      <c r="BH118" s="289"/>
      <c r="BI118" s="289"/>
      <c r="BJ118" s="289"/>
      <c r="BK118" s="289"/>
      <c r="BL118" s="288" t="str">
        <f>VLOOKUP(B118,Sheet2!A96:D213,4,FALSE)</f>
        <v>Kabag</v>
      </c>
      <c r="BM118" s="281"/>
      <c r="BN118" s="281"/>
      <c r="BO118" s="281"/>
      <c r="BP118" s="281"/>
      <c r="BQ118" s="281"/>
      <c r="BR118" s="288" t="str">
        <f>VLOOKUP(B118,Sheet2!A96:E213,5,FALSE)</f>
        <v>Intelligent Communications and Networks (ICON)</v>
      </c>
      <c r="BS118" s="288" t="str">
        <f>VLOOKUP(B118,Sheet2!A96:F213,6,FALSE)</f>
        <v>HBO</v>
      </c>
      <c r="BT118" s="288" t="str">
        <f>VLOOKUP(B118,Sheet2!A96:G213,7,FALSE)</f>
        <v>Fakultas Teknik Elektro</v>
      </c>
      <c r="BU118" s="288" t="str">
        <f>VLOOKUP(B118,Sheet2!A96:H213,8,FALSE)</f>
        <v>hendybr@telkomuniversity.ac.id</v>
      </c>
      <c r="BV118" s="280">
        <f>COUNTIFS('Join TPA Dosen'!B:B,'Dosen sorted'!B96)</f>
        <v>1</v>
      </c>
      <c r="BW118" s="273" t="str">
        <f>DATEDIF(AM118,DATE(2026,1,1),"y")&amp;" tahun "&amp;DATEDIF(AM118,DATE(2026,1,1),"ym")&amp;" bulan "</f>
        <v xml:space="preserve">3 tahun 0 bulan </v>
      </c>
      <c r="BX118" s="280" t="str">
        <f>VLOOKUP($B118,Sheet1!$A:$G,2,FALSE)</f>
        <v>PENS</v>
      </c>
      <c r="BY118" s="280" t="str">
        <f>VLOOKUP($B118,Sheet1!$A:$G,3,FALSE)</f>
        <v>Teknik Telekomunikasi</v>
      </c>
      <c r="BZ118" s="280" t="str">
        <f>VLOOKUP($B118,Sheet1!$A:$G,4,FALSE)</f>
        <v>PENS</v>
      </c>
      <c r="CA118" s="280" t="str">
        <f>VLOOKUP($B118,Sheet1!$A:$G,5,FALSE)</f>
        <v>Teknik Elektro</v>
      </c>
      <c r="CB118" s="280" t="str">
        <f>VLOOKUP($B118,Sheet1!$A:$G,6,FALSE)</f>
        <v>Okayama University</v>
      </c>
      <c r="CC118" s="280" t="str">
        <f>VLOOKUP($B118,Sheet1!$A:$G,7,FALSE)</f>
        <v>Division of Industrial Innovation Sciences</v>
      </c>
      <c r="CD118" s="280" t="s">
        <v>862</v>
      </c>
      <c r="CE118" s="280" t="s">
        <v>872</v>
      </c>
    </row>
    <row r="119" spans="1:83" ht="19.5" hidden="1">
      <c r="A119" s="281">
        <v>97</v>
      </c>
      <c r="B119" s="281" t="s">
        <v>488</v>
      </c>
      <c r="C119" s="281" t="s">
        <v>20</v>
      </c>
      <c r="D119" s="281" t="s">
        <v>475</v>
      </c>
      <c r="E119" s="281">
        <v>25760006</v>
      </c>
      <c r="F119" s="342" t="s">
        <v>1220</v>
      </c>
      <c r="G119" s="282" t="s">
        <v>489</v>
      </c>
      <c r="H119" s="291" t="s">
        <v>845</v>
      </c>
      <c r="I119" s="281" t="s">
        <v>143</v>
      </c>
      <c r="J119" s="281" t="s">
        <v>176</v>
      </c>
      <c r="K119" s="281" t="s">
        <v>905</v>
      </c>
      <c r="L119" s="281" t="s">
        <v>776</v>
      </c>
      <c r="M119" s="283" t="str">
        <f>IF(L119="NJAD","AA",IF(L119="AA","L",IF(L119="L","LK","GB")))</f>
        <v>GB</v>
      </c>
      <c r="N119" s="282" t="s">
        <v>511</v>
      </c>
      <c r="O119" s="281">
        <v>550</v>
      </c>
      <c r="P119" s="281" t="s">
        <v>765</v>
      </c>
      <c r="Q119" s="284">
        <v>41852</v>
      </c>
      <c r="R119" s="281" t="str">
        <f ca="1">DATEDIF(Q119,TODAY(), "Y") &amp; " Tahun " &amp; DATEDIF(Q119, TODAY(), "YM") &amp; " Bulan"</f>
        <v>11 Tahun 5 Bulan</v>
      </c>
      <c r="S119" s="281" t="s">
        <v>1221</v>
      </c>
      <c r="T119" s="285">
        <v>44197</v>
      </c>
      <c r="U119" s="281" t="str">
        <f ca="1">DATEDIF(T119,TODAY(), "Y") &amp; " Tahun " &amp; DATEDIF(T119, TODAY(), "YM") &amp; " Bulan"</f>
        <v>5 Tahun 0 Bulan</v>
      </c>
      <c r="V119" s="281" t="s">
        <v>1222</v>
      </c>
      <c r="W119" s="281" t="s">
        <v>851</v>
      </c>
      <c r="X119" s="283" t="str">
        <f ca="1">IF(AND(OR(L119="AA",L119="L"),OR(S119="Penata Muda Tk. I Golongan III/b",S119="Penata Golongan III/c"),DATEDIF(Q119,TODAY(),"m")&gt;=23,ISBLANK(Z119),C119="Aktif"),"Nominasi Serdos","-")</f>
        <v>-</v>
      </c>
      <c r="Y119" s="281"/>
      <c r="Z119" s="281" t="s">
        <v>852</v>
      </c>
      <c r="AA119" s="281">
        <v>11110500216988</v>
      </c>
      <c r="AB119" s="290">
        <v>1100100000000000</v>
      </c>
      <c r="AC119" s="285">
        <v>40861</v>
      </c>
      <c r="AD119" s="281" t="s">
        <v>852</v>
      </c>
      <c r="AE119" s="281">
        <v>9.9111105002169801E+20</v>
      </c>
      <c r="AF119" s="281" t="s">
        <v>1223</v>
      </c>
      <c r="AG119" s="285">
        <v>44641</v>
      </c>
      <c r="AH119" s="281" t="s">
        <v>879</v>
      </c>
      <c r="AI119" s="281" t="s">
        <v>30</v>
      </c>
      <c r="AJ119" s="281" t="s">
        <v>30</v>
      </c>
      <c r="AK119" s="281" t="s">
        <v>30</v>
      </c>
      <c r="AM119" s="286">
        <v>44832</v>
      </c>
      <c r="AN119" s="287" t="str">
        <f ca="1">DATEDIF(AM119,TODAY(),"y")&amp;" tahun "&amp;DATEDIF(AM119,TODAY(),"ym")&amp;" bulan "</f>
        <v xml:space="preserve">3 tahun 3 bulan </v>
      </c>
      <c r="AO119" s="281" t="s">
        <v>868</v>
      </c>
      <c r="AP119" s="281" t="s">
        <v>939</v>
      </c>
      <c r="AQ119" s="281" t="s">
        <v>1224</v>
      </c>
      <c r="AR119" s="281" t="s">
        <v>490</v>
      </c>
      <c r="AS119" s="281">
        <v>82285883545</v>
      </c>
      <c r="AT119" s="281" t="s">
        <v>491</v>
      </c>
      <c r="AU119" s="281" t="s">
        <v>30</v>
      </c>
      <c r="AV119" s="281"/>
      <c r="AW119" s="281" t="str">
        <f>VLOOKUP(B119,Sheet2!A98:I215,9,FALSE)</f>
        <v>Dr. Mohammad Yanuar Hariyawan, S.T., M.T.</v>
      </c>
      <c r="AX119" s="281" t="s">
        <v>861</v>
      </c>
      <c r="AY119" s="281" t="str">
        <f>VLOOKUP(B119,Sheet2!A98:C215,2,FALSE)</f>
        <v>Gresik</v>
      </c>
      <c r="AZ119" s="288">
        <f>VLOOKUP(B119,Sheet2!A98:C215,3,FALSE)</f>
        <v>27760</v>
      </c>
      <c r="BA119" s="281">
        <f ca="1">DATEDIF(AZ119, TODAY(),"y")</f>
        <v>50</v>
      </c>
      <c r="BB119" s="281"/>
      <c r="BC119" s="281"/>
      <c r="BD119" s="281"/>
      <c r="BE119" s="295"/>
      <c r="BF119" s="289"/>
      <c r="BG119" s="289"/>
      <c r="BH119" s="289"/>
      <c r="BI119" s="289"/>
      <c r="BJ119" s="289"/>
      <c r="BK119" s="289"/>
      <c r="BL119" s="288" t="s">
        <v>1225</v>
      </c>
      <c r="BM119" s="281"/>
      <c r="BN119" s="281"/>
      <c r="BO119" s="281"/>
      <c r="BP119" s="281"/>
      <c r="BQ119" s="281"/>
      <c r="BR119" s="288" t="str">
        <f>VLOOKUP(B119,Sheet2!A98:E215,5,FALSE)</f>
        <v>Intelligent Communications and Networks (ICON)</v>
      </c>
      <c r="BS119" s="288" t="str">
        <f>VLOOKUP(B119,Sheet2!A98:F215,6,FALSE)</f>
        <v>MYX</v>
      </c>
      <c r="BT119" s="288" t="str">
        <f>VLOOKUP(B119,Sheet2!A98:G215,7,FALSE)</f>
        <v>Fakultas Teknik Elektro</v>
      </c>
      <c r="BU119" s="288" t="str">
        <f>VLOOKUP(B119,Sheet2!A98:H215,8,FALSE)</f>
        <v>myanuar@telkomuniversity.ac.id</v>
      </c>
      <c r="BV119" s="280">
        <f>COUNTIFS('Join TPA Dosen'!B:B,'Dosen sorted'!B35)</f>
        <v>1</v>
      </c>
      <c r="BW119" s="273" t="str">
        <f>DATEDIF(AM119,DATE(2026,1,1),"y")&amp;" tahun "&amp;DATEDIF(AM119,DATE(2026,1,1),"ym")&amp;" bulan "</f>
        <v xml:space="preserve">3 tahun 3 bulan </v>
      </c>
      <c r="BX119" s="280" t="str">
        <f>VLOOKUP($B119,Sheet1!$A:$G,2,FALSE)</f>
        <v>ITS</v>
      </c>
      <c r="BY119" s="280" t="str">
        <f>VLOOKUP($B119,Sheet1!$A:$G,3,FALSE)</f>
        <v>Teknik Elektro - Telekomunikasi Multimedia</v>
      </c>
      <c r="BZ119" s="280" t="str">
        <f>VLOOKUP($B119,Sheet1!$A:$G,4,FALSE)</f>
        <v>ITS</v>
      </c>
      <c r="CA119" s="280" t="str">
        <f>VLOOKUP($B119,Sheet1!$A:$G,5,FALSE)</f>
        <v>Teknik Elektro - Telekomunikasi Multimedia</v>
      </c>
      <c r="CB119" s="280" t="str">
        <f>VLOOKUP($B119,Sheet1!$A:$G,6,FALSE)</f>
        <v>UGM</v>
      </c>
      <c r="CC119" s="280" t="str">
        <f>VLOOKUP($B119,Sheet1!$A:$G,7,FALSE)</f>
        <v>Ilmu Teknik Elektro</v>
      </c>
      <c r="CD119" s="280" t="s">
        <v>862</v>
      </c>
      <c r="CE119" s="280" t="s">
        <v>872</v>
      </c>
    </row>
    <row r="120" spans="1:83" ht="19.5" hidden="1">
      <c r="A120" s="281">
        <v>18</v>
      </c>
      <c r="B120" s="281" t="s">
        <v>492</v>
      </c>
      <c r="C120" s="281" t="s">
        <v>20</v>
      </c>
      <c r="D120" s="281" t="s">
        <v>475</v>
      </c>
      <c r="E120" s="281">
        <v>19940001</v>
      </c>
      <c r="F120" s="281" t="s">
        <v>946</v>
      </c>
      <c r="G120" s="282" t="s">
        <v>493</v>
      </c>
      <c r="H120" s="337" t="s">
        <v>845</v>
      </c>
      <c r="I120" s="281" t="s">
        <v>30</v>
      </c>
      <c r="J120" s="281" t="s">
        <v>494</v>
      </c>
      <c r="K120" s="281" t="s">
        <v>874</v>
      </c>
      <c r="L120" s="281" t="s">
        <v>775</v>
      </c>
      <c r="M120" s="283" t="str">
        <f>IF(L120="NJAD","AA",IF(L120="AA","L",IF(L120="L","LK","GB")))</f>
        <v>LK</v>
      </c>
      <c r="N120" s="281" t="s">
        <v>30</v>
      </c>
      <c r="O120" s="281">
        <v>200</v>
      </c>
      <c r="P120" s="281" t="s">
        <v>947</v>
      </c>
      <c r="Q120" s="284">
        <v>45108</v>
      </c>
      <c r="R120" s="281" t="str">
        <f ca="1">DATEDIF(Q120,TODAY(), "Y") &amp; " Tahun " &amp; DATEDIF(Q120, TODAY(), "YM") &amp; " Bulan"</f>
        <v>2 Tahun 6 Bulan</v>
      </c>
      <c r="S120" s="281" t="s">
        <v>876</v>
      </c>
      <c r="T120" s="285">
        <v>45261</v>
      </c>
      <c r="U120" s="281" t="str">
        <f ca="1">DATEDIF(T120,TODAY(), "Y") &amp; " Tahun " &amp; DATEDIF(T120, TODAY(), "YM") &amp; " Bulan"</f>
        <v>2 Tahun 1 Bulan</v>
      </c>
      <c r="V120" s="281" t="s">
        <v>866</v>
      </c>
      <c r="W120" s="281" t="s">
        <v>851</v>
      </c>
      <c r="X120" s="283" t="str">
        <f ca="1">IF(AND(OR(L120="AA",L120="L"),OR(S120="Penata Muda Tk. I Golongan III/b",S120="Penata Golongan III/c"),DATEDIF(Q120,TODAY(),"m")&gt;=23,ISBLANK(Z120),C120="Aktif"),"Nominasi Serdos","-")</f>
        <v>-</v>
      </c>
      <c r="Y120" s="281"/>
      <c r="Z120" s="281" t="s">
        <v>852</v>
      </c>
      <c r="AA120" s="281">
        <v>22107201902509</v>
      </c>
      <c r="AB120" s="281" t="s">
        <v>948</v>
      </c>
      <c r="AC120" s="285">
        <v>44783</v>
      </c>
      <c r="AD120" s="281" t="s">
        <v>30</v>
      </c>
      <c r="AE120" s="281" t="s">
        <v>30</v>
      </c>
      <c r="AF120" s="281" t="s">
        <v>30</v>
      </c>
      <c r="AG120" s="281" t="s">
        <v>30</v>
      </c>
      <c r="AH120" s="281" t="s">
        <v>879</v>
      </c>
      <c r="AI120" s="281" t="s">
        <v>30</v>
      </c>
      <c r="AJ120" s="281" t="s">
        <v>30</v>
      </c>
      <c r="AK120" s="281" t="s">
        <v>30</v>
      </c>
      <c r="AM120" s="286">
        <v>43101</v>
      </c>
      <c r="AN120" s="287" t="str">
        <f ca="1">DATEDIF(AM120,TODAY(),"y")&amp;" tahun "&amp;DATEDIF(AM120,TODAY(),"ym")&amp;" bulan "</f>
        <v xml:space="preserve">8 tahun 0 bulan </v>
      </c>
      <c r="AO120" s="281" t="s">
        <v>868</v>
      </c>
      <c r="AP120" s="281" t="s">
        <v>869</v>
      </c>
      <c r="AQ120" s="281" t="s">
        <v>949</v>
      </c>
      <c r="AR120" s="281" t="s">
        <v>495</v>
      </c>
      <c r="AS120" s="281">
        <v>81277773171</v>
      </c>
      <c r="AT120" s="281" t="s">
        <v>496</v>
      </c>
      <c r="AU120" s="281" t="s">
        <v>30</v>
      </c>
      <c r="AV120" s="281"/>
      <c r="AW120" s="281" t="str">
        <f>VLOOKUP(B120,Sheet2!A19:I136,9,FALSE)</f>
        <v>Muhsin, S.T., M.T., Ph. D.</v>
      </c>
      <c r="AX120" s="281" t="s">
        <v>861</v>
      </c>
      <c r="AY120" s="281" t="str">
        <f>VLOOKUP(B120,Sheet2!A19:C136,2,FALSE)</f>
        <v>Karanganyar</v>
      </c>
      <c r="AZ120" s="288">
        <f>VLOOKUP(B120,Sheet2!A19:C136,3,FALSE)</f>
        <v>34427</v>
      </c>
      <c r="BA120" s="281">
        <f ca="1">DATEDIF(AZ120, TODAY(),"y")</f>
        <v>31</v>
      </c>
      <c r="BB120" s="281"/>
      <c r="BC120" s="281"/>
      <c r="BD120" s="281"/>
      <c r="BE120" s="281"/>
      <c r="BF120" s="289"/>
      <c r="BG120" s="289"/>
      <c r="BH120" s="289"/>
      <c r="BI120" s="289"/>
      <c r="BJ120" s="289"/>
      <c r="BK120" s="289"/>
      <c r="BL120" s="288" t="str">
        <f>VLOOKUP(B120,Sheet2!A19:D136,4,FALSE)</f>
        <v>Kabag</v>
      </c>
      <c r="BM120" s="281"/>
      <c r="BN120" s="281"/>
      <c r="BO120" s="281"/>
      <c r="BP120" s="281"/>
      <c r="BQ120" s="281"/>
      <c r="BR120" s="288" t="str">
        <f>VLOOKUP(B120,Sheet2!A19:E136,5,FALSE)</f>
        <v>Intelligent Communications and Networks (ICON)</v>
      </c>
      <c r="BS120" s="288" t="str">
        <f>VLOOKUP(B120,Sheet2!A19:F136,6,FALSE)</f>
        <v>MCN</v>
      </c>
      <c r="BT120" s="288" t="str">
        <f>VLOOKUP(B120,Sheet2!A19:G136,7,FALSE)</f>
        <v>Fakultas Teknik Elektro</v>
      </c>
      <c r="BU120" s="288" t="str">
        <f>VLOOKUP(B120,Sheet2!A19:H136,8,FALSE)</f>
        <v>mmuhsin@telkomuniversity.ac.id</v>
      </c>
      <c r="BV120" s="280">
        <f>COUNTIFS('Join TPA Dosen'!B:B,'Dosen sorted'!B37)</f>
        <v>0</v>
      </c>
      <c r="BW120" s="273" t="str">
        <f>DATEDIF(AM120,DATE(2026,1,1),"y")&amp;" tahun "&amp;DATEDIF(AM120,DATE(2026,1,1),"ym")&amp;" bulan "</f>
        <v xml:space="preserve">8 tahun 0 bulan </v>
      </c>
      <c r="BX120" s="280" t="str">
        <f>VLOOKUP($B120,Sheet1!$A:$G,2,FALSE)</f>
        <v>Tel-U</v>
      </c>
      <c r="BY120" s="280" t="str">
        <f>VLOOKUP($B120,Sheet1!$A:$G,3,FALSE)</f>
        <v>Teknik Telekomunikasi</v>
      </c>
      <c r="BZ120" s="280" t="str">
        <f>VLOOKUP($B120,Sheet1!$A:$G,4,FALSE)</f>
        <v>Tel-U</v>
      </c>
      <c r="CA120" s="280" t="str">
        <f>VLOOKUP($B120,Sheet1!$A:$G,5,FALSE)</f>
        <v>Teknik Elektro - Telekomunikasi</v>
      </c>
      <c r="CB120" s="280" t="str">
        <f>VLOOKUP($B120,Sheet1!$A:$G,6,FALSE)</f>
        <v>Universiti Teknologi Malaysia</v>
      </c>
      <c r="CC120" s="280" t="str">
        <f>VLOOKUP($B120,Sheet1!$A:$G,7,FALSE)</f>
        <v>Electrical System Engineering</v>
      </c>
      <c r="CD120" s="280" t="s">
        <v>862</v>
      </c>
      <c r="CE120" s="280" t="s">
        <v>872</v>
      </c>
    </row>
    <row r="121" spans="1:83" ht="19.5" hidden="1">
      <c r="A121" s="281">
        <v>19</v>
      </c>
      <c r="B121" s="281" t="s">
        <v>480</v>
      </c>
      <c r="C121" s="281" t="s">
        <v>20</v>
      </c>
      <c r="D121" s="281" t="s">
        <v>475</v>
      </c>
      <c r="E121" s="281">
        <v>25780004</v>
      </c>
      <c r="F121" s="281" t="s">
        <v>950</v>
      </c>
      <c r="G121" s="282" t="s">
        <v>481</v>
      </c>
      <c r="H121" s="301" t="s">
        <v>845</v>
      </c>
      <c r="I121" s="281" t="s">
        <v>30</v>
      </c>
      <c r="J121" s="281" t="s">
        <v>176</v>
      </c>
      <c r="K121" s="281" t="s">
        <v>846</v>
      </c>
      <c r="L121" s="281" t="s">
        <v>847</v>
      </c>
      <c r="M121" s="283" t="str">
        <f>IF(L121="NJAD","AA",IF(L121="AA","L",IF(L121="L","LK","GB")))</f>
        <v>L</v>
      </c>
      <c r="N121" s="314" t="s">
        <v>511</v>
      </c>
      <c r="O121" s="281">
        <v>150</v>
      </c>
      <c r="P121" s="281" t="s">
        <v>951</v>
      </c>
      <c r="Q121" s="284">
        <v>44218</v>
      </c>
      <c r="R121" s="281" t="str">
        <f ca="1">DATEDIF(Q121,TODAY(), "Y") &amp; " Tahun " &amp; DATEDIF(Q121, TODAY(), "YM") &amp; " Bulan"</f>
        <v>4 Tahun 11 Bulan</v>
      </c>
      <c r="S121" s="281" t="s">
        <v>849</v>
      </c>
      <c r="T121" s="285">
        <v>44593</v>
      </c>
      <c r="U121" s="281" t="str">
        <f ca="1">DATEDIF(T121,TODAY(), "Y") &amp; " Tahun " &amp; DATEDIF(T121, TODAY(), "YM") &amp; " Bulan"</f>
        <v>3 Tahun 11 Bulan</v>
      </c>
      <c r="V121" s="281" t="s">
        <v>866</v>
      </c>
      <c r="W121" s="281" t="s">
        <v>851</v>
      </c>
      <c r="X121" s="283" t="str">
        <f ca="1">IF(AND(OR(L121="AA",L121="L"),OR(S121="Penata Muda Tk. I Golongan III/b",S121="Penata Golongan III/c"),DATEDIF(Q121,TODAY(),"m")&gt;=23,ISBLANK(Z121),C121="Aktif"),"Nominasi Serdos","-")</f>
        <v>Nominasi Serdos</v>
      </c>
      <c r="Y121" s="281"/>
      <c r="Z121" s="282"/>
      <c r="AA121" s="281"/>
      <c r="AB121" s="281" t="s">
        <v>30</v>
      </c>
      <c r="AC121" s="282" t="s">
        <v>511</v>
      </c>
      <c r="AD121" s="281" t="s">
        <v>30</v>
      </c>
      <c r="AE121" s="281" t="s">
        <v>30</v>
      </c>
      <c r="AF121" s="281" t="s">
        <v>30</v>
      </c>
      <c r="AG121" s="281" t="s">
        <v>30</v>
      </c>
      <c r="AH121" s="281" t="s">
        <v>854</v>
      </c>
      <c r="AI121" s="281" t="s">
        <v>30</v>
      </c>
      <c r="AJ121" s="281" t="s">
        <v>30</v>
      </c>
      <c r="AK121" s="281" t="s">
        <v>30</v>
      </c>
      <c r="AM121" s="286">
        <v>43101</v>
      </c>
      <c r="AN121" s="287" t="str">
        <f ca="1">DATEDIF(AM121,TODAY(),"y")&amp;" tahun "&amp;DATEDIF(AM121,TODAY(),"ym")&amp;" bulan "</f>
        <v xml:space="preserve">8 tahun 0 bulan </v>
      </c>
      <c r="AO121" s="281" t="s">
        <v>868</v>
      </c>
      <c r="AP121" s="281" t="s">
        <v>869</v>
      </c>
      <c r="AQ121" s="281" t="s">
        <v>952</v>
      </c>
      <c r="AR121" s="281" t="s">
        <v>482</v>
      </c>
      <c r="AS121" s="281">
        <v>85235758329</v>
      </c>
      <c r="AT121" s="281" t="s">
        <v>483</v>
      </c>
      <c r="AU121" s="281" t="s">
        <v>30</v>
      </c>
      <c r="AV121" s="281"/>
      <c r="AW121" s="281" t="str">
        <f>VLOOKUP(B121,Sheet2!A20:I137,9,FALSE)</f>
        <v>Nilla Rachmaningrum, S.T., M.T.</v>
      </c>
      <c r="AX121" s="281" t="s">
        <v>902</v>
      </c>
      <c r="AY121" s="281" t="str">
        <f>VLOOKUP(B121,Sheet2!A20:C137,2,FALSE)</f>
        <v>Madiun</v>
      </c>
      <c r="AZ121" s="288">
        <f>VLOOKUP(B121,Sheet2!A20:C137,3,FALSE)</f>
        <v>28649</v>
      </c>
      <c r="BA121" s="281">
        <f ca="1">DATEDIF(AZ121, TODAY(),"y")</f>
        <v>47</v>
      </c>
      <c r="BB121" s="281"/>
      <c r="BC121" s="281"/>
      <c r="BD121" s="281"/>
      <c r="BE121" s="281"/>
      <c r="BF121" s="289"/>
      <c r="BG121" s="289"/>
      <c r="BH121" s="289"/>
      <c r="BI121" s="289"/>
      <c r="BJ121" s="289"/>
      <c r="BK121" s="289"/>
      <c r="BL121" s="288" t="str">
        <f>VLOOKUP(B121,Sheet2!A20:D137,4,FALSE)</f>
        <v>Dosen</v>
      </c>
      <c r="BM121" s="281"/>
      <c r="BN121" s="281"/>
      <c r="BO121" s="281"/>
      <c r="BP121" s="281"/>
      <c r="BQ121" s="281"/>
      <c r="BR121" s="288" t="str">
        <f>VLOOKUP(B121,Sheet2!A20:E137,5,FALSE)</f>
        <v>Intelligent Communications and Networks (ICON)</v>
      </c>
      <c r="BS121" s="288" t="str">
        <f>VLOOKUP(B121,Sheet2!A20:F137,6,FALSE)</f>
        <v>NRR</v>
      </c>
      <c r="BT121" s="288" t="str">
        <f>VLOOKUP(B121,Sheet2!A20:G137,7,FALSE)</f>
        <v>Fakultas Teknik Elektro</v>
      </c>
      <c r="BU121" s="288" t="str">
        <f>VLOOKUP(B121,Sheet2!A20:H137,8,FALSE)</f>
        <v>nrachmaningrum@telkomuniversity.ac.id</v>
      </c>
      <c r="BV121" s="280">
        <f>COUNTIFS('Join TPA Dosen'!B:B,'Dosen sorted'!B20)</f>
        <v>0</v>
      </c>
      <c r="BW121" s="273" t="str">
        <f>DATEDIF(AM121,DATE(2026,1,1),"y")&amp;" tahun "&amp;DATEDIF(AM121,DATE(2026,1,1),"ym")&amp;" bulan "</f>
        <v xml:space="preserve">8 tahun 0 bulan </v>
      </c>
      <c r="BX121" s="280" t="str">
        <f>VLOOKUP($B121,Sheet1!$A:$G,2,FALSE)</f>
        <v>Univ. Brawijaya</v>
      </c>
      <c r="BY121" s="280" t="str">
        <f>VLOOKUP($B121,Sheet1!$A:$G,3,FALSE)</f>
        <v>Teknik Elektro</v>
      </c>
      <c r="BZ121" s="280" t="str">
        <f>VLOOKUP($B121,Sheet1!$A:$G,4,FALSE)</f>
        <v>Univ. Mercu Buana Jakarta</v>
      </c>
      <c r="CA121" s="280" t="str">
        <f>VLOOKUP($B121,Sheet1!$A:$G,5,FALSE)</f>
        <v>Teknik Elektro</v>
      </c>
      <c r="CB121" s="280" t="str">
        <f>VLOOKUP($B121,Sheet1!$A:$G,6,FALSE)</f>
        <v>-</v>
      </c>
      <c r="CC121" s="280">
        <f>VLOOKUP($B121,Sheet1!$A:$G,7,FALSE)</f>
        <v>0</v>
      </c>
      <c r="CD121" s="280" t="s">
        <v>882</v>
      </c>
      <c r="CE121" s="280" t="s">
        <v>872</v>
      </c>
    </row>
    <row r="122" spans="1:83" ht="18.95" hidden="1">
      <c r="A122" s="281">
        <v>67</v>
      </c>
      <c r="B122" s="281" t="s">
        <v>510</v>
      </c>
      <c r="C122" s="281" t="s">
        <v>46</v>
      </c>
      <c r="D122" s="281" t="s">
        <v>475</v>
      </c>
      <c r="E122" s="302">
        <v>22910003</v>
      </c>
      <c r="F122" s="311"/>
      <c r="G122" s="311"/>
      <c r="H122" s="291" t="s">
        <v>884</v>
      </c>
      <c r="I122" s="302" t="s">
        <v>30</v>
      </c>
      <c r="J122" s="302" t="s">
        <v>395</v>
      </c>
      <c r="K122" s="302" t="s">
        <v>917</v>
      </c>
      <c r="L122" s="302" t="s">
        <v>918</v>
      </c>
      <c r="M122" s="283" t="str">
        <f>IF(L122="NJAD","AA",IF(L122="AA","L",IF(L122="L","LK","GB")))</f>
        <v>AA</v>
      </c>
      <c r="N122" s="311" t="s">
        <v>511</v>
      </c>
      <c r="O122" s="302">
        <v>0</v>
      </c>
      <c r="P122" s="302" t="s">
        <v>30</v>
      </c>
      <c r="Q122" s="310">
        <v>44627</v>
      </c>
      <c r="R122" s="281" t="str">
        <f ca="1">DATEDIF(Q122,TODAY(), "Y") &amp; " Tahun " &amp; DATEDIF(Q122, TODAY(), "YM") &amp; " Bulan"</f>
        <v>3 Tahun 10 Bulan</v>
      </c>
      <c r="S122" s="311" t="s">
        <v>511</v>
      </c>
      <c r="T122" s="311" t="s">
        <v>511</v>
      </c>
      <c r="U122" s="281" t="e">
        <f ca="1">DATEDIF(T122,TODAY(), "Y") &amp; " Tahun " &amp; DATEDIF(T122, TODAY(), "YM") &amp; " Bulan"</f>
        <v>#VALUE!</v>
      </c>
      <c r="V122" s="302" t="s">
        <v>866</v>
      </c>
      <c r="W122" s="302" t="s">
        <v>851</v>
      </c>
      <c r="X122" s="283" t="str">
        <f ca="1">IF(AND(OR(L122="AA",L122="L"),OR(S122="Penata Muda Tk. I Golongan III/b",S122="Penata Golongan III/c"),DATEDIF(Q122,TODAY(),"m")&gt;=23,ISBLANK(Z122),C122="Aktif"),"Nominasi Serdos","-")</f>
        <v>-</v>
      </c>
      <c r="Y122" s="302"/>
      <c r="Z122" s="311"/>
      <c r="AA122" s="302"/>
      <c r="AB122" s="302" t="s">
        <v>30</v>
      </c>
      <c r="AC122" s="311" t="s">
        <v>511</v>
      </c>
      <c r="AD122" s="302" t="s">
        <v>30</v>
      </c>
      <c r="AE122" s="302" t="s">
        <v>30</v>
      </c>
      <c r="AF122" s="302" t="s">
        <v>30</v>
      </c>
      <c r="AG122" s="302" t="s">
        <v>30</v>
      </c>
      <c r="AH122" s="302" t="s">
        <v>854</v>
      </c>
      <c r="AI122" s="302" t="s">
        <v>855</v>
      </c>
      <c r="AJ122" s="302" t="s">
        <v>897</v>
      </c>
      <c r="AK122" s="302" t="s">
        <v>898</v>
      </c>
      <c r="AL122" s="302" t="s">
        <v>857</v>
      </c>
      <c r="AM122" s="303">
        <v>44627</v>
      </c>
      <c r="AN122" s="287" t="str">
        <f ca="1">DATEDIF(AM122,TODAY(),"y")&amp;" tahun "&amp;DATEDIF(AM122,TODAY(),"ym")&amp;" bulan "</f>
        <v xml:space="preserve">3 tahun 10 bulan </v>
      </c>
      <c r="AO122" s="302" t="s">
        <v>868</v>
      </c>
      <c r="AP122" s="302" t="s">
        <v>869</v>
      </c>
      <c r="AQ122" s="302" t="s">
        <v>1327</v>
      </c>
      <c r="AR122" s="302" t="s">
        <v>512</v>
      </c>
      <c r="AS122" s="302">
        <v>8113500343</v>
      </c>
      <c r="AT122" s="302" t="s">
        <v>513</v>
      </c>
      <c r="AU122" s="302" t="s">
        <v>30</v>
      </c>
      <c r="AV122" s="281"/>
      <c r="AW122" s="281" t="str">
        <f>VLOOKUP(B122,Sheet2!A68:I185,9,FALSE)</f>
        <v>Rifa Atul Izza Asyari, S.T., M.Sc.</v>
      </c>
      <c r="AX122" s="281" t="s">
        <v>861</v>
      </c>
      <c r="AY122" s="281" t="str">
        <f>VLOOKUP(B122,Sheet2!A68:C185,2,FALSE)</f>
        <v>Bunyu</v>
      </c>
      <c r="AZ122" s="288">
        <f>VLOOKUP(B122,Sheet2!A68:C185,3,FALSE)</f>
        <v>33598</v>
      </c>
      <c r="BA122" s="281">
        <f ca="1">DATEDIF(AZ122, TODAY(),"y")</f>
        <v>34</v>
      </c>
      <c r="BB122" s="281"/>
      <c r="BC122" s="281"/>
      <c r="BD122" s="281"/>
      <c r="BE122" s="281"/>
      <c r="BF122" s="289"/>
      <c r="BG122" s="289"/>
      <c r="BH122" s="289"/>
      <c r="BI122" s="289"/>
      <c r="BJ122" s="289"/>
      <c r="BK122" s="289"/>
      <c r="BL122" s="288" t="str">
        <f>VLOOKUP(B122,Sheet2!A68:D185,4,FALSE)</f>
        <v>Dosen</v>
      </c>
      <c r="BM122" s="281"/>
      <c r="BN122" s="281"/>
      <c r="BO122" s="281"/>
      <c r="BP122" s="281"/>
      <c r="BQ122" s="281"/>
      <c r="BR122" s="288"/>
      <c r="BS122" s="288" t="str">
        <f>VLOOKUP(B122,Sheet2!A68:F185,6,FALSE)</f>
        <v>RFX</v>
      </c>
      <c r="BT122" s="288" t="str">
        <f>VLOOKUP(B122,Sheet2!A68:G185,7,FALSE)</f>
        <v>Fakultas Teknik Elektro</v>
      </c>
      <c r="BU122" s="288"/>
      <c r="BV122" s="280">
        <f>COUNTIFS('Join TPA Dosen'!B:B,'Dosen sorted'!B68)</f>
        <v>1</v>
      </c>
      <c r="BW122" s="273" t="str">
        <f>DATEDIF(AM122,DATE(2026,1,1),"y")&amp;" tahun "&amp;DATEDIF(AM122,DATE(2026,1,1),"ym")&amp;" bulan "</f>
        <v xml:space="preserve">3 tahun 9 bulan </v>
      </c>
      <c r="BX122" s="280" t="str">
        <f>VLOOKUP($B122,Sheet1!$A:$G,2,FALSE)</f>
        <v>UII</v>
      </c>
      <c r="BY122" s="280" t="str">
        <f>VLOOKUP($B122,Sheet1!$A:$G,3,FALSE)</f>
        <v>Teknik Elektro</v>
      </c>
      <c r="BZ122" s="280" t="str">
        <f>VLOOKUP($B122,Sheet1!$A:$G,4,FALSE)</f>
        <v>National Sun Yat-Sen Univ</v>
      </c>
      <c r="CA122" s="280" t="str">
        <f>VLOOKUP($B122,Sheet1!$A:$G,5,FALSE)</f>
        <v>Telecomunication Engineering</v>
      </c>
      <c r="CB122" s="280" t="str">
        <f>VLOOKUP($B122,Sheet1!$A:$G,6,FALSE)</f>
        <v>Southern Denmark University</v>
      </c>
      <c r="CC122" s="280" t="str">
        <f>VLOOKUP($B122,Sheet1!$A:$G,7,FALSE)</f>
        <v>Faculty of Engineering/Biomedical Engineering</v>
      </c>
      <c r="CD122" s="280" t="e">
        <v>#N/A</v>
      </c>
      <c r="CE122" s="280" t="e">
        <v>#N/A</v>
      </c>
    </row>
    <row r="123" spans="1:83" ht="19.5" hidden="1">
      <c r="A123" s="281">
        <v>42</v>
      </c>
      <c r="B123" s="281" t="s">
        <v>497</v>
      </c>
      <c r="C123" s="281" t="s">
        <v>20</v>
      </c>
      <c r="D123" s="281" t="s">
        <v>475</v>
      </c>
      <c r="E123" s="281">
        <v>20910025</v>
      </c>
      <c r="F123" s="281" t="s">
        <v>993</v>
      </c>
      <c r="G123" s="282" t="s">
        <v>498</v>
      </c>
      <c r="H123" s="291" t="s">
        <v>884</v>
      </c>
      <c r="I123" s="281" t="s">
        <v>30</v>
      </c>
      <c r="J123" s="281" t="s">
        <v>354</v>
      </c>
      <c r="K123" s="281" t="s">
        <v>917</v>
      </c>
      <c r="L123" s="281" t="s">
        <v>918</v>
      </c>
      <c r="M123" s="283" t="str">
        <f>IF(L123="NJAD","AA",IF(L123="AA","L",IF(L123="L","LK","GB")))</f>
        <v>AA</v>
      </c>
      <c r="N123" s="282" t="s">
        <v>511</v>
      </c>
      <c r="O123" s="281">
        <v>0</v>
      </c>
      <c r="P123" s="281" t="s">
        <v>30</v>
      </c>
      <c r="Q123" s="284">
        <v>43891</v>
      </c>
      <c r="R123" s="281" t="str">
        <f ca="1">DATEDIF(Q123,TODAY(), "Y") &amp; " Tahun " &amp; DATEDIF(Q123, TODAY(), "YM") &amp; " Bulan"</f>
        <v>5 Tahun 10 Bulan</v>
      </c>
      <c r="S123" s="282" t="s">
        <v>511</v>
      </c>
      <c r="T123" s="282" t="s">
        <v>511</v>
      </c>
      <c r="U123" s="281" t="e">
        <f ca="1">DATEDIF(T123,TODAY(), "Y") &amp; " Tahun " &amp; DATEDIF(T123, TODAY(), "YM") &amp; " Bulan"</f>
        <v>#VALUE!</v>
      </c>
      <c r="V123" s="281" t="s">
        <v>866</v>
      </c>
      <c r="W123" s="281" t="s">
        <v>851</v>
      </c>
      <c r="X123" s="283" t="str">
        <f ca="1">IF(AND(OR(L123="AA",L123="L"),OR(S123="Penata Muda Tk. I Golongan III/b",S123="Penata Golongan III/c"),DATEDIF(Q123,TODAY(),"m")&gt;=23,ISBLANK(Z123),C123="Aktif"),"Nominasi Serdos","-")</f>
        <v>-</v>
      </c>
      <c r="Y123" s="281"/>
      <c r="Z123" s="282"/>
      <c r="AA123" s="281"/>
      <c r="AB123" s="281" t="s">
        <v>30</v>
      </c>
      <c r="AC123" s="282" t="s">
        <v>511</v>
      </c>
      <c r="AD123" s="281" t="s">
        <v>30</v>
      </c>
      <c r="AE123" s="281" t="s">
        <v>30</v>
      </c>
      <c r="AF123" s="281" t="s">
        <v>30</v>
      </c>
      <c r="AG123" s="281" t="s">
        <v>30</v>
      </c>
      <c r="AH123" s="281" t="s">
        <v>854</v>
      </c>
      <c r="AI123" s="281" t="s">
        <v>30</v>
      </c>
      <c r="AJ123" s="281" t="s">
        <v>30</v>
      </c>
      <c r="AK123" s="281" t="s">
        <v>30</v>
      </c>
      <c r="AM123" s="286">
        <v>43885</v>
      </c>
      <c r="AN123" s="287" t="str">
        <f ca="1">DATEDIF(AM123,TODAY(),"y")&amp;" tahun "&amp;DATEDIF(AM123,TODAY(),"ym")&amp;" bulan "</f>
        <v xml:space="preserve">5 tahun 10 bulan </v>
      </c>
      <c r="AO123" s="281" t="s">
        <v>868</v>
      </c>
      <c r="AP123" s="281" t="s">
        <v>869</v>
      </c>
      <c r="AQ123" s="281" t="s">
        <v>994</v>
      </c>
      <c r="AR123" s="281" t="s">
        <v>499</v>
      </c>
      <c r="AS123" s="281">
        <v>82134018586</v>
      </c>
      <c r="AT123" s="281" t="s">
        <v>500</v>
      </c>
      <c r="AU123" s="281" t="s">
        <v>30</v>
      </c>
      <c r="AV123" s="281"/>
      <c r="AW123" s="281" t="str">
        <f>VLOOKUP(B123,Sheet2!A43:I160,9,FALSE)</f>
        <v>Risdilah Mimma Untsa, S.ST., M.T.</v>
      </c>
      <c r="AX123" s="281" t="s">
        <v>902</v>
      </c>
      <c r="AY123" s="281" t="str">
        <f>VLOOKUP(B123,Sheet2!A43:C160,2,FALSE)</f>
        <v>Surabaya</v>
      </c>
      <c r="AZ123" s="288">
        <f>VLOOKUP(B123,Sheet2!A43:C160,3,FALSE)</f>
        <v>33258</v>
      </c>
      <c r="BA123" s="281">
        <f ca="1">DATEDIF(AZ123, TODAY(),"y")</f>
        <v>34</v>
      </c>
      <c r="BB123" s="281"/>
      <c r="BC123" s="281"/>
      <c r="BD123" s="281"/>
      <c r="BE123" s="281"/>
      <c r="BF123" s="289"/>
      <c r="BG123" s="289"/>
      <c r="BH123" s="289"/>
      <c r="BI123" s="289"/>
      <c r="BJ123" s="289"/>
      <c r="BK123" s="289"/>
      <c r="BL123" s="288" t="str">
        <f>VLOOKUP(B123,Sheet2!A43:D160,4,FALSE)</f>
        <v>Dosen</v>
      </c>
      <c r="BM123" s="281"/>
      <c r="BN123" s="281"/>
      <c r="BO123" s="281"/>
      <c r="BP123" s="281"/>
      <c r="BQ123" s="281"/>
      <c r="BR123" s="288" t="str">
        <f>VLOOKUP(B123,Sheet2!A43:E160,5,FALSE)</f>
        <v>Signal Processing, Information Security, and Computer Engineering (SPICE)</v>
      </c>
      <c r="BS123" s="288" t="str">
        <f>VLOOKUP(B123,Sheet2!A43:F160,6,FALSE)</f>
        <v>RLL</v>
      </c>
      <c r="BT123" s="288" t="str">
        <f>VLOOKUP(B123,Sheet2!A43:G160,7,FALSE)</f>
        <v>Fakultas Teknik Elektro</v>
      </c>
      <c r="BU123" s="288" t="str">
        <f>VLOOKUP(B123,Sheet2!A43:H160,8,FALSE)</f>
        <v>risdilah@telkomuniversity.ac.id</v>
      </c>
      <c r="BV123" s="280">
        <f>COUNTIFS('Join TPA Dosen'!B:B,'Dosen sorted'!B43)</f>
        <v>1</v>
      </c>
      <c r="BW123" s="273" t="str">
        <f>DATEDIF(AM123,DATE(2026,1,1),"y")&amp;" tahun "&amp;DATEDIF(AM123,DATE(2026,1,1),"ym")&amp;" bulan "</f>
        <v xml:space="preserve">5 tahun 10 bulan </v>
      </c>
      <c r="BX123" s="280" t="str">
        <f>VLOOKUP($B123,Sheet1!$A:$G,2,FALSE)</f>
        <v>PENS</v>
      </c>
      <c r="BY123" s="280" t="str">
        <f>VLOOKUP($B123,Sheet1!$A:$G,3,FALSE)</f>
        <v>Telekomunikasi</v>
      </c>
      <c r="BZ123" s="280" t="str">
        <f>VLOOKUP($B123,Sheet1!$A:$G,4,FALSE)</f>
        <v>ITS</v>
      </c>
      <c r="CA123" s="280" t="str">
        <f>VLOOKUP($B123,Sheet1!$A:$G,5,FALSE)</f>
        <v>Teknik Elektro</v>
      </c>
      <c r="CB123" s="280" t="str">
        <f>VLOOKUP($B123,Sheet1!$A:$G,6,FALSE)</f>
        <v>-</v>
      </c>
      <c r="CC123" s="280">
        <f>VLOOKUP($B123,Sheet1!$A:$G,7,FALSE)</f>
        <v>0</v>
      </c>
      <c r="CD123" s="280" t="s">
        <v>882</v>
      </c>
      <c r="CE123" s="280" t="s">
        <v>872</v>
      </c>
    </row>
    <row r="124" spans="1:83" ht="19.5" hidden="1">
      <c r="A124" s="281">
        <v>1</v>
      </c>
      <c r="B124" s="281" t="s">
        <v>474</v>
      </c>
      <c r="C124" s="281" t="s">
        <v>20</v>
      </c>
      <c r="D124" s="281" t="s">
        <v>475</v>
      </c>
      <c r="E124" s="281">
        <v>25620001</v>
      </c>
      <c r="F124" s="281" t="s">
        <v>864</v>
      </c>
      <c r="G124" s="282" t="s">
        <v>476</v>
      </c>
      <c r="H124" s="301" t="s">
        <v>845</v>
      </c>
      <c r="I124" s="281" t="s">
        <v>36</v>
      </c>
      <c r="J124" s="281" t="s">
        <v>477</v>
      </c>
      <c r="K124" s="281" t="s">
        <v>846</v>
      </c>
      <c r="L124" s="281" t="s">
        <v>847</v>
      </c>
      <c r="M124" s="283" t="str">
        <f>IF(L124="NJAD","AA",IF(L124="AA","L",IF(L124="L","LK","GB")))</f>
        <v>L</v>
      </c>
      <c r="N124" s="282" t="s">
        <v>511</v>
      </c>
      <c r="O124" s="281">
        <v>150</v>
      </c>
      <c r="P124" s="281" t="s">
        <v>865</v>
      </c>
      <c r="Q124" s="284">
        <v>44144</v>
      </c>
      <c r="R124" s="281" t="str">
        <f ca="1">DATEDIF(Q124,TODAY(), "Y") &amp; " Tahun " &amp; DATEDIF(Q124, TODAY(), "YM") &amp; " Bulan"</f>
        <v>5 Tahun 2 Bulan</v>
      </c>
      <c r="S124" s="281" t="s">
        <v>849</v>
      </c>
      <c r="T124" s="285">
        <v>44256</v>
      </c>
      <c r="U124" s="281" t="str">
        <f ca="1">DATEDIF(T124,TODAY(), "Y") &amp; " Tahun " &amp; DATEDIF(T124, TODAY(), "YM") &amp; " Bulan"</f>
        <v>4 Tahun 10 Bulan</v>
      </c>
      <c r="V124" s="281" t="s">
        <v>866</v>
      </c>
      <c r="W124" s="281" t="s">
        <v>851</v>
      </c>
      <c r="X124" s="283" t="str">
        <f ca="1">IF(AND(OR(L124="AA",L124="L"),OR(S124="Penata Muda Tk. I Golongan III/b",S124="Penata Golongan III/c"),DATEDIF(Q124,TODAY(),"m")&gt;=23,ISBLANK(Z124),C124="Aktif"),"Nominasi Serdos","-")</f>
        <v>-</v>
      </c>
      <c r="Y124" s="281"/>
      <c r="Z124" s="282" t="s">
        <v>852</v>
      </c>
      <c r="AA124" s="290">
        <v>25104105710770</v>
      </c>
      <c r="AB124" s="281" t="s">
        <v>867</v>
      </c>
      <c r="AC124" s="285">
        <v>45917</v>
      </c>
      <c r="AD124" s="281" t="s">
        <v>30</v>
      </c>
      <c r="AE124" s="281" t="s">
        <v>30</v>
      </c>
      <c r="AF124" s="281" t="s">
        <v>30</v>
      </c>
      <c r="AG124" s="281" t="s">
        <v>30</v>
      </c>
      <c r="AH124" s="281" t="s">
        <v>854</v>
      </c>
      <c r="AI124" s="281" t="s">
        <v>30</v>
      </c>
      <c r="AJ124" s="281" t="s">
        <v>30</v>
      </c>
      <c r="AK124" s="281" t="s">
        <v>30</v>
      </c>
      <c r="AM124" s="286">
        <v>43101</v>
      </c>
      <c r="AN124" s="287" t="str">
        <f ca="1">DATEDIF(AM124,TODAY(),"y")&amp;" tahun "&amp;DATEDIF(AM124,TODAY(),"ym")&amp;" bulan "</f>
        <v xml:space="preserve">8 tahun 0 bulan </v>
      </c>
      <c r="AO124" s="281" t="s">
        <v>868</v>
      </c>
      <c r="AP124" s="281" t="s">
        <v>869</v>
      </c>
      <c r="AQ124" s="281" t="s">
        <v>870</v>
      </c>
      <c r="AR124" s="281" t="s">
        <v>478</v>
      </c>
      <c r="AS124" s="281">
        <v>8123222469</v>
      </c>
      <c r="AT124" s="281" t="s">
        <v>479</v>
      </c>
      <c r="AU124" s="281" t="s">
        <v>30</v>
      </c>
      <c r="AV124" s="302"/>
      <c r="AW124" s="281" t="str">
        <f>VLOOKUP(B124,Sheet2!A2:I119,9,FALSE)</f>
        <v>Ir. Tri Agus Djoko Kuntjoro, M.T.</v>
      </c>
      <c r="AX124" s="281" t="s">
        <v>861</v>
      </c>
      <c r="AY124" s="281" t="str">
        <f>VLOOKUP(B124,Sheet2!A2:C119,2,FALSE)</f>
        <v>Malang</v>
      </c>
      <c r="AZ124" s="288">
        <f>VLOOKUP(B124,Sheet2!A2:C119,3,FALSE)</f>
        <v>22674</v>
      </c>
      <c r="BA124" s="281">
        <f ca="1">DATEDIF(AZ124, TODAY(),"y")</f>
        <v>63</v>
      </c>
      <c r="BB124" s="281"/>
      <c r="BC124" s="281"/>
      <c r="BD124" s="281"/>
      <c r="BE124" s="281"/>
      <c r="BF124" s="289"/>
      <c r="BG124" s="308"/>
      <c r="BH124" s="308"/>
      <c r="BI124" s="308"/>
      <c r="BJ124" s="308"/>
      <c r="BK124" s="308"/>
      <c r="BL124" s="288" t="str">
        <f>VLOOKUP(B124,Sheet2!A2:D119,4,FALSE)</f>
        <v>Dosen</v>
      </c>
      <c r="BM124" s="303"/>
      <c r="BN124" s="302"/>
      <c r="BO124" s="281"/>
      <c r="BP124" s="281"/>
      <c r="BQ124" s="302"/>
      <c r="BR124" s="288" t="str">
        <f>VLOOKUP(B124,Sheet2!A2:E119,5,FALSE)</f>
        <v>Intelligent Communications and Networks (ICON)</v>
      </c>
      <c r="BS124" s="288" t="str">
        <f>VLOOKUP(B124,Sheet2!A2:F119,6,FALSE)</f>
        <v>ORO</v>
      </c>
      <c r="BT124" s="288" t="str">
        <f>VLOOKUP(B124,Sheet2!A2:G119,7,FALSE)</f>
        <v>Fakultas Teknik Elektro</v>
      </c>
      <c r="BU124" s="288" t="str">
        <f>VLOOKUP(B124,Sheet2!A2:H119,8,FALSE)</f>
        <v>triagusdjokokuntjoro@telkomuniversity.ac.id</v>
      </c>
      <c r="BV124" s="280">
        <f>COUNTIFS('Join TPA Dosen'!B:B,'Dosen sorted'!B2)</f>
        <v>1</v>
      </c>
      <c r="BW124" s="273" t="str">
        <f>DATEDIF(AM124,DATE(2026,1,1),"y")&amp;" tahun "&amp;DATEDIF(AM124,DATE(2026,1,1),"ym")&amp;" bulan "</f>
        <v xml:space="preserve">8 tahun 0 bulan </v>
      </c>
      <c r="BX124" s="280" t="str">
        <f>VLOOKUP($B124,Sheet1!$A:$G,2,FALSE)</f>
        <v>Univ. Brawijaya</v>
      </c>
      <c r="BY124" s="280" t="str">
        <f>VLOOKUP($B124,Sheet1!$A:$G,3,FALSE)</f>
        <v>Teknik Elektro</v>
      </c>
      <c r="BZ124" s="280" t="str">
        <f>VLOOKUP($B124,Sheet1!$A:$G,4,FALSE)</f>
        <v>ITB</v>
      </c>
      <c r="CA124" s="280" t="str">
        <f>VLOOKUP($B124,Sheet1!$A:$G,5,FALSE)</f>
        <v>Elektroteknik</v>
      </c>
      <c r="CB124" s="280" t="str">
        <f>VLOOKUP($B124,Sheet1!$A:$G,6,FALSE)</f>
        <v>-</v>
      </c>
      <c r="CC124" s="280">
        <f>VLOOKUP($B124,Sheet1!$A:$G,7,FALSE)</f>
        <v>0</v>
      </c>
      <c r="CD124" s="280" t="s">
        <v>871</v>
      </c>
      <c r="CE124" s="280" t="s">
        <v>872</v>
      </c>
    </row>
    <row r="125" spans="1:83" ht="19.5" hidden="1">
      <c r="A125" s="281">
        <v>7</v>
      </c>
      <c r="B125" s="281" t="s">
        <v>519</v>
      </c>
      <c r="C125" s="281" t="s">
        <v>20</v>
      </c>
      <c r="D125" s="281" t="s">
        <v>475</v>
      </c>
      <c r="E125" s="281">
        <v>19890002</v>
      </c>
      <c r="F125" s="281" t="s">
        <v>1298</v>
      </c>
      <c r="G125" s="282" t="s">
        <v>520</v>
      </c>
      <c r="H125" s="281" t="s">
        <v>845</v>
      </c>
      <c r="I125" s="281" t="s">
        <v>30</v>
      </c>
      <c r="J125" s="281" t="s">
        <v>176</v>
      </c>
      <c r="K125" s="281" t="s">
        <v>846</v>
      </c>
      <c r="L125" s="281" t="s">
        <v>847</v>
      </c>
      <c r="M125" s="283" t="str">
        <f>IF(L125="NJAD","AA",IF(L125="AA","L",IF(L125="L","LK","GB")))</f>
        <v>L</v>
      </c>
      <c r="N125" s="282" t="s">
        <v>511</v>
      </c>
      <c r="O125" s="281">
        <v>150</v>
      </c>
      <c r="P125" s="281" t="s">
        <v>1299</v>
      </c>
      <c r="Q125" s="284">
        <v>44399</v>
      </c>
      <c r="R125" s="281" t="str">
        <f ca="1">DATEDIF(Q125,TODAY(), "Y") &amp; " Tahun " &amp; DATEDIF(Q125, TODAY(), "YM") &amp; " Bulan"</f>
        <v>4 Tahun 5 Bulan</v>
      </c>
      <c r="S125" s="281" t="s">
        <v>849</v>
      </c>
      <c r="T125" s="285">
        <v>44593</v>
      </c>
      <c r="U125" s="281" t="str">
        <f ca="1">DATEDIF(T125,TODAY(), "Y") &amp; " Tahun " &amp; DATEDIF(T125, TODAY(), "YM") &amp; " Bulan"</f>
        <v>3 Tahun 11 Bulan</v>
      </c>
      <c r="V125" s="281" t="s">
        <v>866</v>
      </c>
      <c r="W125" s="281" t="s">
        <v>851</v>
      </c>
      <c r="X125" s="283" t="str">
        <f ca="1">IF(AND(OR(L125="AA",L125="L"),OR(S125="Penata Muda Tk. I Golongan III/b",S125="Penata Golongan III/c"),DATEDIF(Q125,TODAY(),"m")&gt;=23,ISBLANK(Z125),C125="Aktif"),"Nominasi Serdos","-")</f>
        <v>-</v>
      </c>
      <c r="Y125" s="281"/>
      <c r="Z125" s="281" t="s">
        <v>852</v>
      </c>
      <c r="AA125" s="290">
        <v>24107201902087</v>
      </c>
      <c r="AB125" s="281" t="s">
        <v>1300</v>
      </c>
      <c r="AC125" s="285">
        <v>45351</v>
      </c>
      <c r="AD125" s="281" t="s">
        <v>30</v>
      </c>
      <c r="AE125" s="281" t="s">
        <v>30</v>
      </c>
      <c r="AF125" s="281" t="s">
        <v>30</v>
      </c>
      <c r="AG125" s="281" t="s">
        <v>30</v>
      </c>
      <c r="AH125" s="281" t="s">
        <v>854</v>
      </c>
      <c r="AI125" s="281" t="s">
        <v>855</v>
      </c>
      <c r="AJ125" s="281" t="s">
        <v>856</v>
      </c>
      <c r="AK125" s="281" t="s">
        <v>855</v>
      </c>
      <c r="AL125" s="281" t="s">
        <v>857</v>
      </c>
      <c r="AM125" s="286">
        <v>43101</v>
      </c>
      <c r="AN125" s="287" t="str">
        <f ca="1">DATEDIF(AM125,TODAY(),"y")&amp;" tahun "&amp;DATEDIF(AM125,TODAY(),"ym")&amp;" bulan "</f>
        <v xml:space="preserve">8 tahun 0 bulan </v>
      </c>
      <c r="AO125" s="281" t="s">
        <v>868</v>
      </c>
      <c r="AP125" s="281" t="s">
        <v>869</v>
      </c>
      <c r="AQ125" s="281" t="s">
        <v>1301</v>
      </c>
      <c r="AR125" s="281" t="s">
        <v>521</v>
      </c>
      <c r="AS125" s="281">
        <v>8113384848</v>
      </c>
      <c r="AT125" s="281" t="s">
        <v>522</v>
      </c>
      <c r="AU125" s="281" t="s">
        <v>30</v>
      </c>
      <c r="AV125" s="281"/>
      <c r="AW125" s="281" t="str">
        <f>VLOOKUP(B125,Sheet2!A8:I125,9,FALSE)</f>
        <v>Walid Maulana Hadiansyah, S.T., M.T.</v>
      </c>
      <c r="AX125" s="281" t="s">
        <v>861</v>
      </c>
      <c r="AY125" s="281" t="str">
        <f>VLOOKUP(B125,Sheet2!A8:C125,2,FALSE)</f>
        <v>Jember</v>
      </c>
      <c r="AZ125" s="288">
        <f>VLOOKUP(B125,Sheet2!A8:C125,3,FALSE)</f>
        <v>32794</v>
      </c>
      <c r="BA125" s="281">
        <f ca="1">DATEDIF(AZ125, TODAY(),"y")</f>
        <v>36</v>
      </c>
      <c r="BB125" s="281"/>
      <c r="BC125" s="281"/>
      <c r="BD125" s="281"/>
      <c r="BE125" s="281"/>
      <c r="BF125" s="289"/>
      <c r="BG125" s="289"/>
      <c r="BH125" s="289"/>
      <c r="BI125" s="289"/>
      <c r="BJ125" s="289"/>
      <c r="BK125" s="289"/>
      <c r="BL125" s="288" t="str">
        <f>VLOOKUP(B125,Sheet2!A8:D125,4,FALSE)</f>
        <v>Dosen</v>
      </c>
      <c r="BM125" s="281"/>
      <c r="BN125" s="281"/>
      <c r="BO125" s="281"/>
      <c r="BP125" s="281"/>
      <c r="BQ125" s="281"/>
      <c r="BR125" s="288" t="str">
        <f>VLOOKUP(B125,Sheet2!A8:E125,5,FALSE)</f>
        <v>Intelligent Communications and Networks (ICON)</v>
      </c>
      <c r="BS125" s="288" t="str">
        <f>VLOOKUP(B125,Sheet2!A8:F125,6,FALSE)</f>
        <v>WMH</v>
      </c>
      <c r="BT125" s="288" t="str">
        <f>VLOOKUP(B125,Sheet2!A8:G125,7,FALSE)</f>
        <v>Fakultas Teknik Elektro</v>
      </c>
      <c r="BU125" s="288" t="str">
        <f>VLOOKUP(B125,Sheet2!A8:H125,8,FALSE)</f>
        <v>wmhadiansyah@telkomuniversity.ac.id</v>
      </c>
      <c r="BV125" s="280">
        <f>COUNTIFS('Join TPA Dosen'!B:B,'Dosen sorted'!B120)</f>
        <v>1</v>
      </c>
      <c r="BW125" s="273" t="str">
        <f>DATEDIF(AM125,DATE(2026,1,1),"y")&amp;" tahun "&amp;DATEDIF(AM125,DATE(2026,1,1),"ym")&amp;" bulan "</f>
        <v xml:space="preserve">8 tahun 0 bulan </v>
      </c>
      <c r="BX125" s="280" t="str">
        <f>VLOOKUP($B125,Sheet1!$A:$G,2,FALSE)</f>
        <v>ITS</v>
      </c>
      <c r="BY125" s="280" t="str">
        <f>VLOOKUP($B125,Sheet1!$A:$G,3,FALSE)</f>
        <v>Teknik Elektro - Telekomunikasi Multimedia</v>
      </c>
      <c r="BZ125" s="280" t="str">
        <f>VLOOKUP($B125,Sheet1!$A:$G,4,FALSE)</f>
        <v>ITS</v>
      </c>
      <c r="CA125" s="280" t="str">
        <f>VLOOKUP($B125,Sheet1!$A:$G,5,FALSE)</f>
        <v>Teknik Elektro - Telekomunikasi Multimedia</v>
      </c>
      <c r="CB125" s="280" t="str">
        <f>VLOOKUP($B125,Sheet1!$A:$G,6,FALSE)</f>
        <v>ITS</v>
      </c>
      <c r="CC125" s="280" t="str">
        <f>VLOOKUP($B125,Sheet1!$A:$G,7,FALSE)</f>
        <v>Teknik Elektro</v>
      </c>
      <c r="CD125" s="280" t="s">
        <v>862</v>
      </c>
      <c r="CE125" s="280" t="s">
        <v>872</v>
      </c>
    </row>
    <row r="126" spans="1:83" ht="19.5" hidden="1">
      <c r="A126" s="281">
        <v>20</v>
      </c>
      <c r="B126" s="281" t="s">
        <v>533</v>
      </c>
      <c r="C126" s="281" t="s">
        <v>46</v>
      </c>
      <c r="D126" s="281" t="s">
        <v>524</v>
      </c>
      <c r="E126" s="302">
        <v>19910003</v>
      </c>
      <c r="F126" s="302" t="s">
        <v>1358</v>
      </c>
      <c r="G126" s="302"/>
      <c r="H126" s="281" t="s">
        <v>845</v>
      </c>
      <c r="I126" s="302" t="s">
        <v>30</v>
      </c>
      <c r="J126" s="302" t="s">
        <v>176</v>
      </c>
      <c r="K126" s="302" t="s">
        <v>846</v>
      </c>
      <c r="L126" s="302" t="s">
        <v>847</v>
      </c>
      <c r="M126" s="283" t="str">
        <f>IF(L126="NJAD","AA",IF(L126="AA","L",IF(L126="L","LK","GB")))</f>
        <v>L</v>
      </c>
      <c r="N126" s="309" t="s">
        <v>511</v>
      </c>
      <c r="O126" s="302">
        <v>150</v>
      </c>
      <c r="P126" s="302" t="s">
        <v>30</v>
      </c>
      <c r="Q126" s="310">
        <v>44195</v>
      </c>
      <c r="R126" s="281" t="str">
        <f ca="1">DATEDIF(Q126,TODAY(), "Y") &amp; " Tahun " &amp; DATEDIF(Q126, TODAY(), "YM") &amp; " Bulan"</f>
        <v>5 Tahun 0 Bulan</v>
      </c>
      <c r="S126" s="302" t="s">
        <v>849</v>
      </c>
      <c r="T126" s="315">
        <v>44348</v>
      </c>
      <c r="U126" s="281" t="str">
        <f ca="1">DATEDIF(T126,TODAY(), "Y") &amp; " Tahun " &amp; DATEDIF(T126, TODAY(), "YM") &amp; " Bulan"</f>
        <v>4 Tahun 7 Bulan</v>
      </c>
      <c r="V126" s="302" t="s">
        <v>895</v>
      </c>
      <c r="W126" s="302" t="s">
        <v>851</v>
      </c>
      <c r="X126" s="283" t="str">
        <f ca="1">IF(AND(OR(L126="AA",L126="L"),OR(S126="Penata Muda Tk. I Golongan III/b",S126="Penata Golongan III/c"),DATEDIF(Q126,TODAY(),"m")&gt;=23,ISBLANK(Z126),C126="Aktif"),"Nominasi Serdos","-")</f>
        <v>-</v>
      </c>
      <c r="Y126" s="281"/>
      <c r="Z126" s="311"/>
      <c r="AA126" s="302"/>
      <c r="AB126" s="302" t="s">
        <v>30</v>
      </c>
      <c r="AC126" s="311" t="s">
        <v>511</v>
      </c>
      <c r="AD126" s="302" t="s">
        <v>30</v>
      </c>
      <c r="AE126" s="302" t="s">
        <v>30</v>
      </c>
      <c r="AF126" s="302" t="s">
        <v>30</v>
      </c>
      <c r="AG126" s="302" t="s">
        <v>30</v>
      </c>
      <c r="AH126" s="302" t="s">
        <v>854</v>
      </c>
      <c r="AI126" s="302" t="s">
        <v>30</v>
      </c>
      <c r="AJ126" s="302" t="s">
        <v>30</v>
      </c>
      <c r="AK126" s="302" t="s">
        <v>30</v>
      </c>
      <c r="AM126" s="303">
        <v>43101</v>
      </c>
      <c r="AN126" s="287" t="str">
        <f ca="1">DATEDIF(AM126,TODAY(),"y")&amp;" tahun "&amp;DATEDIF(AM126,TODAY(),"ym")&amp;" bulan "</f>
        <v xml:space="preserve">8 tahun 0 bulan </v>
      </c>
      <c r="AO126" s="302" t="s">
        <v>858</v>
      </c>
      <c r="AP126" s="302" t="s">
        <v>900</v>
      </c>
      <c r="AQ126" s="302" t="s">
        <v>1359</v>
      </c>
      <c r="AR126" s="302" t="s">
        <v>534</v>
      </c>
      <c r="AS126" s="302">
        <v>81322295542</v>
      </c>
      <c r="AT126" s="302" t="s">
        <v>535</v>
      </c>
      <c r="AU126" s="302" t="s">
        <v>30</v>
      </c>
      <c r="AV126" s="281"/>
      <c r="AW126" s="281" t="str">
        <f>VLOOKUP(B126,Sheet2!A21:I138,9,FALSE)</f>
        <v>Arliyanti Nurdin, S.T., M.T.</v>
      </c>
      <c r="AX126" s="281" t="s">
        <v>902</v>
      </c>
      <c r="AY126" s="281" t="str">
        <f>VLOOKUP(B126,Sheet2!A21:C138,2,FALSE)</f>
        <v>Benteng</v>
      </c>
      <c r="AZ126" s="288">
        <f>VLOOKUP(B126,Sheet2!A21:C138,3,FALSE)</f>
        <v>33408</v>
      </c>
      <c r="BA126" s="281">
        <f ca="1">DATEDIF(AZ126, TODAY(),"y")</f>
        <v>34</v>
      </c>
      <c r="BB126" s="281"/>
      <c r="BC126" s="281"/>
      <c r="BD126" s="281"/>
      <c r="BE126" s="281"/>
      <c r="BF126" s="289"/>
      <c r="BG126" s="289"/>
      <c r="BH126" s="289"/>
      <c r="BI126" s="289"/>
      <c r="BJ126" s="289"/>
      <c r="BK126" s="289"/>
      <c r="BL126" s="288" t="str">
        <f>VLOOKUP(B126,Sheet2!A21:D138,4,FALSE)</f>
        <v>Dosen</v>
      </c>
      <c r="BM126" s="281"/>
      <c r="BN126" s="281"/>
      <c r="BO126" s="281"/>
      <c r="BP126" s="281"/>
      <c r="BQ126" s="281"/>
      <c r="BR126" s="288" t="e">
        <f>VLOOKUP(B126,Sheet2!A21:E138,5,FALSE)</f>
        <v>#N/A</v>
      </c>
      <c r="BS126" s="288" t="e">
        <f>VLOOKUP(B126,Sheet2!A21:F138,6,FALSE)</f>
        <v>#N/A</v>
      </c>
      <c r="BT126" s="288" t="str">
        <f>VLOOKUP(B126,Sheet2!A21:G138,7,FALSE)</f>
        <v>Fakultas Informatika</v>
      </c>
      <c r="BU126" s="288"/>
      <c r="BV126" s="280">
        <f>COUNTIFS('Join TPA Dosen'!B:B,'Dosen sorted'!B21)</f>
        <v>1</v>
      </c>
      <c r="BW126" s="273" t="str">
        <f>DATEDIF(AM126,DATE(2026,1,1),"y")&amp;" tahun "&amp;DATEDIF(AM126,DATE(2026,1,1),"ym")&amp;" bulan "</f>
        <v xml:space="preserve">8 tahun 0 bulan </v>
      </c>
      <c r="BX126" s="280" t="str">
        <f>VLOOKUP($B126,Sheet1!$A:$G,2,FALSE)</f>
        <v>UNHAS</v>
      </c>
      <c r="BY126" s="280" t="str">
        <f>VLOOKUP($B126,Sheet1!$A:$G,3,FALSE)</f>
        <v>Teknik Informatika</v>
      </c>
      <c r="BZ126" s="280" t="str">
        <f>VLOOKUP($B126,Sheet1!$A:$G,4,FALSE)</f>
        <v>ITB</v>
      </c>
      <c r="CA126" s="280" t="str">
        <f>VLOOKUP($B126,Sheet1!$A:$G,5,FALSE)</f>
        <v>Teknik Informatika</v>
      </c>
      <c r="CB126" s="280" t="str">
        <f>VLOOKUP($B126,Sheet1!$A:$G,6,FALSE)</f>
        <v>UGM</v>
      </c>
      <c r="CC126" s="280" t="str">
        <f>VLOOKUP($B126,Sheet1!$A:$G,7,FALSE)</f>
        <v>Ilmu Komputer</v>
      </c>
      <c r="CD126" s="280" t="e">
        <v>#N/A</v>
      </c>
      <c r="CE126" s="280" t="e">
        <v>#N/A</v>
      </c>
    </row>
    <row r="127" spans="1:83" ht="19.5" customHeight="1">
      <c r="A127" s="281">
        <v>39</v>
      </c>
      <c r="B127" s="281" t="s">
        <v>523</v>
      </c>
      <c r="C127" s="281" t="s">
        <v>20</v>
      </c>
      <c r="D127" s="281" t="s">
        <v>524</v>
      </c>
      <c r="E127" s="281">
        <v>23929009</v>
      </c>
      <c r="F127" s="281" t="s">
        <v>983</v>
      </c>
      <c r="G127" s="282" t="s">
        <v>525</v>
      </c>
      <c r="H127" s="281" t="s">
        <v>845</v>
      </c>
      <c r="I127" s="281" t="s">
        <v>30</v>
      </c>
      <c r="J127" s="281" t="s">
        <v>57</v>
      </c>
      <c r="K127" s="281" t="s">
        <v>893</v>
      </c>
      <c r="L127" s="281" t="s">
        <v>775</v>
      </c>
      <c r="M127" s="283" t="str">
        <f>IF(L127="NJAD","AA",IF(L127="AA","L",IF(L127="L","LK","GB")))</f>
        <v>LK</v>
      </c>
      <c r="N127" s="292"/>
      <c r="O127" s="281">
        <v>200</v>
      </c>
      <c r="P127" s="281" t="s">
        <v>984</v>
      </c>
      <c r="Q127" s="284">
        <v>45931</v>
      </c>
      <c r="R127" s="281" t="str">
        <f ca="1">DATEDIF(Q127,TODAY(), "Y") &amp; " Tahun " &amp; DATEDIF(Q127, TODAY(), "YM") &amp; " Bulan"</f>
        <v>0 Tahun 3 Bulan</v>
      </c>
      <c r="S127" s="281" t="s">
        <v>849</v>
      </c>
      <c r="T127" s="285">
        <v>44197</v>
      </c>
      <c r="U127" s="281" t="str">
        <f ca="1">DATEDIF(T127,TODAY(), "Y") &amp; " Tahun " &amp; DATEDIF(T127, TODAY(), "YM") &amp; " Bulan"</f>
        <v>5 Tahun 0 Bulan</v>
      </c>
      <c r="V127" s="281" t="s">
        <v>985</v>
      </c>
      <c r="W127" s="281" t="s">
        <v>851</v>
      </c>
      <c r="X127" s="283" t="str">
        <f ca="1">IF(AND(OR(L127="AA",L127="L"),OR(S127="Penata Muda Tk. I Golongan III/b",S127="Penata Golongan III/c"),DATEDIF(Q127,TODAY(),"m")&gt;=23,ISBLANK(Z127),C127="Aktif"),"Nominasi Serdos","-")</f>
        <v>-</v>
      </c>
      <c r="Y127" s="281"/>
      <c r="Z127" s="281" t="s">
        <v>852</v>
      </c>
      <c r="AA127" s="281">
        <v>23107201903252</v>
      </c>
      <c r="AB127" s="281" t="s">
        <v>986</v>
      </c>
      <c r="AC127" s="285">
        <v>45085</v>
      </c>
      <c r="AD127" s="281" t="s">
        <v>30</v>
      </c>
      <c r="AE127" s="281" t="s">
        <v>30</v>
      </c>
      <c r="AF127" s="281" t="s">
        <v>30</v>
      </c>
      <c r="AG127" s="281" t="s">
        <v>30</v>
      </c>
      <c r="AH127" s="281" t="s">
        <v>854</v>
      </c>
      <c r="AI127" s="281" t="s">
        <v>855</v>
      </c>
      <c r="AJ127" s="281" t="s">
        <v>856</v>
      </c>
      <c r="AK127" s="281" t="s">
        <v>855</v>
      </c>
      <c r="AM127" s="286">
        <v>43282</v>
      </c>
      <c r="AN127" s="287" t="str">
        <f ca="1">DATEDIF(AM127,TODAY(),"y")&amp;" tahun "&amp;DATEDIF(AM127,TODAY(),"ym")&amp;" bulan "</f>
        <v xml:space="preserve">7 tahun 6 bulan </v>
      </c>
      <c r="AO127" s="281" t="s">
        <v>858</v>
      </c>
      <c r="AP127" s="281" t="s">
        <v>900</v>
      </c>
      <c r="AQ127" s="281" t="s">
        <v>987</v>
      </c>
      <c r="AR127" s="281" t="s">
        <v>526</v>
      </c>
      <c r="AS127" s="281">
        <v>81324604072</v>
      </c>
      <c r="AT127" s="281" t="s">
        <v>527</v>
      </c>
      <c r="AU127" s="281" t="s">
        <v>30</v>
      </c>
      <c r="AV127" s="281"/>
      <c r="AW127" s="281" t="str">
        <f>VLOOKUP(B127,Sheet2!A40:I157,9,FALSE)</f>
        <v>Bernadus Anggo Seno Aji, S.Kom., M.Kom.</v>
      </c>
      <c r="AX127" s="281" t="s">
        <v>861</v>
      </c>
      <c r="AY127" s="281" t="str">
        <f>VLOOKUP(B127,Sheet2!A40:C157,2,FALSE)</f>
        <v>Grobogan</v>
      </c>
      <c r="AZ127" s="288">
        <f>VLOOKUP(B127,Sheet2!A40:C157,3,FALSE)</f>
        <v>33697</v>
      </c>
      <c r="BA127" s="281">
        <f ca="1">DATEDIF(AZ127, TODAY(),"y")</f>
        <v>33</v>
      </c>
      <c r="BB127" s="281"/>
      <c r="BC127" s="281"/>
      <c r="BD127" s="281"/>
      <c r="BE127" s="281"/>
      <c r="BF127" s="289"/>
      <c r="BG127" s="289"/>
      <c r="BH127" s="289"/>
      <c r="BI127" s="289"/>
      <c r="BJ127" s="289"/>
      <c r="BK127" s="289"/>
      <c r="BL127" s="288" t="s">
        <v>21</v>
      </c>
      <c r="BM127" s="281"/>
      <c r="BN127" s="281"/>
      <c r="BO127" s="281"/>
      <c r="BP127" s="281"/>
      <c r="BQ127" s="281"/>
      <c r="BR127" s="288" t="str">
        <f>VLOOKUP(B127,Sheet2!A40:E157,5,FALSE)</f>
        <v>Data Science and Intelligent Systems (DSIS)</v>
      </c>
      <c r="BS127" s="288" t="str">
        <f>VLOOKUP(B127,Sheet2!A40:F157,6,FALSE)</f>
        <v>BOS</v>
      </c>
      <c r="BT127" s="288" t="str">
        <f>VLOOKUP(B127,Sheet2!A40:G157,7,FALSE)</f>
        <v>Fakultas Informatika</v>
      </c>
      <c r="BU127" s="288" t="str">
        <f>VLOOKUP(B127,Sheet2!A40:H157,8,FALSE)</f>
        <v>bernadusanggosenoaji@telkomuniversity.ac.id</v>
      </c>
      <c r="BV127" s="280">
        <f>COUNTIFS('Join TPA Dosen'!B:B,'Dosen sorted'!B9)</f>
        <v>1</v>
      </c>
      <c r="BW127" s="273" t="str">
        <f>DATEDIF(AM127,DATE(2026,1,1),"y")&amp;" tahun "&amp;DATEDIF(AM127,DATE(2026,1,1),"ym")&amp;" bulan "</f>
        <v xml:space="preserve">7 tahun 6 bulan </v>
      </c>
      <c r="BX127" s="280" t="str">
        <f>VLOOKUP($B127,Sheet1!$A:$G,2,FALSE)</f>
        <v>Tel-U</v>
      </c>
      <c r="BY127" s="280" t="str">
        <f>VLOOKUP($B127,Sheet1!$A:$G,3,FALSE)</f>
        <v>Ilmu Komputasi</v>
      </c>
      <c r="BZ127" s="280" t="str">
        <f>VLOOKUP($B127,Sheet1!$A:$G,4,FALSE)</f>
        <v>Tel-U</v>
      </c>
      <c r="CA127" s="280" t="str">
        <f>VLOOKUP($B127,Sheet1!$A:$G,5,FALSE)</f>
        <v>Teknik Informatika</v>
      </c>
      <c r="CB127" s="280" t="str">
        <f>VLOOKUP($B127,Sheet1!$A:$G,6,FALSE)</f>
        <v>-</v>
      </c>
      <c r="CC127" s="280">
        <f>VLOOKUP($B127,Sheet1!$A:$G,7,FALSE)</f>
        <v>0</v>
      </c>
      <c r="CD127" s="280" t="s">
        <v>862</v>
      </c>
      <c r="CE127" s="280" t="s">
        <v>903</v>
      </c>
    </row>
    <row r="128" spans="1:83" ht="19.5" customHeight="1">
      <c r="A128" s="281">
        <v>8</v>
      </c>
      <c r="B128" s="281" t="s">
        <v>536</v>
      </c>
      <c r="C128" s="281" t="s">
        <v>20</v>
      </c>
      <c r="D128" s="281" t="s">
        <v>524</v>
      </c>
      <c r="E128" s="281">
        <v>20870006</v>
      </c>
      <c r="F128" s="281" t="s">
        <v>892</v>
      </c>
      <c r="G128" s="282" t="s">
        <v>537</v>
      </c>
      <c r="H128" s="281" t="s">
        <v>845</v>
      </c>
      <c r="I128" s="281" t="s">
        <v>30</v>
      </c>
      <c r="J128" s="281" t="s">
        <v>354</v>
      </c>
      <c r="K128" s="281" t="s">
        <v>893</v>
      </c>
      <c r="L128" s="281" t="s">
        <v>775</v>
      </c>
      <c r="M128" s="283" t="str">
        <f>IF(L128="NJAD","AA",IF(L128="AA","L",IF(L128="L","LK","GB")))</f>
        <v>LK</v>
      </c>
      <c r="N128" s="282" t="s">
        <v>511</v>
      </c>
      <c r="O128" s="281">
        <v>200</v>
      </c>
      <c r="P128" s="281" t="s">
        <v>894</v>
      </c>
      <c r="Q128" s="284">
        <v>43984</v>
      </c>
      <c r="R128" s="281" t="str">
        <f ca="1">DATEDIF(Q128,TODAY(), "Y") &amp; " Tahun " &amp; DATEDIF(Q128, TODAY(), "YM") &amp; " Bulan"</f>
        <v>5 Tahun 7 Bulan</v>
      </c>
      <c r="S128" s="281" t="s">
        <v>876</v>
      </c>
      <c r="T128" s="285">
        <v>46023</v>
      </c>
      <c r="U128" s="281" t="str">
        <f ca="1">DATEDIF(T128,TODAY(), "Y") &amp; " Tahun " &amp; DATEDIF(T128, TODAY(), "YM") &amp; " Bulan"</f>
        <v>0 Tahun 0 Bulan</v>
      </c>
      <c r="V128" s="281" t="s">
        <v>895</v>
      </c>
      <c r="W128" s="281" t="s">
        <v>851</v>
      </c>
      <c r="X128" s="283" t="str">
        <f ca="1">IF(AND(OR(L128="AA",L128="L"),OR(S128="Penata Muda Tk. I Golongan III/b",S128="Penata Golongan III/c"),DATEDIF(Q128,TODAY(),"m")&gt;=23,ISBLANK(Z128),C128="Aktif"),"Nominasi Serdos","-")</f>
        <v>-</v>
      </c>
      <c r="Y128" s="281"/>
      <c r="Z128" s="281" t="s">
        <v>852</v>
      </c>
      <c r="AA128" s="281">
        <v>21107201900219</v>
      </c>
      <c r="AB128" s="281" t="s">
        <v>896</v>
      </c>
      <c r="AC128" s="285">
        <v>44529</v>
      </c>
      <c r="AD128" s="281" t="s">
        <v>30</v>
      </c>
      <c r="AE128" s="281" t="s">
        <v>30</v>
      </c>
      <c r="AF128" s="281" t="s">
        <v>30</v>
      </c>
      <c r="AG128" s="281" t="s">
        <v>30</v>
      </c>
      <c r="AH128" s="281" t="s">
        <v>854</v>
      </c>
      <c r="AI128" s="281" t="s">
        <v>855</v>
      </c>
      <c r="AJ128" s="281" t="s">
        <v>897</v>
      </c>
      <c r="AK128" s="281" t="s">
        <v>898</v>
      </c>
      <c r="AL128" s="281" t="s">
        <v>899</v>
      </c>
      <c r="AM128" s="286">
        <v>43101</v>
      </c>
      <c r="AN128" s="287" t="str">
        <f ca="1">DATEDIF(AM128,TODAY(),"y")&amp;" tahun "&amp;DATEDIF(AM128,TODAY(),"ym")&amp;" bulan "</f>
        <v xml:space="preserve">8 tahun 0 bulan </v>
      </c>
      <c r="AO128" s="281" t="s">
        <v>858</v>
      </c>
      <c r="AP128" s="281" t="s">
        <v>900</v>
      </c>
      <c r="AQ128" s="281" t="s">
        <v>901</v>
      </c>
      <c r="AR128" s="281" t="s">
        <v>538</v>
      </c>
      <c r="AS128" s="281">
        <v>82257336595</v>
      </c>
      <c r="AT128" s="281" t="s">
        <v>539</v>
      </c>
      <c r="AU128" s="281" t="s">
        <v>30</v>
      </c>
      <c r="AV128" s="281"/>
      <c r="AW128" s="281" t="str">
        <f>VLOOKUP(B128,Sheet2!A9:I126,9,FALSE)</f>
        <v>Farah Zakiyah Rahmanti, S.ST., M.T.</v>
      </c>
      <c r="AX128" s="281" t="s">
        <v>902</v>
      </c>
      <c r="AY128" s="281" t="str">
        <f>VLOOKUP(B128,Sheet2!A9:C126,2,FALSE)</f>
        <v>Surabaya</v>
      </c>
      <c r="AZ128" s="288">
        <f>VLOOKUP(B128,Sheet2!A9:C126,3,FALSE)</f>
        <v>32126</v>
      </c>
      <c r="BA128" s="281">
        <f ca="1">DATEDIF(AZ128, TODAY(),"y")</f>
        <v>38</v>
      </c>
      <c r="BB128" s="281"/>
      <c r="BC128" s="281"/>
      <c r="BD128" s="281"/>
      <c r="BE128" s="281"/>
      <c r="BF128" s="289"/>
      <c r="BG128" s="289"/>
      <c r="BH128" s="289"/>
      <c r="BI128" s="289"/>
      <c r="BJ128" s="289"/>
      <c r="BK128" s="289"/>
      <c r="BL128" s="288" t="str">
        <f>VLOOKUP(B128,Sheet2!A9:D126,4,FALSE)</f>
        <v>Dosen</v>
      </c>
      <c r="BM128" s="281"/>
      <c r="BN128" s="281"/>
      <c r="BO128" s="281"/>
      <c r="BP128" s="281"/>
      <c r="BQ128" s="281"/>
      <c r="BR128" s="288" t="str">
        <f>VLOOKUP(B128,Sheet2!A9:E126,5,FALSE)</f>
        <v>Data Science and Intelligent Systems (DSIS)</v>
      </c>
      <c r="BS128" s="288" t="str">
        <f>VLOOKUP(B128,Sheet2!A9:F126,6,FALSE)</f>
        <v>FZK</v>
      </c>
      <c r="BT128" s="288" t="str">
        <f>VLOOKUP(B128,Sheet2!A9:G126,7,FALSE)</f>
        <v>Fakultas Informatika</v>
      </c>
      <c r="BU128" s="288" t="str">
        <f>VLOOKUP(B128,Sheet2!A9:H126,8,FALSE)</f>
        <v>farahzakiyah@telkomuniversity.ac.id</v>
      </c>
      <c r="BV128" s="280">
        <f>COUNTIFS('Join TPA Dosen'!B:B,'Dosen sorted'!B26)</f>
        <v>1</v>
      </c>
      <c r="BW128" s="273" t="str">
        <f>DATEDIF(AM128,DATE(2026,1,1),"y")&amp;" tahun "&amp;DATEDIF(AM128,DATE(2026,1,1),"ym")&amp;" bulan "</f>
        <v xml:space="preserve">8 tahun 0 bulan </v>
      </c>
      <c r="BX128" s="280" t="str">
        <f>VLOOKUP($B128,Sheet1!$A:$G,2,FALSE)</f>
        <v>PENS</v>
      </c>
      <c r="BY128" s="280" t="str">
        <f>VLOOKUP($B128,Sheet1!$A:$G,3,FALSE)</f>
        <v>Teknik Informatika</v>
      </c>
      <c r="BZ128" s="280" t="str">
        <f>VLOOKUP($B128,Sheet1!$A:$G,4,FALSE)</f>
        <v>ITS</v>
      </c>
      <c r="CA128" s="280" t="str">
        <f>VLOOKUP($B128,Sheet1!$A:$G,5,FALSE)</f>
        <v>Teknik Elektro</v>
      </c>
      <c r="CB128" s="280" t="str">
        <f>VLOOKUP($B128,Sheet1!$A:$G,6,FALSE)</f>
        <v>ITS</v>
      </c>
      <c r="CC128" s="280" t="str">
        <f>VLOOKUP($B128,Sheet1!$A:$G,7,FALSE)</f>
        <v>Teknik Elektro</v>
      </c>
      <c r="CD128" s="280" t="s">
        <v>862</v>
      </c>
      <c r="CE128" s="280" t="s">
        <v>903</v>
      </c>
    </row>
    <row r="129" spans="1:83" ht="19.5" hidden="1" customHeight="1">
      <c r="A129" s="281">
        <v>71</v>
      </c>
      <c r="B129" s="281" t="s">
        <v>557</v>
      </c>
      <c r="C129" s="281" t="s">
        <v>46</v>
      </c>
      <c r="D129" s="281" t="s">
        <v>524</v>
      </c>
      <c r="E129" s="302">
        <v>22910002</v>
      </c>
      <c r="F129" s="302" t="s">
        <v>1376</v>
      </c>
      <c r="G129" s="302"/>
      <c r="H129" s="291" t="s">
        <v>884</v>
      </c>
      <c r="I129" s="302" t="s">
        <v>30</v>
      </c>
      <c r="J129" s="302" t="s">
        <v>176</v>
      </c>
      <c r="K129" s="302" t="s">
        <v>917</v>
      </c>
      <c r="L129" s="302" t="s">
        <v>918</v>
      </c>
      <c r="M129" s="283" t="str">
        <f>IF(L129="NJAD","AA",IF(L129="AA","L",IF(L129="L","LK","GB")))</f>
        <v>AA</v>
      </c>
      <c r="N129" s="309" t="s">
        <v>511</v>
      </c>
      <c r="O129" s="302">
        <v>0</v>
      </c>
      <c r="P129" s="302" t="s">
        <v>30</v>
      </c>
      <c r="Q129" s="310">
        <v>44627</v>
      </c>
      <c r="R129" s="281" t="str">
        <f ca="1">DATEDIF(Q129,TODAY(), "Y") &amp; " Tahun " &amp; DATEDIF(Q129, TODAY(), "YM") &amp; " Bulan"</f>
        <v>3 Tahun 10 Bulan</v>
      </c>
      <c r="S129" s="311" t="s">
        <v>511</v>
      </c>
      <c r="T129" s="311" t="s">
        <v>511</v>
      </c>
      <c r="U129" s="281" t="e">
        <f ca="1">DATEDIF(T129,TODAY(), "Y") &amp; " Tahun " &amp; DATEDIF(T129, TODAY(), "YM") &amp; " Bulan"</f>
        <v>#VALUE!</v>
      </c>
      <c r="V129" s="306" t="s">
        <v>895</v>
      </c>
      <c r="W129" s="302" t="s">
        <v>851</v>
      </c>
      <c r="X129" s="283" t="str">
        <f ca="1">IF(AND(OR(L129="AA",L129="L"),OR(S129="Penata Muda Tk. I Golongan III/b",S129="Penata Golongan III/c"),DATEDIF(Q129,TODAY(),"m")&gt;=23,ISBLANK(Z129),C129="Aktif"),"Nominasi Serdos","-")</f>
        <v>-</v>
      </c>
      <c r="Y129" s="281"/>
      <c r="Z129" s="311"/>
      <c r="AA129" s="302"/>
      <c r="AB129" s="302" t="s">
        <v>30</v>
      </c>
      <c r="AC129" s="311" t="s">
        <v>511</v>
      </c>
      <c r="AD129" s="302" t="s">
        <v>30</v>
      </c>
      <c r="AE129" s="302" t="s">
        <v>30</v>
      </c>
      <c r="AF129" s="302" t="s">
        <v>30</v>
      </c>
      <c r="AG129" s="302" t="s">
        <v>30</v>
      </c>
      <c r="AH129" s="302" t="s">
        <v>854</v>
      </c>
      <c r="AI129" s="302" t="s">
        <v>30</v>
      </c>
      <c r="AJ129" s="302" t="s">
        <v>30</v>
      </c>
      <c r="AK129" s="302" t="s">
        <v>30</v>
      </c>
      <c r="AM129" s="303">
        <v>44627</v>
      </c>
      <c r="AN129" s="287" t="str">
        <f ca="1">DATEDIF(AM129,TODAY(),"y")&amp;" tahun "&amp;DATEDIF(AM129,TODAY(),"ym")&amp;" bulan "</f>
        <v xml:space="preserve">3 tahun 10 bulan </v>
      </c>
      <c r="AO129" s="302" t="s">
        <v>858</v>
      </c>
      <c r="AP129" s="302" t="s">
        <v>900</v>
      </c>
      <c r="AQ129" s="302" t="s">
        <v>1377</v>
      </c>
      <c r="AR129" s="302" t="s">
        <v>558</v>
      </c>
      <c r="AS129" s="302">
        <v>8970339520</v>
      </c>
      <c r="AT129" s="302" t="s">
        <v>559</v>
      </c>
      <c r="AU129" s="302" t="s">
        <v>30</v>
      </c>
      <c r="AV129" s="281"/>
      <c r="AW129" s="281" t="str">
        <f>VLOOKUP(B129,Sheet2!A72:I189,9,FALSE)</f>
        <v>Fauzan Nusyura, S.T., M.T.</v>
      </c>
      <c r="AX129" s="281" t="s">
        <v>861</v>
      </c>
      <c r="AY129" s="281" t="str">
        <f>VLOOKUP(B129,Sheet2!A72:C189,2,FALSE)</f>
        <v>Surabaya</v>
      </c>
      <c r="AZ129" s="288">
        <f>VLOOKUP(B129,Sheet2!A72:C189,3,FALSE)</f>
        <v>33562</v>
      </c>
      <c r="BA129" s="281">
        <f ca="1">DATEDIF(AZ129, TODAY(),"y")</f>
        <v>34</v>
      </c>
      <c r="BB129" s="281"/>
      <c r="BC129" s="281"/>
      <c r="BD129" s="281"/>
      <c r="BE129" s="281"/>
      <c r="BF129" s="289"/>
      <c r="BG129" s="289"/>
      <c r="BH129" s="289"/>
      <c r="BI129" s="289"/>
      <c r="BJ129" s="289"/>
      <c r="BK129" s="289"/>
      <c r="BL129" s="288" t="str">
        <f>VLOOKUP(B129,Sheet2!A72:D189,4,FALSE)</f>
        <v>Dosen</v>
      </c>
      <c r="BM129" s="281"/>
      <c r="BN129" s="286"/>
      <c r="BO129" s="281"/>
      <c r="BP129" s="281"/>
      <c r="BQ129" s="281"/>
      <c r="BR129" s="288" t="str">
        <f>VLOOKUP(B129,Sheet2!A72:E189,5,FALSE)</f>
        <v>Data Science and Intelligent Systems (DSIS)</v>
      </c>
      <c r="BS129" s="288" t="str">
        <f>VLOOKUP(B129,Sheet2!A72:F189,6,FALSE)</f>
        <v>FZS</v>
      </c>
      <c r="BT129" s="288" t="str">
        <f>VLOOKUP(B129,Sheet2!A72:G189,7,FALSE)</f>
        <v>Fakultas Informatika</v>
      </c>
      <c r="BU129" s="288"/>
      <c r="BV129" s="280">
        <f>COUNTIFS('Join TPA Dosen'!B:B,'Dosen sorted'!B72)</f>
        <v>1</v>
      </c>
      <c r="BW129" s="273" t="str">
        <f>DATEDIF(AM129,DATE(2026,1,1),"y")&amp;" tahun "&amp;DATEDIF(AM129,DATE(2026,1,1),"ym")&amp;" bulan "</f>
        <v xml:space="preserve">3 tahun 9 bulan </v>
      </c>
      <c r="BX129" s="280" t="str">
        <f>VLOOKUP($B129,Sheet1!$A:$G,2,FALSE)</f>
        <v>Univ. Brawijaya</v>
      </c>
      <c r="BY129" s="280" t="str">
        <f>VLOOKUP($B129,Sheet1!$A:$G,3,FALSE)</f>
        <v>Teknik Elektro</v>
      </c>
      <c r="BZ129" s="280" t="str">
        <f>VLOOKUP($B129,Sheet1!$A:$G,4,FALSE)</f>
        <v>ITS</v>
      </c>
      <c r="CA129" s="280" t="str">
        <f>VLOOKUP($B129,Sheet1!$A:$G,5,FALSE)</f>
        <v>Teknik Elektro</v>
      </c>
      <c r="CB129" s="280" t="str">
        <f>VLOOKUP($B129,Sheet1!$A:$G,6,FALSE)</f>
        <v>-</v>
      </c>
      <c r="CC129" s="280">
        <f>VLOOKUP($B129,Sheet1!$A:$G,7,FALSE)</f>
        <v>0</v>
      </c>
      <c r="CD129" s="280" t="e">
        <v>#N/A</v>
      </c>
      <c r="CE129" s="280" t="e">
        <v>#N/A</v>
      </c>
    </row>
    <row r="130" spans="1:83" ht="19.5" customHeight="1">
      <c r="A130" s="281">
        <v>9</v>
      </c>
      <c r="B130" s="281" t="s">
        <v>540</v>
      </c>
      <c r="C130" s="281" t="s">
        <v>20</v>
      </c>
      <c r="D130" s="281" t="s">
        <v>524</v>
      </c>
      <c r="E130" s="281">
        <v>19790001</v>
      </c>
      <c r="F130" s="281" t="s">
        <v>904</v>
      </c>
      <c r="G130" s="282" t="s">
        <v>541</v>
      </c>
      <c r="H130" s="281" t="s">
        <v>845</v>
      </c>
      <c r="I130" s="281" t="s">
        <v>143</v>
      </c>
      <c r="J130" s="281" t="s">
        <v>444</v>
      </c>
      <c r="K130" s="281" t="s">
        <v>905</v>
      </c>
      <c r="L130" s="281" t="s">
        <v>776</v>
      </c>
      <c r="M130" s="283" t="str">
        <f>IF(L130="NJAD","AA",IF(L130="AA","L",IF(L130="L","LK","GB")))</f>
        <v>GB</v>
      </c>
      <c r="N130" s="282" t="s">
        <v>511</v>
      </c>
      <c r="O130" s="281">
        <v>400</v>
      </c>
      <c r="P130" s="281" t="s">
        <v>769</v>
      </c>
      <c r="Q130" s="284">
        <v>45200</v>
      </c>
      <c r="R130" s="281" t="str">
        <f ca="1">DATEDIF(Q130,TODAY(), "Y") &amp; " Tahun " &amp; DATEDIF(Q130, TODAY(), "YM") &amp; " Bulan"</f>
        <v>2 Tahun 3 Bulan</v>
      </c>
      <c r="S130" s="281" t="s">
        <v>906</v>
      </c>
      <c r="T130" s="285">
        <v>46023</v>
      </c>
      <c r="U130" s="281" t="str">
        <f ca="1">DATEDIF(T130,TODAY(), "Y") &amp; " Tahun " &amp; DATEDIF(T130, TODAY(), "YM") &amp; " Bulan"</f>
        <v>0 Tahun 0 Bulan</v>
      </c>
      <c r="V130" s="281" t="s">
        <v>907</v>
      </c>
      <c r="W130" s="281" t="s">
        <v>851</v>
      </c>
      <c r="X130" s="283" t="str">
        <f ca="1">IF(AND(OR(L130="AA",L130="L"),OR(S130="Penata Muda Tk. I Golongan III/b",S130="Penata Golongan III/c"),DATEDIF(Q130,TODAY(),"m")&gt;=23,ISBLANK(Z130),C130="Aktif"),"Nominasi Serdos","-")</f>
        <v>-</v>
      </c>
      <c r="Y130" s="281"/>
      <c r="Z130" s="281" t="s">
        <v>852</v>
      </c>
      <c r="AA130" s="281">
        <v>15107500409985</v>
      </c>
      <c r="AB130" s="281" t="s">
        <v>908</v>
      </c>
      <c r="AC130" s="285">
        <v>42357</v>
      </c>
      <c r="AD130" s="281" t="s">
        <v>30</v>
      </c>
      <c r="AE130" s="281" t="s">
        <v>30</v>
      </c>
      <c r="AF130" s="281" t="s">
        <v>30</v>
      </c>
      <c r="AG130" s="281" t="s">
        <v>30</v>
      </c>
      <c r="AH130" s="281" t="s">
        <v>879</v>
      </c>
      <c r="AI130" s="281" t="s">
        <v>30</v>
      </c>
      <c r="AJ130" s="281" t="s">
        <v>30</v>
      </c>
      <c r="AK130" s="281" t="s">
        <v>30</v>
      </c>
      <c r="AM130" s="286">
        <v>43101</v>
      </c>
      <c r="AN130" s="287" t="str">
        <f ca="1">DATEDIF(AM130,TODAY(),"y")&amp;" tahun "&amp;DATEDIF(AM130,TODAY(),"ym")&amp;" bulan "</f>
        <v xml:space="preserve">8 tahun 0 bulan </v>
      </c>
      <c r="AO130" s="281" t="s">
        <v>858</v>
      </c>
      <c r="AP130" s="281" t="s">
        <v>900</v>
      </c>
      <c r="AQ130" s="281" t="s">
        <v>909</v>
      </c>
      <c r="AR130" s="281" t="s">
        <v>542</v>
      </c>
      <c r="AS130" s="281">
        <v>8123182116</v>
      </c>
      <c r="AT130" s="281" t="s">
        <v>543</v>
      </c>
      <c r="AU130" s="281" t="s">
        <v>30</v>
      </c>
      <c r="AV130" s="281"/>
      <c r="AW130" s="281" t="str">
        <f>VLOOKUP(B130,Sheet2!A10:I127,9,FALSE)</f>
        <v>Dr. Helmy Widyantara, S.Kom., M.Eng.</v>
      </c>
      <c r="AX130" s="281" t="s">
        <v>861</v>
      </c>
      <c r="AY130" s="281" t="str">
        <f>VLOOKUP(B130,Sheet2!A10:C127,2,FALSE)</f>
        <v>Ngawi</v>
      </c>
      <c r="AZ130" s="288">
        <f>VLOOKUP(B130,Sheet2!A10:C127,3,FALSE)</f>
        <v>28872</v>
      </c>
      <c r="BA130" s="281">
        <f ca="1">DATEDIF(AZ130, TODAY(),"y")</f>
        <v>47</v>
      </c>
      <c r="BB130" s="281"/>
      <c r="BC130" s="281"/>
      <c r="BD130" s="281"/>
      <c r="BE130" s="281"/>
      <c r="BF130" s="289"/>
      <c r="BG130" s="289"/>
      <c r="BH130" s="289"/>
      <c r="BI130" s="304"/>
      <c r="BJ130" s="304"/>
      <c r="BK130" s="304"/>
      <c r="BL130" s="288" t="str">
        <f>VLOOKUP(B130,Sheet2!A10:D127,4,FALSE)</f>
        <v>COE</v>
      </c>
      <c r="BM130" s="281"/>
      <c r="BN130" s="281"/>
      <c r="BO130" s="281"/>
      <c r="BP130" s="281"/>
      <c r="BQ130" s="281"/>
      <c r="BR130" s="288" t="str">
        <f>VLOOKUP(B130,Sheet2!A10:E127,5,FALSE)</f>
        <v>Communication and Information Technology Infrastructure (CITI)</v>
      </c>
      <c r="BS130" s="288" t="str">
        <f>VLOOKUP(B130,Sheet2!A10:F127,6,FALSE)</f>
        <v>CAP</v>
      </c>
      <c r="BT130" s="288" t="str">
        <f>VLOOKUP(B130,Sheet2!A10:G127,7,FALSE)</f>
        <v>Fakultas Informatika</v>
      </c>
      <c r="BU130" s="288" t="str">
        <f>VLOOKUP(B130,Sheet2!A10:H127,8,FALSE)</f>
        <v>helmywidyantara@telkomuniversity.ac.id</v>
      </c>
      <c r="BV130" s="280">
        <f>COUNTIFS('Join TPA Dosen'!B:B,'Dosen sorted'!B30)</f>
        <v>1</v>
      </c>
      <c r="BW130" s="273" t="str">
        <f>DATEDIF(AM130,DATE(2026,1,1),"y")&amp;" tahun "&amp;DATEDIF(AM130,DATE(2026,1,1),"ym")&amp;" bulan "</f>
        <v xml:space="preserve">8 tahun 0 bulan </v>
      </c>
      <c r="BX130" s="280" t="str">
        <f>VLOOKUP($B130,Sheet1!$A:$G,2,FALSE)</f>
        <v>STIKOM</v>
      </c>
      <c r="BY130" s="280" t="str">
        <f>VLOOKUP($B130,Sheet1!$A:$G,3,FALSE)</f>
        <v>Teknik Komputer</v>
      </c>
      <c r="BZ130" s="280" t="str">
        <f>VLOOKUP($B130,Sheet1!$A:$G,4,FALSE)</f>
        <v>UGM</v>
      </c>
      <c r="CA130" s="280" t="str">
        <f>VLOOKUP($B130,Sheet1!$A:$G,5,FALSE)</f>
        <v>Teknik Elektro</v>
      </c>
      <c r="CB130" s="280" t="str">
        <f>VLOOKUP($B130,Sheet1!$A:$G,6,FALSE)</f>
        <v>ITS</v>
      </c>
      <c r="CC130" s="280" t="str">
        <f>VLOOKUP($B130,Sheet1!$A:$G,7,FALSE)</f>
        <v>Teknik Elektro</v>
      </c>
      <c r="CD130" s="280" t="s">
        <v>862</v>
      </c>
      <c r="CE130" s="280" t="s">
        <v>903</v>
      </c>
    </row>
    <row r="131" spans="1:83" ht="19.5" customHeight="1">
      <c r="A131" s="281">
        <v>4</v>
      </c>
      <c r="B131" s="281" t="s">
        <v>544</v>
      </c>
      <c r="C131" s="281" t="s">
        <v>20</v>
      </c>
      <c r="D131" s="281" t="s">
        <v>524</v>
      </c>
      <c r="E131" s="281">
        <v>19920005</v>
      </c>
      <c r="F131" s="281" t="s">
        <v>1340</v>
      </c>
      <c r="G131" s="282" t="s">
        <v>545</v>
      </c>
      <c r="H131" s="281" t="s">
        <v>845</v>
      </c>
      <c r="I131" s="281" t="s">
        <v>30</v>
      </c>
      <c r="J131" s="281" t="s">
        <v>354</v>
      </c>
      <c r="K131" s="281" t="s">
        <v>893</v>
      </c>
      <c r="L131" s="281" t="s">
        <v>775</v>
      </c>
      <c r="M131" s="283" t="str">
        <f>IF(L131="NJAD","AA",IF(L131="AA","L",IF(L131="L","LK","GB")))</f>
        <v>LK</v>
      </c>
      <c r="N131" s="282" t="s">
        <v>511</v>
      </c>
      <c r="O131" s="281">
        <v>300</v>
      </c>
      <c r="P131" s="281" t="s">
        <v>1341</v>
      </c>
      <c r="Q131" s="284">
        <v>44958</v>
      </c>
      <c r="R131" s="281" t="str">
        <f ca="1">DATEDIF(Q131,TODAY(), "Y") &amp; " Tahun " &amp; DATEDIF(Q131, TODAY(), "YM") &amp; " Bulan"</f>
        <v>2 Tahun 11 Bulan</v>
      </c>
      <c r="S131" s="281" t="s">
        <v>876</v>
      </c>
      <c r="T131" s="285">
        <v>45047</v>
      </c>
      <c r="U131" s="281" t="str">
        <f ca="1">DATEDIF(T131,TODAY(), "Y") &amp; " Tahun " &amp; DATEDIF(T131, TODAY(), "YM") &amp; " Bulan"</f>
        <v>2 Tahun 8 Bulan</v>
      </c>
      <c r="V131" s="281" t="s">
        <v>895</v>
      </c>
      <c r="W131" s="281" t="s">
        <v>851</v>
      </c>
      <c r="X131" s="283" t="str">
        <f ca="1">IF(AND(OR(L131="AA",L131="L"),OR(S131="Penata Muda Tk. I Golongan III/b",S131="Penata Golongan III/c"),DATEDIF(Q131,TODAY(),"m")&gt;=23,ISBLANK(Z131),C131="Aktif"),"Nominasi Serdos","-")</f>
        <v>-</v>
      </c>
      <c r="Y131" s="281"/>
      <c r="Z131" s="281" t="s">
        <v>852</v>
      </c>
      <c r="AA131" s="281">
        <v>22107201902508</v>
      </c>
      <c r="AB131" s="281" t="s">
        <v>1342</v>
      </c>
      <c r="AC131" s="285">
        <v>44783</v>
      </c>
      <c r="AD131" s="281" t="s">
        <v>30</v>
      </c>
      <c r="AE131" s="281" t="s">
        <v>30</v>
      </c>
      <c r="AF131" s="281" t="s">
        <v>30</v>
      </c>
      <c r="AG131" s="281" t="s">
        <v>30</v>
      </c>
      <c r="AH131" s="281" t="s">
        <v>854</v>
      </c>
      <c r="AI131" s="281" t="s">
        <v>855</v>
      </c>
      <c r="AJ131" s="281" t="s">
        <v>856</v>
      </c>
      <c r="AK131" s="281" t="s">
        <v>855</v>
      </c>
      <c r="AL131" s="281" t="s">
        <v>857</v>
      </c>
      <c r="AM131" s="286">
        <v>43101</v>
      </c>
      <c r="AN131" s="287" t="str">
        <f ca="1">DATEDIF(AM131,TODAY(),"y")&amp;" tahun "&amp;DATEDIF(AM131,TODAY(),"ym")&amp;" bulan "</f>
        <v xml:space="preserve">8 tahun 0 bulan </v>
      </c>
      <c r="AO131" s="281" t="s">
        <v>858</v>
      </c>
      <c r="AP131" s="281" t="s">
        <v>900</v>
      </c>
      <c r="AQ131" s="281" t="s">
        <v>1343</v>
      </c>
      <c r="AR131" s="300" t="s">
        <v>546</v>
      </c>
      <c r="AS131" s="281">
        <v>8113788188</v>
      </c>
      <c r="AT131" s="281" t="s">
        <v>547</v>
      </c>
      <c r="AU131" s="281" t="s">
        <v>30</v>
      </c>
      <c r="AV131" s="281"/>
      <c r="AW131" s="281" t="str">
        <f>VLOOKUP(B131,Sheet2!A5:I122,9,FALSE)</f>
        <v>Khodijah Amiroh, S.ST., M.T.</v>
      </c>
      <c r="AX131" s="281" t="s">
        <v>902</v>
      </c>
      <c r="AY131" s="281" t="str">
        <f>VLOOKUP(B131,Sheet2!A5:C122,2,FALSE)</f>
        <v>Tangerang</v>
      </c>
      <c r="AZ131" s="288">
        <f>VLOOKUP(B131,Sheet2!A5:C122,3,FALSE)</f>
        <v>33763</v>
      </c>
      <c r="BA131" s="281">
        <f ca="1">DATEDIF(AZ131, TODAY(),"y")</f>
        <v>33</v>
      </c>
      <c r="BB131" s="281"/>
      <c r="BC131" s="281"/>
      <c r="BD131" s="281"/>
      <c r="BE131" s="281"/>
      <c r="BF131" s="289"/>
      <c r="BG131" s="289"/>
      <c r="BH131" s="289"/>
      <c r="BI131" s="304"/>
      <c r="BJ131" s="304"/>
      <c r="BK131" s="304"/>
      <c r="BL131" s="288" t="str">
        <f>VLOOKUP(B131,Sheet2!A5:D122,4,FALSE)</f>
        <v>Dosen</v>
      </c>
      <c r="BM131" s="281"/>
      <c r="BN131" s="281"/>
      <c r="BO131" s="281"/>
      <c r="BP131" s="281"/>
      <c r="BQ131" s="281"/>
      <c r="BR131" s="288" t="str">
        <f>VLOOKUP(B131,Sheet2!A5:E122,5,FALSE)</f>
        <v>Communication and Information Technology Infrastructure (CITI)</v>
      </c>
      <c r="BS131" s="288" t="str">
        <f>VLOOKUP(B131,Sheet2!A5:F122,6,FALSE)</f>
        <v>DIJ</v>
      </c>
      <c r="BT131" s="288" t="str">
        <f>VLOOKUP(B131,Sheet2!A5:G122,7,FALSE)</f>
        <v>Fakultas Informatika</v>
      </c>
      <c r="BU131" s="288" t="str">
        <f>VLOOKUP(B131,Sheet2!A5:H122,8,FALSE)</f>
        <v>dijaamirah@telkomuniversity.ac.id</v>
      </c>
      <c r="BV131" s="280">
        <f>COUNTIFS('Join TPA Dosen'!B:B,'Dosen sorted'!B32)</f>
        <v>1</v>
      </c>
      <c r="BW131" s="273" t="str">
        <f>DATEDIF(AM131,DATE(2026,1,1),"y")&amp;" tahun "&amp;DATEDIF(AM131,DATE(2026,1,1),"ym")&amp;" bulan "</f>
        <v xml:space="preserve">8 tahun 0 bulan </v>
      </c>
      <c r="BX131" s="280" t="str">
        <f>VLOOKUP($B131,Sheet1!$A:$G,2,FALSE)</f>
        <v>PENS</v>
      </c>
      <c r="BY131" s="280" t="str">
        <f>VLOOKUP($B131,Sheet1!$A:$G,3,FALSE)</f>
        <v>Elektronika</v>
      </c>
      <c r="BZ131" s="280" t="str">
        <f>VLOOKUP($B131,Sheet1!$A:$G,4,FALSE)</f>
        <v>ITS</v>
      </c>
      <c r="CA131" s="280" t="str">
        <f>VLOOKUP($B131,Sheet1!$A:$G,5,FALSE)</f>
        <v>Teknik Elektro</v>
      </c>
      <c r="CB131" s="280" t="str">
        <f>VLOOKUP($B131,Sheet1!$A:$G,6,FALSE)</f>
        <v>UGM</v>
      </c>
      <c r="CC131" s="280" t="str">
        <f>VLOOKUP($B131,Sheet1!$A:$G,7,FALSE)</f>
        <v>Ilmu Komputer</v>
      </c>
      <c r="CD131" s="280" t="s">
        <v>862</v>
      </c>
      <c r="CE131" s="280" t="s">
        <v>903</v>
      </c>
    </row>
    <row r="132" spans="1:83" ht="19.5" customHeight="1">
      <c r="A132" s="281">
        <v>109</v>
      </c>
      <c r="B132" s="281" t="s">
        <v>568</v>
      </c>
      <c r="C132" s="281" t="s">
        <v>20</v>
      </c>
      <c r="D132" s="281" t="s">
        <v>524</v>
      </c>
      <c r="E132" s="281">
        <v>22970009</v>
      </c>
      <c r="F132" s="281" t="s">
        <v>1278</v>
      </c>
      <c r="G132" s="282" t="s">
        <v>569</v>
      </c>
      <c r="H132" s="291" t="s">
        <v>845</v>
      </c>
      <c r="I132" s="281" t="s">
        <v>30</v>
      </c>
      <c r="J132" s="281" t="s">
        <v>47</v>
      </c>
      <c r="K132" s="281" t="s">
        <v>917</v>
      </c>
      <c r="L132" s="281" t="s">
        <v>918</v>
      </c>
      <c r="M132" s="283" t="str">
        <f>IF(L132="NJAD","AA",IF(L132="AA","L",IF(L132="L","LK","GB")))</f>
        <v>AA</v>
      </c>
      <c r="N132" s="282" t="s">
        <v>511</v>
      </c>
      <c r="O132" s="281">
        <v>0</v>
      </c>
      <c r="P132" s="281" t="s">
        <v>30</v>
      </c>
      <c r="Q132" s="284">
        <v>45170</v>
      </c>
      <c r="R132" s="281" t="str">
        <f ca="1">DATEDIF(Q132,TODAY(), "Y") &amp; " Tahun " &amp; DATEDIF(Q132, TODAY(), "YM") &amp; " Bulan"</f>
        <v>2 Tahun 4 Bulan</v>
      </c>
      <c r="S132" s="281" t="s">
        <v>511</v>
      </c>
      <c r="T132" s="285" t="s">
        <v>511</v>
      </c>
      <c r="U132" s="281" t="e">
        <f ca="1">DATEDIF(T132,TODAY(), "Y") &amp; " Tahun " &amp; DATEDIF(T132, TODAY(), "YM") &amp; " Bulan"</f>
        <v>#VALUE!</v>
      </c>
      <c r="V132" s="281" t="s">
        <v>1279</v>
      </c>
      <c r="W132" s="281" t="s">
        <v>851</v>
      </c>
      <c r="X132" s="283" t="str">
        <f ca="1">IF(AND(OR(L132="AA",L132="L"),OR(S132="Penata Muda Tk. I Golongan III/b",S132="Penata Golongan III/c"),DATEDIF(Q132,TODAY(),"m")&gt;=23,ISBLANK(Z132),C132="Aktif"),"Nominasi Serdos","-")</f>
        <v>-</v>
      </c>
      <c r="Y132" s="281"/>
      <c r="Z132" s="282"/>
      <c r="AA132" s="295"/>
      <c r="AB132" s="281" t="s">
        <v>30</v>
      </c>
      <c r="AC132" s="282" t="s">
        <v>511</v>
      </c>
      <c r="AD132" s="281" t="s">
        <v>30</v>
      </c>
      <c r="AE132" s="281" t="s">
        <v>30</v>
      </c>
      <c r="AF132" s="281" t="s">
        <v>30</v>
      </c>
      <c r="AG132" s="281" t="s">
        <v>30</v>
      </c>
      <c r="AH132" s="281" t="s">
        <v>854</v>
      </c>
      <c r="AI132" s="281" t="s">
        <v>30</v>
      </c>
      <c r="AJ132" s="281" t="s">
        <v>30</v>
      </c>
      <c r="AK132" s="281" t="s">
        <v>30</v>
      </c>
      <c r="AM132" s="286">
        <v>45170</v>
      </c>
      <c r="AN132" s="287" t="str">
        <f ca="1">DATEDIF(AM132,TODAY(),"y")&amp;" tahun "&amp;DATEDIF(AM132,TODAY(),"ym")&amp;" bulan "</f>
        <v xml:space="preserve">2 tahun 4 bulan </v>
      </c>
      <c r="AO132" s="281" t="s">
        <v>858</v>
      </c>
      <c r="AP132" s="281" t="s">
        <v>900</v>
      </c>
      <c r="AQ132" s="281" t="s">
        <v>1280</v>
      </c>
      <c r="AR132" s="281" t="s">
        <v>570</v>
      </c>
      <c r="AS132" s="281">
        <v>82217002454</v>
      </c>
      <c r="AT132" s="281" t="s">
        <v>571</v>
      </c>
      <c r="AU132" s="281" t="s">
        <v>30</v>
      </c>
      <c r="AV132" s="281"/>
      <c r="AW132" s="281" t="str">
        <f>VLOOKUP(B132,Sheet2!A110:I227,9,FALSE)</f>
        <v>Mastuty Ayu Ningtyas, S.Kom., M.MT.</v>
      </c>
      <c r="AX132" s="281" t="s">
        <v>902</v>
      </c>
      <c r="AY132" s="281" t="str">
        <f>VLOOKUP(B132,Sheet2!A110:C227,2,FALSE)</f>
        <v>Nganjuk</v>
      </c>
      <c r="AZ132" s="288">
        <f>VLOOKUP(B132,Sheet2!A110:C227,3,FALSE)</f>
        <v>35592</v>
      </c>
      <c r="BA132" s="281">
        <f ca="1">DATEDIF(AZ132, TODAY(),"y")</f>
        <v>28</v>
      </c>
      <c r="BB132" s="281"/>
      <c r="BC132" s="281"/>
      <c r="BD132" s="281"/>
      <c r="BE132" s="281"/>
      <c r="BF132" s="289"/>
      <c r="BG132" s="289"/>
      <c r="BH132" s="289"/>
      <c r="BI132" s="289"/>
      <c r="BJ132" s="289"/>
      <c r="BK132" s="289"/>
      <c r="BL132" s="288" t="str">
        <f>VLOOKUP(B132,Sheet2!A110:D227,4,FALSE)</f>
        <v>Kepala Urusan</v>
      </c>
      <c r="BM132" s="281"/>
      <c r="BN132" s="281"/>
      <c r="BO132" s="281"/>
      <c r="BP132" s="281"/>
      <c r="BQ132" s="281"/>
      <c r="BR132" s="288" t="str">
        <f>VLOOKUP(B132,Sheet2!A110:E227,5,FALSE)</f>
        <v>Software Engineering and Algorithm (SEAL)</v>
      </c>
      <c r="BS132" s="288" t="str">
        <f>VLOOKUP(B132,Sheet2!A110:F227,6,FALSE)</f>
        <v>MUN</v>
      </c>
      <c r="BT132" s="288" t="str">
        <f>VLOOKUP(B132,Sheet2!A110:G227,7,FALSE)</f>
        <v>Fakultas Informatika</v>
      </c>
      <c r="BU132" s="288" t="str">
        <f>VLOOKUP(B132,Sheet2!A110:H227,8,FALSE)</f>
        <v>mastutyayu@telkomuniversity.ac.id</v>
      </c>
      <c r="BV132" s="280">
        <f>COUNTIFS('Join TPA Dosen'!B:B,'Dosen sorted'!B110)</f>
        <v>1</v>
      </c>
      <c r="BW132" s="273" t="str">
        <f>DATEDIF(AM132,DATE(2026,1,1),"y")&amp;" tahun "&amp;DATEDIF(AM132,DATE(2026,1,1),"ym")&amp;" bulan "</f>
        <v xml:space="preserve">2 tahun 4 bulan </v>
      </c>
      <c r="BX132" s="280" t="str">
        <f>VLOOKUP($B132,Sheet1!$A:$G,2,FALSE)</f>
        <v>UISI</v>
      </c>
      <c r="BY132" s="280" t="str">
        <f>VLOOKUP($B132,Sheet1!$A:$G,3,FALSE)</f>
        <v>Sistem Informasi</v>
      </c>
      <c r="BZ132" s="280" t="str">
        <f>VLOOKUP($B132,Sheet1!$A:$G,4,FALSE)</f>
        <v>ITS</v>
      </c>
      <c r="CA132" s="280" t="str">
        <f>VLOOKUP($B132,Sheet1!$A:$G,5,FALSE)</f>
        <v>Manajemen Teknologi</v>
      </c>
      <c r="CB132" s="280">
        <f>VLOOKUP($B132,Sheet1!$A:$G,6,FALSE)</f>
        <v>0</v>
      </c>
      <c r="CC132" s="280">
        <f>VLOOKUP($B132,Sheet1!$A:$G,7,FALSE)</f>
        <v>0</v>
      </c>
      <c r="CD132" s="280" t="s">
        <v>862</v>
      </c>
      <c r="CE132" s="280" t="s">
        <v>903</v>
      </c>
    </row>
    <row r="133" spans="1:83" ht="19.5">
      <c r="A133" s="281">
        <v>68</v>
      </c>
      <c r="B133" s="281" t="s">
        <v>552</v>
      </c>
      <c r="C133" s="281" t="s">
        <v>20</v>
      </c>
      <c r="D133" s="281" t="s">
        <v>524</v>
      </c>
      <c r="E133" s="281">
        <v>22970007</v>
      </c>
      <c r="F133" s="281" t="s">
        <v>1087</v>
      </c>
      <c r="G133" s="282" t="s">
        <v>553</v>
      </c>
      <c r="H133" s="291" t="s">
        <v>884</v>
      </c>
      <c r="I133" s="281" t="s">
        <v>30</v>
      </c>
      <c r="J133" s="281" t="s">
        <v>554</v>
      </c>
      <c r="K133" s="281" t="s">
        <v>846</v>
      </c>
      <c r="L133" s="281" t="s">
        <v>847</v>
      </c>
      <c r="M133" s="283" t="str">
        <f>IF(L133="NJAD","AA",IF(L133="AA","L",IF(L133="L","LK","GB")))</f>
        <v>L</v>
      </c>
      <c r="N133" s="281" t="s">
        <v>511</v>
      </c>
      <c r="O133" s="281">
        <v>150</v>
      </c>
      <c r="P133" s="281" t="s">
        <v>30</v>
      </c>
      <c r="Q133" s="284">
        <v>45444</v>
      </c>
      <c r="R133" s="281" t="str">
        <f ca="1">DATEDIF(Q133,TODAY(), "Y") &amp; " Tahun " &amp; DATEDIF(Q133, TODAY(), "YM") &amp; " Bulan"</f>
        <v>1 Tahun 7 Bulan</v>
      </c>
      <c r="S133" s="281" t="s">
        <v>849</v>
      </c>
      <c r="T133" s="284">
        <v>45717</v>
      </c>
      <c r="U133" s="281" t="str">
        <f ca="1">DATEDIF(T133,TODAY(), "Y") &amp; " Tahun " &amp; DATEDIF(T133, TODAY(), "YM") &amp; " Bulan"</f>
        <v>0 Tahun 10 Bulan</v>
      </c>
      <c r="V133" s="281" t="s">
        <v>1088</v>
      </c>
      <c r="W133" s="281" t="s">
        <v>851</v>
      </c>
      <c r="X133" s="283" t="str">
        <f ca="1">IF(AND(OR(L133="AA",L133="L"),OR(S133="Penata Muda Tk. I Golongan III/b",S133="Penata Golongan III/c"),DATEDIF(Q133,TODAY(),"m")&gt;=23,ISBLANK(Z133),C133="Aktif"),"Nominasi Serdos","-")</f>
        <v>-</v>
      </c>
      <c r="Y133" s="281"/>
      <c r="Z133" s="282"/>
      <c r="AA133" s="281"/>
      <c r="AB133" s="281" t="s">
        <v>30</v>
      </c>
      <c r="AC133" s="282" t="s">
        <v>511</v>
      </c>
      <c r="AD133" s="281" t="s">
        <v>30</v>
      </c>
      <c r="AE133" s="281" t="s">
        <v>30</v>
      </c>
      <c r="AF133" s="281" t="s">
        <v>30</v>
      </c>
      <c r="AG133" s="281" t="s">
        <v>30</v>
      </c>
      <c r="AH133" s="281" t="s">
        <v>854</v>
      </c>
      <c r="AI133" s="281" t="s">
        <v>30</v>
      </c>
      <c r="AJ133" s="281" t="s">
        <v>30</v>
      </c>
      <c r="AK133" s="281" t="s">
        <v>30</v>
      </c>
      <c r="AM133" s="286">
        <v>44627</v>
      </c>
      <c r="AN133" s="287" t="str">
        <f ca="1">DATEDIF(AM133,TODAY(),"y")&amp;" tahun "&amp;DATEDIF(AM133,TODAY(),"ym")&amp;" bulan "</f>
        <v xml:space="preserve">3 tahun 10 bulan </v>
      </c>
      <c r="AO133" s="281" t="s">
        <v>858</v>
      </c>
      <c r="AP133" s="281" t="s">
        <v>900</v>
      </c>
      <c r="AQ133" s="281" t="s">
        <v>1089</v>
      </c>
      <c r="AR133" s="281" t="s">
        <v>555</v>
      </c>
      <c r="AS133" s="281">
        <v>81230089797</v>
      </c>
      <c r="AT133" s="281" t="s">
        <v>556</v>
      </c>
      <c r="AU133" s="281" t="s">
        <v>30</v>
      </c>
      <c r="AV133" s="281"/>
      <c r="AW133" s="281" t="str">
        <f>VLOOKUP(B133,Sheet2!A69:I186,9,FALSE)</f>
        <v>Muhammad Adib Kamali, S.T., M.Eng.</v>
      </c>
      <c r="AX133" s="281" t="s">
        <v>861</v>
      </c>
      <c r="AY133" s="281" t="str">
        <f>VLOOKUP(B133,Sheet2!A69:C186,2,FALSE)</f>
        <v>Jember</v>
      </c>
      <c r="AZ133" s="288">
        <f>VLOOKUP(B133,Sheet2!A69:C186,3,FALSE)</f>
        <v>35474</v>
      </c>
      <c r="BA133" s="281">
        <f ca="1">DATEDIF(AZ133, TODAY(),"y")</f>
        <v>28</v>
      </c>
      <c r="BB133" s="281"/>
      <c r="BC133" s="281"/>
      <c r="BD133" s="281"/>
      <c r="BE133" s="281"/>
      <c r="BF133" s="289"/>
      <c r="BG133" s="289"/>
      <c r="BH133" s="289"/>
      <c r="BI133" s="289"/>
      <c r="BJ133" s="289"/>
      <c r="BK133" s="289"/>
      <c r="BL133" s="288" t="s">
        <v>1000</v>
      </c>
      <c r="BM133" s="281"/>
      <c r="BN133" s="286"/>
      <c r="BO133" s="281"/>
      <c r="BP133" s="281"/>
      <c r="BQ133" s="281"/>
      <c r="BR133" s="288" t="str">
        <f>VLOOKUP(B133,Sheet2!A69:E186,5,FALSE)</f>
        <v>Data Science and Intelligent Systems (DSIS)</v>
      </c>
      <c r="BS133" s="288" t="str">
        <f>VLOOKUP(B133,Sheet2!A69:F186,6,FALSE)</f>
        <v>MDB</v>
      </c>
      <c r="BT133" s="288" t="str">
        <f>VLOOKUP(B133,Sheet2!A69:G186,7,FALSE)</f>
        <v>Fakultas Informatika</v>
      </c>
      <c r="BU133" s="288" t="str">
        <f>VLOOKUP(B133,Sheet2!A69:H186,8,FALSE)</f>
        <v>adibmkamali@telkomuniversity.ac.id</v>
      </c>
      <c r="BV133" s="280">
        <f>COUNTIFS('Join TPA Dosen'!B:B,'Dosen sorted'!B69)</f>
        <v>1</v>
      </c>
      <c r="BW133" s="273" t="str">
        <f>DATEDIF(AM133,DATE(2026,1,1),"y")&amp;" tahun "&amp;DATEDIF(AM133,DATE(2026,1,1),"ym")&amp;" bulan "</f>
        <v xml:space="preserve">3 tahun 9 bulan </v>
      </c>
      <c r="BX133" s="280" t="str">
        <f>VLOOKUP($B133,Sheet1!$A:$G,2,FALSE)</f>
        <v>Tel-U</v>
      </c>
      <c r="BY133" s="280" t="str">
        <f>VLOOKUP($B133,Sheet1!$A:$G,3,FALSE)</f>
        <v>Teknik Telekomunikasi</v>
      </c>
      <c r="BZ133" s="280" t="str">
        <f>VLOOKUP($B133,Sheet1!$A:$G,4,FALSE)</f>
        <v>Kumoh National Institute of Tech</v>
      </c>
      <c r="CA133" s="280" t="str">
        <f>VLOOKUP($B133,Sheet1!$A:$G,5,FALSE)</f>
        <v>Electronic Engineering</v>
      </c>
      <c r="CB133" s="280" t="str">
        <f>VLOOKUP($B133,Sheet1!$A:$G,6,FALSE)</f>
        <v>-</v>
      </c>
      <c r="CC133" s="280">
        <f>VLOOKUP($B133,Sheet1!$A:$G,7,FALSE)</f>
        <v>0</v>
      </c>
      <c r="CD133" s="280" t="s">
        <v>862</v>
      </c>
      <c r="CE133" s="280" t="s">
        <v>903</v>
      </c>
    </row>
    <row r="134" spans="1:83" ht="19.5">
      <c r="A134" s="281">
        <v>86</v>
      </c>
      <c r="B134" s="281" t="s">
        <v>560</v>
      </c>
      <c r="C134" s="281" t="s">
        <v>20</v>
      </c>
      <c r="D134" s="281" t="s">
        <v>524</v>
      </c>
      <c r="E134" s="281">
        <v>22820015</v>
      </c>
      <c r="F134" s="281" t="s">
        <v>1158</v>
      </c>
      <c r="G134" s="282" t="s">
        <v>561</v>
      </c>
      <c r="H134" s="291" t="s">
        <v>884</v>
      </c>
      <c r="I134" s="281" t="s">
        <v>30</v>
      </c>
      <c r="J134" s="281" t="s">
        <v>57</v>
      </c>
      <c r="K134" s="281" t="s">
        <v>846</v>
      </c>
      <c r="L134" s="281" t="s">
        <v>847</v>
      </c>
      <c r="M134" s="283" t="str">
        <f>IF(L134="NJAD","AA",IF(L134="AA","L",IF(L134="L","LK","GB")))</f>
        <v>L</v>
      </c>
      <c r="N134" s="282" t="s">
        <v>511</v>
      </c>
      <c r="O134" s="281">
        <v>150</v>
      </c>
      <c r="P134" s="281" t="s">
        <v>1159</v>
      </c>
      <c r="Q134" s="284">
        <v>45444</v>
      </c>
      <c r="R134" s="281" t="str">
        <f ca="1">DATEDIF(Q134,TODAY(), "Y") &amp; " Tahun " &amp; DATEDIF(Q134, TODAY(), "YM") &amp; " Bulan"</f>
        <v>1 Tahun 7 Bulan</v>
      </c>
      <c r="S134" s="281" t="s">
        <v>849</v>
      </c>
      <c r="T134" s="285">
        <v>45717</v>
      </c>
      <c r="U134" s="281" t="str">
        <f ca="1">DATEDIF(T134,TODAY(), "Y") &amp; " Tahun " &amp; DATEDIF(T134, TODAY(), "YM") &amp; " Bulan"</f>
        <v>0 Tahun 10 Bulan</v>
      </c>
      <c r="V134" s="281" t="s">
        <v>895</v>
      </c>
      <c r="W134" s="281" t="s">
        <v>851</v>
      </c>
      <c r="X134" s="283" t="str">
        <f ca="1">IF(AND(OR(L134="AA",L134="L"),OR(S134="Penata Muda Tk. I Golongan III/b",S134="Penata Golongan III/c"),DATEDIF(Q134,TODAY(),"m")&gt;=23,ISBLANK(Z134),C134="Aktif"),"Nominasi Serdos","-")</f>
        <v>-</v>
      </c>
      <c r="Y134" s="281"/>
      <c r="Z134" s="282"/>
      <c r="AA134" s="295"/>
      <c r="AB134" s="281" t="s">
        <v>30</v>
      </c>
      <c r="AC134" s="282" t="s">
        <v>511</v>
      </c>
      <c r="AD134" s="281" t="s">
        <v>30</v>
      </c>
      <c r="AE134" s="281" t="s">
        <v>30</v>
      </c>
      <c r="AF134" s="281" t="s">
        <v>30</v>
      </c>
      <c r="AG134" s="281" t="s">
        <v>30</v>
      </c>
      <c r="AH134" s="281" t="s">
        <v>854</v>
      </c>
      <c r="AI134" s="293" t="s">
        <v>855</v>
      </c>
      <c r="AJ134" s="293" t="s">
        <v>897</v>
      </c>
      <c r="AK134" s="281" t="s">
        <v>898</v>
      </c>
      <c r="AL134" s="293" t="s">
        <v>899</v>
      </c>
      <c r="AM134" s="286">
        <v>44832</v>
      </c>
      <c r="AN134" s="287" t="str">
        <f ca="1">DATEDIF(AM134,TODAY(),"y")&amp;" tahun "&amp;DATEDIF(AM134,TODAY(),"ym")&amp;" bulan "</f>
        <v xml:space="preserve">3 tahun 3 bulan </v>
      </c>
      <c r="AO134" s="281" t="s">
        <v>858</v>
      </c>
      <c r="AP134" s="281" t="s">
        <v>900</v>
      </c>
      <c r="AQ134" s="281" t="s">
        <v>1160</v>
      </c>
      <c r="AR134" s="281" t="s">
        <v>562</v>
      </c>
      <c r="AS134" s="281">
        <v>81553010001</v>
      </c>
      <c r="AT134" s="281" t="s">
        <v>563</v>
      </c>
      <c r="AU134" s="281" t="s">
        <v>30</v>
      </c>
      <c r="AV134" s="281"/>
      <c r="AW134" s="281" t="str">
        <f>VLOOKUP(B134,Sheet2!A87:I204,9,FALSE)</f>
        <v>Mustafa Kamal, S.Kom., M.Kom.</v>
      </c>
      <c r="AX134" s="281" t="s">
        <v>861</v>
      </c>
      <c r="AY134" s="281" t="str">
        <f>VLOOKUP(B134,Sheet2!A87:C204,2,FALSE)</f>
        <v>Banyuwangi</v>
      </c>
      <c r="AZ134" s="288">
        <f>VLOOKUP(B134,Sheet2!A87:C204,3,FALSE)</f>
        <v>30246</v>
      </c>
      <c r="BA134" s="281">
        <f ca="1">DATEDIF(AZ134, TODAY(),"y")</f>
        <v>43</v>
      </c>
      <c r="BB134" s="281"/>
      <c r="BC134" s="281"/>
      <c r="BD134" s="281"/>
      <c r="BE134" s="281"/>
      <c r="BF134" s="289"/>
      <c r="BG134" s="289"/>
      <c r="BH134" s="289"/>
      <c r="BI134" s="289"/>
      <c r="BJ134" s="289"/>
      <c r="BK134" s="289"/>
      <c r="BL134" s="288" t="str">
        <f>VLOOKUP(B134,Sheet2!A87:D204,4,FALSE)</f>
        <v>Dosen</v>
      </c>
      <c r="BM134" s="281"/>
      <c r="BN134" s="281"/>
      <c r="BO134" s="281"/>
      <c r="BP134" s="281"/>
      <c r="BQ134" s="281"/>
      <c r="BR134" s="288" t="str">
        <f>VLOOKUP(B134,Sheet2!A87:E204,5,FALSE)</f>
        <v>Data Science and Intelligent Systems (DSIS)</v>
      </c>
      <c r="BS134" s="288" t="str">
        <f>VLOOKUP(B134,Sheet2!A87:F204,6,FALSE)</f>
        <v>MFL</v>
      </c>
      <c r="BT134" s="288" t="str">
        <f>VLOOKUP(B134,Sheet2!A87:G204,7,FALSE)</f>
        <v>Fakultas Informatika</v>
      </c>
      <c r="BU134" s="288" t="str">
        <f>VLOOKUP(B134,Sheet2!A87:H204,8,FALSE)</f>
        <v>mustafakamal@telkomuniversity.ac.id</v>
      </c>
      <c r="BV134" s="280">
        <f>COUNTIFS('Join TPA Dosen'!B:B,'Dosen sorted'!B87)</f>
        <v>1</v>
      </c>
      <c r="BW134" s="273" t="str">
        <f>DATEDIF(AM134,DATE(2026,1,1),"y")&amp;" tahun "&amp;DATEDIF(AM134,DATE(2026,1,1),"ym")&amp;" bulan "</f>
        <v xml:space="preserve">3 tahun 3 bulan </v>
      </c>
      <c r="BX134" s="280" t="str">
        <f>VLOOKUP($B134,Sheet1!$A:$G,2,FALSE)</f>
        <v>ITS</v>
      </c>
      <c r="BY134" s="280" t="str">
        <f>VLOOKUP($B134,Sheet1!$A:$G,3,FALSE)</f>
        <v>Teknik Informatika</v>
      </c>
      <c r="BZ134" s="280" t="str">
        <f>VLOOKUP($B134,Sheet1!$A:$G,4,FALSE)</f>
        <v>ITS</v>
      </c>
      <c r="CA134" s="280" t="str">
        <f>VLOOKUP($B134,Sheet1!$A:$G,5,FALSE)</f>
        <v>Sistem Informasi</v>
      </c>
      <c r="CB134" s="280" t="str">
        <f>VLOOKUP($B134,Sheet1!$A:$G,6,FALSE)</f>
        <v>ITS</v>
      </c>
      <c r="CC134" s="280" t="str">
        <f>VLOOKUP($B134,Sheet1!$A:$G,7,FALSE)</f>
        <v>Ilmu Komputer</v>
      </c>
      <c r="CD134" s="280" t="s">
        <v>871</v>
      </c>
      <c r="CE134" s="280" t="s">
        <v>863</v>
      </c>
    </row>
    <row r="135" spans="1:83" ht="19.5">
      <c r="A135" s="281">
        <v>25</v>
      </c>
      <c r="B135" s="281" t="s">
        <v>548</v>
      </c>
      <c r="C135" s="281" t="s">
        <v>20</v>
      </c>
      <c r="D135" s="281" t="s">
        <v>524</v>
      </c>
      <c r="E135" s="281">
        <v>19900006</v>
      </c>
      <c r="F135" s="281" t="s">
        <v>1360</v>
      </c>
      <c r="G135" s="282" t="s">
        <v>549</v>
      </c>
      <c r="H135" s="281" t="s">
        <v>845</v>
      </c>
      <c r="I135" s="281" t="s">
        <v>30</v>
      </c>
      <c r="J135" s="281" t="s">
        <v>176</v>
      </c>
      <c r="K135" s="281" t="s">
        <v>846</v>
      </c>
      <c r="L135" s="281" t="s">
        <v>847</v>
      </c>
      <c r="M135" s="283" t="str">
        <f>IF(L135="NJAD","AA",IF(L135="AA","L",IF(L135="L","LK","GB")))</f>
        <v>L</v>
      </c>
      <c r="N135" s="282" t="s">
        <v>511</v>
      </c>
      <c r="O135" s="281">
        <v>150</v>
      </c>
      <c r="P135" s="281" t="s">
        <v>1361</v>
      </c>
      <c r="Q135" s="284">
        <v>44116</v>
      </c>
      <c r="R135" s="281" t="str">
        <f ca="1">DATEDIF(Q135,TODAY(), "Y") &amp; " Tahun " &amp; DATEDIF(Q135, TODAY(), "YM") &amp; " Bulan"</f>
        <v>5 Tahun 3 Bulan</v>
      </c>
      <c r="S135" s="281" t="s">
        <v>849</v>
      </c>
      <c r="T135" s="285">
        <v>44256</v>
      </c>
      <c r="U135" s="281" t="str">
        <f ca="1">DATEDIF(T135,TODAY(), "Y") &amp; " Tahun " &amp; DATEDIF(T135, TODAY(), "YM") &amp; " Bulan"</f>
        <v>4 Tahun 10 Bulan</v>
      </c>
      <c r="V135" s="281" t="s">
        <v>1362</v>
      </c>
      <c r="W135" s="281" t="s">
        <v>851</v>
      </c>
      <c r="X135" s="283" t="str">
        <f ca="1">IF(AND(OR(L135="AA",L135="L"),OR(S135="Penata Muda Tk. I Golongan III/b",S135="Penata Golongan III/c"),DATEDIF(Q135,TODAY(),"m")&gt;=23,ISBLANK(Z135),C135="Aktif"),"Nominasi Serdos","-")</f>
        <v>-</v>
      </c>
      <c r="Y135" s="281"/>
      <c r="Z135" s="281" t="s">
        <v>852</v>
      </c>
      <c r="AA135" s="281">
        <v>23107201902963</v>
      </c>
      <c r="AB135" s="281" t="s">
        <v>1363</v>
      </c>
      <c r="AC135" s="285">
        <v>45085</v>
      </c>
      <c r="AD135" s="281" t="s">
        <v>30</v>
      </c>
      <c r="AE135" s="281" t="s">
        <v>30</v>
      </c>
      <c r="AF135" s="281" t="s">
        <v>30</v>
      </c>
      <c r="AG135" s="281" t="s">
        <v>30</v>
      </c>
      <c r="AH135" s="281" t="s">
        <v>854</v>
      </c>
      <c r="AI135" s="281" t="s">
        <v>855</v>
      </c>
      <c r="AJ135" s="281" t="s">
        <v>856</v>
      </c>
      <c r="AK135" s="281" t="s">
        <v>855</v>
      </c>
      <c r="AL135" s="281" t="s">
        <v>857</v>
      </c>
      <c r="AM135" s="286">
        <v>43101</v>
      </c>
      <c r="AN135" s="287" t="str">
        <f ca="1">DATEDIF(AM135,TODAY(),"y")&amp;" tahun "&amp;DATEDIF(AM135,TODAY(),"ym")&amp;" bulan "</f>
        <v xml:space="preserve">8 tahun 0 bulan </v>
      </c>
      <c r="AO135" s="281" t="s">
        <v>858</v>
      </c>
      <c r="AP135" s="281" t="s">
        <v>900</v>
      </c>
      <c r="AQ135" s="281" t="s">
        <v>1364</v>
      </c>
      <c r="AR135" s="281" t="s">
        <v>550</v>
      </c>
      <c r="AS135" s="281">
        <v>85218885269</v>
      </c>
      <c r="AT135" s="281" t="s">
        <v>551</v>
      </c>
      <c r="AU135" s="281" t="s">
        <v>30</v>
      </c>
      <c r="AV135" s="281"/>
      <c r="AW135" s="281" t="str">
        <f>VLOOKUP(B135,Sheet2!A26:I143,9,FALSE)</f>
        <v>Oktavia Ayu Permata, S.T., M.T.</v>
      </c>
      <c r="AX135" s="281" t="s">
        <v>902</v>
      </c>
      <c r="AY135" s="281" t="str">
        <f>VLOOKUP(B135,Sheet2!A26:C143,2,FALSE)</f>
        <v>Kediri</v>
      </c>
      <c r="AZ135" s="288">
        <f>VLOOKUP(B135,Sheet2!A26:C143,3,FALSE)</f>
        <v>33151</v>
      </c>
      <c r="BA135" s="281">
        <f ca="1">DATEDIF(AZ135, TODAY(),"y")</f>
        <v>35</v>
      </c>
      <c r="BB135" s="281"/>
      <c r="BC135" s="281"/>
      <c r="BD135" s="281"/>
      <c r="BE135" s="281"/>
      <c r="BF135" s="289"/>
      <c r="BG135" s="289"/>
      <c r="BH135" s="289"/>
      <c r="BI135" s="289"/>
      <c r="BJ135" s="289"/>
      <c r="BK135" s="289"/>
      <c r="BL135" s="288" t="str">
        <f>VLOOKUP(B135,Sheet2!A26:D143,4,FALSE)</f>
        <v>Dosen</v>
      </c>
      <c r="BM135" s="281"/>
      <c r="BN135" s="281"/>
      <c r="BO135" s="281"/>
      <c r="BP135" s="281"/>
      <c r="BQ135" s="281"/>
      <c r="BR135" s="288" t="str">
        <f>VLOOKUP(B135,Sheet2!A26:E143,5,FALSE)</f>
        <v>Communication and Information Technology Infrastructure (CITI)</v>
      </c>
      <c r="BS135" s="288" t="str">
        <f>VLOOKUP(B135,Sheet2!A26:F143,6,FALSE)</f>
        <v>OAP</v>
      </c>
      <c r="BT135" s="288" t="str">
        <f>VLOOKUP(B135,Sheet2!A26:G143,7,FALSE)</f>
        <v>Fakultas Informatika</v>
      </c>
      <c r="BU135" s="288" t="str">
        <f>VLOOKUP(B135,Sheet2!A26:H143,8,FALSE)</f>
        <v>oktapermata@telkomuniversity.ac.id</v>
      </c>
      <c r="BV135" s="280">
        <f>COUNTIFS('Join TPA Dosen'!B:B,'Dosen sorted'!B39)</f>
        <v>1</v>
      </c>
      <c r="BW135" s="273" t="str">
        <f>DATEDIF(AM135,DATE(2026,1,1),"y")&amp;" tahun "&amp;DATEDIF(AM135,DATE(2026,1,1),"ym")&amp;" bulan "</f>
        <v xml:space="preserve">8 tahun 0 bulan </v>
      </c>
      <c r="BX135" s="280" t="str">
        <f>VLOOKUP($B135,Sheet1!$A:$G,2,FALSE)</f>
        <v>ITS</v>
      </c>
      <c r="BY135" s="280" t="str">
        <f>VLOOKUP($B135,Sheet1!$A:$G,3,FALSE)</f>
        <v>Teknik Elektro - Telekomunikasi Multimedia</v>
      </c>
      <c r="BZ135" s="280" t="str">
        <f>VLOOKUP($B135,Sheet1!$A:$G,4,FALSE)</f>
        <v>ITS</v>
      </c>
      <c r="CA135" s="280" t="str">
        <f>VLOOKUP($B135,Sheet1!$A:$G,5,FALSE)</f>
        <v>Teknik Elektro</v>
      </c>
      <c r="CB135" s="280" t="str">
        <f>VLOOKUP($B135,Sheet1!$A:$G,6,FALSE)</f>
        <v>UGM</v>
      </c>
      <c r="CC135" s="280" t="str">
        <f>VLOOKUP($B135,Sheet1!$A:$G,7,FALSE)</f>
        <v>Ilmu Komputer</v>
      </c>
      <c r="CD135" s="280" t="s">
        <v>862</v>
      </c>
      <c r="CE135" s="280" t="s">
        <v>903</v>
      </c>
    </row>
    <row r="136" spans="1:83" ht="19.5">
      <c r="A136" s="281">
        <v>12</v>
      </c>
      <c r="B136" s="281" t="s">
        <v>528</v>
      </c>
      <c r="C136" s="281" t="s">
        <v>20</v>
      </c>
      <c r="D136" s="281" t="s">
        <v>524</v>
      </c>
      <c r="E136" s="281">
        <v>19940002</v>
      </c>
      <c r="F136" s="281" t="s">
        <v>920</v>
      </c>
      <c r="G136" s="282" t="s">
        <v>529</v>
      </c>
      <c r="H136" s="281" t="s">
        <v>845</v>
      </c>
      <c r="I136" s="281" t="s">
        <v>30</v>
      </c>
      <c r="J136" s="281" t="s">
        <v>530</v>
      </c>
      <c r="K136" s="281" t="s">
        <v>874</v>
      </c>
      <c r="L136" s="281" t="s">
        <v>775</v>
      </c>
      <c r="M136" s="283" t="str">
        <f>IF(L136="NJAD","AA",IF(L136="AA","L",IF(L136="L","LK","GB")))</f>
        <v>LK</v>
      </c>
      <c r="N136" s="282" t="s">
        <v>511</v>
      </c>
      <c r="O136" s="281">
        <v>200</v>
      </c>
      <c r="P136" s="281" t="s">
        <v>30</v>
      </c>
      <c r="Q136" s="284">
        <v>45597</v>
      </c>
      <c r="R136" s="281" t="str">
        <f ca="1">DATEDIF(Q136,TODAY(), "Y") &amp; " Tahun " &amp; DATEDIF(Q136, TODAY(), "YM") &amp; " Bulan"</f>
        <v>1 Tahun 2 Bulan</v>
      </c>
      <c r="S136" s="281" t="s">
        <v>876</v>
      </c>
      <c r="T136" s="285">
        <v>45717</v>
      </c>
      <c r="U136" s="281" t="str">
        <f ca="1">DATEDIF(T136,TODAY(), "Y") &amp; " Tahun " &amp; DATEDIF(T136, TODAY(), "YM") &amp; " Bulan"</f>
        <v>0 Tahun 10 Bulan</v>
      </c>
      <c r="V136" s="281" t="s">
        <v>895</v>
      </c>
      <c r="W136" s="281" t="s">
        <v>851</v>
      </c>
      <c r="X136" s="283" t="str">
        <f ca="1">IF(AND(OR(L136="AA",L136="L"),OR(S136="Penata Muda Tk. I Golongan III/b",S136="Penata Golongan III/c"),DATEDIF(Q136,TODAY(),"m")&gt;=23,ISBLANK(Z136),C136="Aktif"),"Nominasi Serdos","-")</f>
        <v>-</v>
      </c>
      <c r="Y136" s="281"/>
      <c r="Z136" s="282"/>
      <c r="AA136" s="281"/>
      <c r="AB136" s="281" t="s">
        <v>30</v>
      </c>
      <c r="AC136" s="282" t="s">
        <v>511</v>
      </c>
      <c r="AD136" s="281" t="s">
        <v>30</v>
      </c>
      <c r="AE136" s="281" t="s">
        <v>30</v>
      </c>
      <c r="AF136" s="281" t="s">
        <v>30</v>
      </c>
      <c r="AG136" s="281" t="s">
        <v>30</v>
      </c>
      <c r="AH136" s="281" t="s">
        <v>879</v>
      </c>
      <c r="AI136" s="281" t="s">
        <v>30</v>
      </c>
      <c r="AJ136" s="281" t="s">
        <v>30</v>
      </c>
      <c r="AK136" s="281" t="s">
        <v>30</v>
      </c>
      <c r="AM136" s="286">
        <v>43101</v>
      </c>
      <c r="AN136" s="287" t="str">
        <f ca="1">DATEDIF(AM136,TODAY(),"y")&amp;" tahun "&amp;DATEDIF(AM136,TODAY(),"ym")&amp;" bulan "</f>
        <v xml:space="preserve">8 tahun 0 bulan </v>
      </c>
      <c r="AO136" s="281" t="s">
        <v>858</v>
      </c>
      <c r="AP136" s="281" t="s">
        <v>900</v>
      </c>
      <c r="AQ136" s="281" t="s">
        <v>921</v>
      </c>
      <c r="AR136" s="281" t="s">
        <v>531</v>
      </c>
      <c r="AS136" s="281">
        <v>81219685567</v>
      </c>
      <c r="AT136" s="281" t="s">
        <v>532</v>
      </c>
      <c r="AU136" s="281" t="s">
        <v>30</v>
      </c>
      <c r="AV136" s="281"/>
      <c r="AW136" s="281" t="str">
        <f>VLOOKUP(B136,Sheet2!A13:I130,9,FALSE)</f>
        <v>Philip Tobianto Daely, S.T., M.Eng., Ph.D.</v>
      </c>
      <c r="AX136" s="281" t="s">
        <v>861</v>
      </c>
      <c r="AY136" s="281" t="str">
        <f>VLOOKUP(B136,Sheet2!A13:C130,2,FALSE)</f>
        <v>Medan</v>
      </c>
      <c r="AZ136" s="288">
        <f>VLOOKUP(B136,Sheet2!A13:C130,3,FALSE)</f>
        <v>34513</v>
      </c>
      <c r="BA136" s="281">
        <f ca="1">DATEDIF(AZ136, TODAY(),"y")</f>
        <v>31</v>
      </c>
      <c r="BB136" s="281"/>
      <c r="BC136" s="281"/>
      <c r="BD136" s="281"/>
      <c r="BE136" s="281"/>
      <c r="BF136" s="289"/>
      <c r="BG136" s="289"/>
      <c r="BH136" s="289"/>
      <c r="BI136" s="289"/>
      <c r="BJ136" s="289"/>
      <c r="BK136" s="289"/>
      <c r="BL136" s="288" t="s">
        <v>922</v>
      </c>
      <c r="BM136" s="281"/>
      <c r="BN136" s="281"/>
      <c r="BO136" s="281"/>
      <c r="BP136" s="281"/>
      <c r="BQ136" s="281"/>
      <c r="BR136" s="288" t="str">
        <f>VLOOKUP(B136,Sheet2!A13:E130,5,FALSE)</f>
        <v>Communication and Information Technology Infrastructure (CITI)</v>
      </c>
      <c r="BS136" s="288" t="str">
        <f>VLOOKUP(B136,Sheet2!A13:F130,6,FALSE)</f>
        <v>PHI</v>
      </c>
      <c r="BT136" s="288" t="str">
        <f>VLOOKUP(B136,Sheet2!A13:G130,7,FALSE)</f>
        <v>Fakultas Informatika</v>
      </c>
      <c r="BU136" s="288" t="str">
        <f>VLOOKUP(B136,Sheet2!A13:H130,8,FALSE)</f>
        <v>ptdaely@telkomuniversity.ac.id</v>
      </c>
      <c r="BV136" s="280">
        <f>COUNTIFS('Join TPA Dosen'!B:B,'Dosen sorted'!B13)</f>
        <v>1</v>
      </c>
      <c r="BW136" s="273" t="str">
        <f>DATEDIF(AM136,DATE(2026,1,1),"y")&amp;" tahun "&amp;DATEDIF(AM136,DATE(2026,1,1),"ym")&amp;" bulan "</f>
        <v xml:space="preserve">8 tahun 0 bulan </v>
      </c>
      <c r="BX136" s="280" t="str">
        <f>VLOOKUP($B136,Sheet1!$A:$G,2,FALSE)</f>
        <v>Tel-U</v>
      </c>
      <c r="BY136" s="280" t="str">
        <f>VLOOKUP($B136,Sheet1!$A:$G,3,FALSE)</f>
        <v>Teknik Elektro</v>
      </c>
      <c r="BZ136" s="280" t="str">
        <f>VLOOKUP($B136,Sheet1!$A:$G,4,FALSE)</f>
        <v>Kumoh National Institute of Technology</v>
      </c>
      <c r="CA136" s="280" t="str">
        <f>VLOOKUP($B136,Sheet1!$A:$G,5,FALSE)</f>
        <v>IT Convergence Engineering</v>
      </c>
      <c r="CB136" s="280" t="str">
        <f>VLOOKUP($B136,Sheet1!$A:$G,6,FALSE)</f>
        <v>Kumoh National Institute of Technology</v>
      </c>
      <c r="CC136" s="280" t="str">
        <f>VLOOKUP($B136,Sheet1!$A:$G,7,FALSE)</f>
        <v>IT Convergence Engineering</v>
      </c>
      <c r="CD136" s="280" t="s">
        <v>862</v>
      </c>
      <c r="CE136" s="280" t="s">
        <v>903</v>
      </c>
    </row>
    <row r="137" spans="1:83" ht="19.5">
      <c r="A137" s="281">
        <v>131</v>
      </c>
      <c r="B137" s="281" t="s">
        <v>1365</v>
      </c>
      <c r="C137" s="281" t="s">
        <v>20</v>
      </c>
      <c r="D137" s="281" t="s">
        <v>524</v>
      </c>
      <c r="E137" s="281">
        <v>25970019</v>
      </c>
      <c r="F137" s="281"/>
      <c r="G137" s="282" t="s">
        <v>1366</v>
      </c>
      <c r="H137" s="291" t="s">
        <v>884</v>
      </c>
      <c r="I137" s="281"/>
      <c r="J137" s="281" t="s">
        <v>1367</v>
      </c>
      <c r="K137" s="281" t="s">
        <v>846</v>
      </c>
      <c r="L137" s="281" t="s">
        <v>847</v>
      </c>
      <c r="M137" s="283" t="str">
        <f>IF(L137="NJAD","AA",IF(L137="AA","L",IF(L137="L","LK","GB")))</f>
        <v>L</v>
      </c>
      <c r="N137" s="282" t="s">
        <v>511</v>
      </c>
      <c r="O137" s="281">
        <v>0</v>
      </c>
      <c r="P137" s="281"/>
      <c r="Q137" s="284">
        <v>45901</v>
      </c>
      <c r="R137" s="281" t="str">
        <f ca="1">DATEDIF(Q137,TODAY(), "Y") &amp; " Tahun " &amp; DATEDIF(Q137, TODAY(), "YM") &amp; " Bulan"</f>
        <v>0 Tahun 4 Bulan</v>
      </c>
      <c r="S137" s="281" t="s">
        <v>511</v>
      </c>
      <c r="T137" s="282" t="s">
        <v>511</v>
      </c>
      <c r="U137" s="281" t="e">
        <f ca="1">DATEDIF(T137,TODAY(), "Y") &amp; " Tahun " &amp; DATEDIF(T137, TODAY(), "YM") &amp; " Bulan"</f>
        <v>#VALUE!</v>
      </c>
      <c r="V137" s="281" t="s">
        <v>895</v>
      </c>
      <c r="W137" s="281" t="s">
        <v>851</v>
      </c>
      <c r="X137" s="283" t="str">
        <f ca="1">IF(AND(OR(L137="AA",L137="L"),OR(S137="Penata Muda Tk. I Golongan III/b",S137="Penata Golongan III/c"),DATEDIF(Q137,TODAY(),"m")&gt;=23,ISBLANK(Z137),C137="Aktif"),"Nominasi Serdos","-")</f>
        <v>-</v>
      </c>
      <c r="Y137" s="281"/>
      <c r="Z137" s="282"/>
      <c r="AA137" s="295"/>
      <c r="AB137" s="281"/>
      <c r="AC137" s="282"/>
      <c r="AD137" s="281"/>
      <c r="AE137" s="281"/>
      <c r="AF137" s="281"/>
      <c r="AG137" s="281"/>
      <c r="AH137" s="281" t="s">
        <v>854</v>
      </c>
      <c r="AI137" s="281"/>
      <c r="AJ137" s="281"/>
      <c r="AK137" s="281"/>
      <c r="AM137" s="286">
        <v>45901</v>
      </c>
      <c r="AN137" s="287" t="str">
        <f ca="1">DATEDIF(AM137,TODAY(),"y")&amp;" tahun "&amp;DATEDIF(AM137,TODAY(),"ym")&amp;" bulan "</f>
        <v xml:space="preserve">0 tahun 4 bulan </v>
      </c>
      <c r="AO137" s="281"/>
      <c r="AP137" s="281"/>
      <c r="AQ137" s="281" t="s">
        <v>1368</v>
      </c>
      <c r="AR137" s="281"/>
      <c r="AS137" s="281">
        <v>82230310223</v>
      </c>
      <c r="AT137" s="281" t="s">
        <v>1369</v>
      </c>
      <c r="AU137" s="281"/>
      <c r="AV137" s="281"/>
      <c r="AW137" s="281" t="str">
        <f>VLOOKUP(B137,Sheet2!A116:I233,9,FALSE)</f>
        <v>Qori Afiata Fiddina, S.Mat., M.Mat.</v>
      </c>
      <c r="AX137" s="281" t="s">
        <v>902</v>
      </c>
      <c r="AY137" s="281" t="str">
        <f>VLOOKUP(B137,Sheet2!A116:C233,2,FALSE)</f>
        <v>Kediri</v>
      </c>
      <c r="AZ137" s="288">
        <f>VLOOKUP(B137,Sheet2!A116:C233,3,FALSE)</f>
        <v>35641</v>
      </c>
      <c r="BA137" s="281">
        <f ca="1">DATEDIF(AZ137, TODAY(),"y")</f>
        <v>28</v>
      </c>
      <c r="BB137" s="281"/>
      <c r="BC137" s="281"/>
      <c r="BD137" s="281"/>
      <c r="BE137" s="281"/>
      <c r="BF137" s="289"/>
      <c r="BG137" s="289"/>
      <c r="BH137" s="289"/>
      <c r="BI137" s="289"/>
      <c r="BJ137" s="289"/>
      <c r="BK137" s="289"/>
      <c r="BL137" s="288" t="s">
        <v>21</v>
      </c>
      <c r="BM137" s="281"/>
      <c r="BN137" s="281"/>
      <c r="BO137" s="281"/>
      <c r="BP137" s="281"/>
      <c r="BQ137" s="281"/>
      <c r="BR137" s="288"/>
      <c r="BS137" s="281" t="s">
        <v>1368</v>
      </c>
      <c r="BT137" s="288" t="str">
        <f>VLOOKUP(B137,Sheet2!A111:G228,7,FALSE)</f>
        <v>Fakultas Informatika</v>
      </c>
      <c r="BU137" s="288" t="str">
        <f>VLOOKUP(B137,Sheet2!A46:H163,8,FALSE)</f>
        <v>qoriafiatafiddina@telkomuniversity.ac.id</v>
      </c>
      <c r="BV137" s="280">
        <f>COUNTIFS('Join TPA Dosen'!B:B,'Dosen sorted'!B111)</f>
        <v>1</v>
      </c>
      <c r="BW137" s="273" t="str">
        <f>DATEDIF(AM137,DATE(2026,1,1),"y")&amp;" tahun "&amp;DATEDIF(AM137,DATE(2026,1,1),"ym")&amp;" bulan "</f>
        <v xml:space="preserve">0 tahun 4 bulan </v>
      </c>
    </row>
    <row r="138" spans="1:83" ht="15" customHeight="1">
      <c r="A138" s="281">
        <v>87</v>
      </c>
      <c r="B138" s="281" t="s">
        <v>564</v>
      </c>
      <c r="C138" s="281" t="s">
        <v>20</v>
      </c>
      <c r="D138" s="281" t="s">
        <v>524</v>
      </c>
      <c r="E138" s="281">
        <v>22950049</v>
      </c>
      <c r="F138" s="281" t="s">
        <v>1161</v>
      </c>
      <c r="G138" s="282" t="s">
        <v>565</v>
      </c>
      <c r="H138" s="291" t="s">
        <v>884</v>
      </c>
      <c r="I138" s="281" t="s">
        <v>30</v>
      </c>
      <c r="J138" s="281" t="s">
        <v>309</v>
      </c>
      <c r="K138" s="281" t="s">
        <v>846</v>
      </c>
      <c r="L138" s="281" t="s">
        <v>847</v>
      </c>
      <c r="M138" s="283" t="str">
        <f>IF(L138="NJAD","AA",IF(L138="AA","L",IF(L138="L","LK","GB")))</f>
        <v>L</v>
      </c>
      <c r="N138" s="282" t="s">
        <v>511</v>
      </c>
      <c r="O138" s="281">
        <v>150</v>
      </c>
      <c r="P138" s="281" t="s">
        <v>1162</v>
      </c>
      <c r="Q138" s="284">
        <v>45444</v>
      </c>
      <c r="R138" s="281" t="str">
        <f ca="1">DATEDIF(Q138,TODAY(), "Y") &amp; " Tahun " &amp; DATEDIF(Q138, TODAY(), "YM") &amp; " Bulan"</f>
        <v>1 Tahun 7 Bulan</v>
      </c>
      <c r="S138" s="281" t="s">
        <v>849</v>
      </c>
      <c r="T138" s="285">
        <v>45717</v>
      </c>
      <c r="U138" s="281" t="str">
        <f ca="1">DATEDIF(T138,TODAY(), "Y") &amp; " Tahun " &amp; DATEDIF(T138, TODAY(), "YM") &amp; " Bulan"</f>
        <v>0 Tahun 10 Bulan</v>
      </c>
      <c r="V138" s="281" t="s">
        <v>895</v>
      </c>
      <c r="W138" s="281" t="s">
        <v>851</v>
      </c>
      <c r="X138" s="283" t="str">
        <f ca="1">IF(AND(OR(L138="AA",L138="L"),OR(S138="Penata Muda Tk. I Golongan III/b",S138="Penata Golongan III/c"),DATEDIF(Q138,TODAY(),"m")&gt;=23,ISBLANK(Z138),C138="Aktif"),"Nominasi Serdos","-")</f>
        <v>-</v>
      </c>
      <c r="Y138" s="281"/>
      <c r="Z138" s="282"/>
      <c r="AA138" s="295"/>
      <c r="AB138" s="281" t="s">
        <v>30</v>
      </c>
      <c r="AC138" s="282" t="s">
        <v>511</v>
      </c>
      <c r="AD138" s="281" t="s">
        <v>30</v>
      </c>
      <c r="AE138" s="281" t="s">
        <v>30</v>
      </c>
      <c r="AF138" s="281" t="s">
        <v>30</v>
      </c>
      <c r="AG138" s="281" t="s">
        <v>30</v>
      </c>
      <c r="AH138" s="281" t="s">
        <v>854</v>
      </c>
      <c r="AI138" s="281" t="s">
        <v>30</v>
      </c>
      <c r="AJ138" s="281" t="s">
        <v>30</v>
      </c>
      <c r="AK138" s="281" t="s">
        <v>30</v>
      </c>
      <c r="AM138" s="286">
        <v>44832</v>
      </c>
      <c r="AN138" s="287" t="str">
        <f ca="1">DATEDIF(AM138,TODAY(),"y")&amp;" tahun "&amp;DATEDIF(AM138,TODAY(),"ym")&amp;" bulan "</f>
        <v xml:space="preserve">3 tahun 3 bulan </v>
      </c>
      <c r="AO138" s="281" t="s">
        <v>858</v>
      </c>
      <c r="AP138" s="281" t="s">
        <v>900</v>
      </c>
      <c r="AQ138" s="281" t="s">
        <v>1163</v>
      </c>
      <c r="AR138" s="281" t="s">
        <v>566</v>
      </c>
      <c r="AS138" s="281">
        <v>82140045134</v>
      </c>
      <c r="AT138" s="281" t="s">
        <v>567</v>
      </c>
      <c r="AU138" s="281" t="s">
        <v>30</v>
      </c>
      <c r="AV138" s="281"/>
      <c r="AW138" s="281" t="str">
        <f>VLOOKUP(B138,Sheet2!A88:I205,9,FALSE)</f>
        <v>Yohanes Setiawan, S.Si., M.Kom.</v>
      </c>
      <c r="AX138" s="281" t="s">
        <v>861</v>
      </c>
      <c r="AY138" s="281" t="str">
        <f>VLOOKUP(B138,Sheet2!A88:C205,2,FALSE)</f>
        <v>Surabaya</v>
      </c>
      <c r="AZ138" s="288">
        <f>VLOOKUP(B138,Sheet2!A88:C205,3,FALSE)</f>
        <v>34855</v>
      </c>
      <c r="BA138" s="281">
        <f ca="1">DATEDIF(AZ138, TODAY(),"y")</f>
        <v>30</v>
      </c>
      <c r="BB138" s="281"/>
      <c r="BC138" s="281"/>
      <c r="BD138" s="281"/>
      <c r="BE138" s="281"/>
      <c r="BF138" s="289"/>
      <c r="BG138" s="289"/>
      <c r="BH138" s="289"/>
      <c r="BI138" s="289"/>
      <c r="BJ138" s="289"/>
      <c r="BK138" s="289"/>
      <c r="BL138" s="288" t="str">
        <f>VLOOKUP(B138,Sheet2!A88:D205,4,FALSE)</f>
        <v>Dosen</v>
      </c>
      <c r="BM138" s="281"/>
      <c r="BN138" s="281"/>
      <c r="BO138" s="281"/>
      <c r="BP138" s="281"/>
      <c r="BQ138" s="281"/>
      <c r="BR138" s="288" t="str">
        <f>VLOOKUP(B138,Sheet2!A88:E205,5,FALSE)</f>
        <v>Data Science and Intelligent Systems (DSIS)</v>
      </c>
      <c r="BS138" s="288" t="str">
        <f>VLOOKUP(B138,Sheet2!A88:F205,6,FALSE)</f>
        <v>YOH</v>
      </c>
      <c r="BT138" s="288" t="str">
        <f>VLOOKUP(B138,Sheet2!A88:G205,7,FALSE)</f>
        <v>Fakultas Informatika</v>
      </c>
      <c r="BU138" s="288" t="str">
        <f>VLOOKUP(B138,Sheet2!A88:H205,8,FALSE)</f>
        <v>yohanessetiawan@telkomuniversity.ac.id</v>
      </c>
      <c r="BV138" s="280">
        <f>COUNTIFS('Join TPA Dosen'!B:B,'Dosen sorted'!B88)</f>
        <v>1</v>
      </c>
      <c r="BW138" s="273" t="str">
        <f>DATEDIF(AM138,DATE(2026,1,1),"y")&amp;" tahun "&amp;DATEDIF(AM138,DATE(2026,1,1),"ym")&amp;" bulan "</f>
        <v xml:space="preserve">3 tahun 3 bulan </v>
      </c>
      <c r="BX138" s="280" t="str">
        <f>VLOOKUP($B138,Sheet1!$A:$G,2,FALSE)</f>
        <v>UNAIR</v>
      </c>
      <c r="BY138" s="280" t="str">
        <f>VLOOKUP($B138,Sheet1!$A:$G,3,FALSE)</f>
        <v>Matematika</v>
      </c>
      <c r="BZ138" s="280" t="str">
        <f>VLOOKUP($B138,Sheet1!$A:$G,4,FALSE)</f>
        <v>ITS</v>
      </c>
      <c r="CA138" s="280" t="str">
        <f>VLOOKUP($B138,Sheet1!$A:$G,5,FALSE)</f>
        <v>Teknik Informatika</v>
      </c>
      <c r="CB138" s="280" t="str">
        <f>VLOOKUP($B138,Sheet1!$A:$G,6,FALSE)</f>
        <v>-</v>
      </c>
      <c r="CC138" s="280">
        <f>VLOOKUP($B138,Sheet1!$A:$G,7,FALSE)</f>
        <v>0</v>
      </c>
      <c r="CD138" s="280" t="s">
        <v>862</v>
      </c>
      <c r="CE138" s="280" t="s">
        <v>903</v>
      </c>
    </row>
  </sheetData>
  <autoFilter ref="A1:CE138" xr:uid="{00000000-0001-0000-0000-000000000000}">
    <filterColumn colId="2">
      <filters>
        <filter val="Aktif"/>
      </filters>
    </filterColumn>
    <filterColumn colId="3">
      <filters>
        <filter val="Teknologi Informasi"/>
      </filters>
    </filterColumn>
    <sortState xmlns:xlrd2="http://schemas.microsoft.com/office/spreadsheetml/2017/richdata2" ref="A2:CE138">
      <sortCondition ref="D2:D138"/>
      <sortCondition ref="B2:B138"/>
    </sortState>
  </autoFilter>
  <conditionalFormatting sqref="C1:C135 C139:C1048576">
    <cfRule type="cellIs" dxfId="0" priority="1" operator="equal">
      <formula>"Non-Aktif"</formula>
    </cfRule>
  </conditionalFormatting>
  <hyperlinks>
    <hyperlink ref="BU35" r:id="rId1" xr:uid="{46B95E33-1860-4080-9BE5-DD83A8266E01}"/>
    <hyperlink ref="BU111" r:id="rId2" xr:uid="{8269A1D1-32D3-4D13-B737-D8E71897CD57}"/>
    <hyperlink ref="BU4" r:id="rId3" xr:uid="{BE8BCB26-239B-4EAC-AEA6-4DAFF8BA5804}"/>
    <hyperlink ref="BU9" r:id="rId4" xr:uid="{0047D01A-2CC6-4E66-88E0-6C32DA482AD7}"/>
    <hyperlink ref="BU53" r:id="rId5" xr:uid="{2C362930-9778-421E-A08B-BDA7FE6BA47B}"/>
    <hyperlink ref="BU19" r:id="rId6" xr:uid="{5432B60E-C882-437A-A112-F177CC1D7D37}"/>
    <hyperlink ref="BU10" r:id="rId7" xr:uid="{33762FF1-C60C-4E00-A0D0-94823EB59FEE}"/>
    <hyperlink ref="BU37" r:id="rId8" xr:uid="{1B34F86B-2CE9-4915-941E-E707BD8A010A}"/>
    <hyperlink ref="BU71" r:id="rId9" xr:uid="{12121CE5-3409-4085-BA24-592CFCE514A0}"/>
    <hyperlink ref="BU105" r:id="rId10" xr:uid="{33841037-3509-44B2-A630-3B1C2E9D722F}"/>
    <hyperlink ref="BU95" r:id="rId11" xr:uid="{0085E2A7-5661-4B11-8A41-5E7B07EF222A}"/>
    <hyperlink ref="AR95" r:id="rId12" xr:uid="{4CE69B2F-AAF7-40D8-9CEA-DDF0416365CD}"/>
    <hyperlink ref="AR105" r:id="rId13" xr:uid="{68F24AB4-9A6C-40DF-8EBC-539F0DC60016}"/>
    <hyperlink ref="AR71" r:id="rId14" xr:uid="{7EB4C791-EC3F-4423-93F7-70DB255344F3}"/>
    <hyperlink ref="AR12" r:id="rId15" xr:uid="{2C0B6C60-7908-4354-9E22-C3EBC1E62F39}"/>
    <hyperlink ref="AR37" r:id="rId16" xr:uid="{95AD6E8F-2F98-4477-ACE6-369E8E7321FE}"/>
    <hyperlink ref="AR131" r:id="rId17" xr:uid="{D7086376-3B0B-4CC2-BAE7-906D89736DDA}"/>
    <hyperlink ref="AR35" r:id="rId18" xr:uid="{3DE3C5EC-3F0E-4416-8995-C8A5C8467F3C}"/>
    <hyperlink ref="AR111" r:id="rId19" xr:uid="{A7E30064-014E-467F-AC6D-7F4C28D41015}"/>
    <hyperlink ref="AR4" r:id="rId20" xr:uid="{537A1FFC-A33E-4C8D-9650-C882C54E3F87}"/>
    <hyperlink ref="AR9" r:id="rId21" xr:uid="{1F665548-1EC9-446A-AB7E-494338194B0F}"/>
    <hyperlink ref="AR53" r:id="rId22" xr:uid="{49D51BCE-680A-4AA6-ABBA-F3297FF6D824}"/>
    <hyperlink ref="AR19" r:id="rId23" xr:uid="{239B2212-A208-4479-9BE7-CDA8F4B03C7B}"/>
    <hyperlink ref="AR10" r:id="rId24" xr:uid="{89E87368-0084-4389-AE31-3274FBC93BA2}"/>
    <hyperlink ref="AR107" r:id="rId25" xr:uid="{F0F30031-D119-4442-BD39-083D39269913}"/>
    <hyperlink ref="AR96" r:id="rId26" xr:uid="{5DF13FF9-7509-440D-AEFF-E35D6F5519AC}"/>
    <hyperlink ref="AR36" r:id="rId27" xr:uid="{F02AD514-67FF-45D6-AA94-232565B8B9E2}"/>
    <hyperlink ref="AR56" r:id="rId28" xr:uid="{341E1E53-333B-4D6F-BB21-606E67D3C779}"/>
    <hyperlink ref="AR93" r:id="rId29" xr:uid="{393337C3-6FFB-4781-AABE-4567C89E5C20}"/>
    <hyperlink ref="AR80" r:id="rId30" xr:uid="{3DA273C6-CFEA-4E7D-9E11-8E6CB1696F88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25DC-41DA-47E9-AD95-44C257CEB277}">
  <dimension ref="A1:CV36"/>
  <sheetViews>
    <sheetView workbookViewId="0">
      <pane xSplit="2" topLeftCell="CV1" activePane="topRight" state="frozen"/>
      <selection pane="topRight" activeCell="CV3" sqref="CV3"/>
    </sheetView>
  </sheetViews>
  <sheetFormatPr defaultColWidth="12.42578125" defaultRowHeight="15.75" customHeight="1"/>
  <cols>
    <col min="1" max="1" width="4.42578125" style="10" bestFit="1" customWidth="1"/>
    <col min="2" max="2" width="21.85546875" style="10" bestFit="1" customWidth="1"/>
    <col min="3" max="3" width="8.7109375" style="10" bestFit="1" customWidth="1"/>
    <col min="4" max="10" width="5.85546875" style="10" hidden="1" customWidth="1"/>
    <col min="11" max="11" width="6.28515625" style="10" hidden="1" customWidth="1"/>
    <col min="12" max="12" width="5.85546875" style="10" bestFit="1" customWidth="1"/>
    <col min="13" max="18" width="5.85546875" style="10" hidden="1" customWidth="1"/>
    <col min="19" max="20" width="5.85546875" style="10" customWidth="1"/>
    <col min="21" max="26" width="5.85546875" style="10" hidden="1" customWidth="1"/>
    <col min="27" max="27" width="5.85546875" style="10" customWidth="1"/>
    <col min="28" max="28" width="5.85546875" style="10" bestFit="1" customWidth="1"/>
    <col min="29" max="34" width="5.85546875" style="10" hidden="1" customWidth="1"/>
    <col min="35" max="35" width="5.85546875" style="10" customWidth="1"/>
    <col min="36" max="36" width="5.85546875" style="10" bestFit="1" customWidth="1"/>
    <col min="37" max="42" width="5.85546875" style="10" hidden="1" customWidth="1"/>
    <col min="43" max="43" width="5.85546875" style="10" customWidth="1"/>
    <col min="44" max="44" width="5.85546875" style="10" bestFit="1" customWidth="1"/>
    <col min="45" max="50" width="5.85546875" style="10" hidden="1" customWidth="1"/>
    <col min="51" max="51" width="5.85546875" style="10" customWidth="1"/>
    <col min="52" max="52" width="5.85546875" style="10" bestFit="1" customWidth="1"/>
    <col min="53" max="58" width="5.85546875" style="10" hidden="1" customWidth="1"/>
    <col min="59" max="59" width="5.85546875" style="10" customWidth="1"/>
    <col min="60" max="60" width="5.85546875" style="10" bestFit="1" customWidth="1"/>
    <col min="61" max="66" width="5.85546875" style="10" hidden="1" customWidth="1"/>
    <col min="67" max="67" width="5.85546875" style="10" customWidth="1"/>
    <col min="68" max="68" width="5.85546875" style="10" bestFit="1" customWidth="1"/>
    <col min="69" max="74" width="5.85546875" style="10" hidden="1" customWidth="1"/>
    <col min="75" max="75" width="5.85546875" style="10" customWidth="1"/>
    <col min="76" max="76" width="5.85546875" style="10" bestFit="1" customWidth="1"/>
    <col min="77" max="82" width="5.85546875" style="10" hidden="1" customWidth="1"/>
    <col min="83" max="83" width="5.85546875" style="10" customWidth="1"/>
    <col min="84" max="84" width="5.85546875" style="10" bestFit="1" customWidth="1"/>
    <col min="85" max="90" width="5.85546875" style="10" hidden="1" customWidth="1"/>
    <col min="91" max="91" width="5.85546875" style="10" customWidth="1"/>
    <col min="92" max="92" width="5.85546875" style="10" bestFit="1" customWidth="1"/>
    <col min="93" max="98" width="5.85546875" style="10" hidden="1" customWidth="1"/>
    <col min="99" max="99" width="5.85546875" style="10" customWidth="1"/>
    <col min="100" max="100" width="5.85546875" style="10" bestFit="1" customWidth="1"/>
    <col min="101" max="16384" width="12.42578125" style="10"/>
  </cols>
  <sheetData>
    <row r="1" spans="1:100" ht="14.1">
      <c r="A1" s="507" t="s">
        <v>2013</v>
      </c>
      <c r="B1" s="516" t="s">
        <v>759</v>
      </c>
      <c r="C1" s="17" t="s">
        <v>2022</v>
      </c>
      <c r="D1" s="515" t="s">
        <v>2876</v>
      </c>
      <c r="E1" s="515"/>
      <c r="F1" s="515"/>
      <c r="G1" s="515"/>
      <c r="H1" s="515"/>
      <c r="I1" s="515"/>
      <c r="J1" s="515"/>
      <c r="K1" s="515"/>
      <c r="L1" s="515"/>
      <c r="M1" s="512" t="s">
        <v>2015</v>
      </c>
      <c r="N1" s="513"/>
      <c r="O1" s="513"/>
      <c r="P1" s="513"/>
      <c r="Q1" s="513"/>
      <c r="R1" s="513"/>
      <c r="S1" s="513"/>
      <c r="T1" s="514"/>
      <c r="U1" s="512" t="s">
        <v>2878</v>
      </c>
      <c r="V1" s="513"/>
      <c r="W1" s="513"/>
      <c r="X1" s="513"/>
      <c r="Y1" s="513"/>
      <c r="Z1" s="513"/>
      <c r="AA1" s="513"/>
      <c r="AB1" s="514"/>
      <c r="AC1" s="512" t="s">
        <v>2879</v>
      </c>
      <c r="AD1" s="513"/>
      <c r="AE1" s="513"/>
      <c r="AF1" s="513"/>
      <c r="AG1" s="513"/>
      <c r="AH1" s="513"/>
      <c r="AI1" s="513"/>
      <c r="AJ1" s="514"/>
      <c r="AK1" s="512" t="s">
        <v>2880</v>
      </c>
      <c r="AL1" s="513"/>
      <c r="AM1" s="513"/>
      <c r="AN1" s="513"/>
      <c r="AO1" s="513"/>
      <c r="AP1" s="513"/>
      <c r="AQ1" s="513"/>
      <c r="AR1" s="514"/>
      <c r="AS1" s="512" t="s">
        <v>2881</v>
      </c>
      <c r="AT1" s="513"/>
      <c r="AU1" s="513"/>
      <c r="AV1" s="513"/>
      <c r="AW1" s="513"/>
      <c r="AX1" s="513"/>
      <c r="AY1" s="513"/>
      <c r="AZ1" s="514"/>
      <c r="BA1" s="512" t="s">
        <v>2882</v>
      </c>
      <c r="BB1" s="513"/>
      <c r="BC1" s="513"/>
      <c r="BD1" s="513"/>
      <c r="BE1" s="513"/>
      <c r="BF1" s="513"/>
      <c r="BG1" s="513"/>
      <c r="BH1" s="514"/>
      <c r="BI1" s="512" t="s">
        <v>2883</v>
      </c>
      <c r="BJ1" s="513"/>
      <c r="BK1" s="513"/>
      <c r="BL1" s="513"/>
      <c r="BM1" s="513"/>
      <c r="BN1" s="513"/>
      <c r="BO1" s="513"/>
      <c r="BP1" s="514"/>
      <c r="BQ1" s="512" t="s">
        <v>2884</v>
      </c>
      <c r="BR1" s="513"/>
      <c r="BS1" s="513"/>
      <c r="BT1" s="513"/>
      <c r="BU1" s="513"/>
      <c r="BV1" s="513"/>
      <c r="BW1" s="513"/>
      <c r="BX1" s="514"/>
      <c r="BY1" s="512" t="s">
        <v>2885</v>
      </c>
      <c r="BZ1" s="513"/>
      <c r="CA1" s="513"/>
      <c r="CB1" s="513"/>
      <c r="CC1" s="513"/>
      <c r="CD1" s="513"/>
      <c r="CE1" s="513"/>
      <c r="CF1" s="514"/>
      <c r="CG1" s="512" t="s">
        <v>2886</v>
      </c>
      <c r="CH1" s="513"/>
      <c r="CI1" s="513"/>
      <c r="CJ1" s="513"/>
      <c r="CK1" s="513"/>
      <c r="CL1" s="513"/>
      <c r="CM1" s="513"/>
      <c r="CN1" s="514"/>
      <c r="CO1" s="512" t="s">
        <v>2887</v>
      </c>
      <c r="CP1" s="513"/>
      <c r="CQ1" s="513"/>
      <c r="CR1" s="513"/>
      <c r="CS1" s="513"/>
      <c r="CT1" s="513"/>
      <c r="CU1" s="513"/>
      <c r="CV1" s="514"/>
    </row>
    <row r="2" spans="1:100" ht="14.1">
      <c r="A2" s="517"/>
      <c r="B2" s="517"/>
      <c r="C2" s="105"/>
      <c r="D2" s="317">
        <v>1819</v>
      </c>
      <c r="E2" s="317">
        <v>1920</v>
      </c>
      <c r="F2" s="317">
        <v>2021</v>
      </c>
      <c r="G2" s="317">
        <v>2122</v>
      </c>
      <c r="H2" s="317">
        <v>2223</v>
      </c>
      <c r="I2" s="317">
        <v>2324</v>
      </c>
      <c r="J2" s="317">
        <v>2425</v>
      </c>
      <c r="K2" s="317" t="s">
        <v>2024</v>
      </c>
      <c r="L2" s="17" t="s">
        <v>2018</v>
      </c>
      <c r="M2" s="317">
        <v>1920</v>
      </c>
      <c r="N2" s="317">
        <v>2021</v>
      </c>
      <c r="O2" s="317">
        <v>2122</v>
      </c>
      <c r="P2" s="317">
        <v>2223</v>
      </c>
      <c r="Q2" s="317">
        <v>2324</v>
      </c>
      <c r="R2" s="317">
        <v>2425</v>
      </c>
      <c r="S2" s="317">
        <v>2526</v>
      </c>
      <c r="T2" s="17" t="s">
        <v>2018</v>
      </c>
      <c r="U2" s="317">
        <v>2021</v>
      </c>
      <c r="V2" s="317">
        <v>2122</v>
      </c>
      <c r="W2" s="317">
        <v>2223</v>
      </c>
      <c r="X2" s="317">
        <v>2324</v>
      </c>
      <c r="Y2" s="317">
        <v>2425</v>
      </c>
      <c r="Z2" s="317">
        <v>2526</v>
      </c>
      <c r="AA2" s="317">
        <v>2627</v>
      </c>
      <c r="AB2" s="17" t="s">
        <v>2018</v>
      </c>
      <c r="AC2" s="317">
        <v>2122</v>
      </c>
      <c r="AD2" s="317">
        <v>2223</v>
      </c>
      <c r="AE2" s="317">
        <v>2324</v>
      </c>
      <c r="AF2" s="317">
        <v>2425</v>
      </c>
      <c r="AG2" s="317">
        <v>2526</v>
      </c>
      <c r="AH2" s="317">
        <v>2627</v>
      </c>
      <c r="AI2" s="317">
        <v>2728</v>
      </c>
      <c r="AJ2" s="17" t="s">
        <v>2018</v>
      </c>
      <c r="AK2" s="317">
        <v>2223</v>
      </c>
      <c r="AL2" s="317">
        <v>2324</v>
      </c>
      <c r="AM2" s="317">
        <v>2425</v>
      </c>
      <c r="AN2" s="317">
        <v>2526</v>
      </c>
      <c r="AO2" s="317">
        <v>2627</v>
      </c>
      <c r="AP2" s="317">
        <v>2728</v>
      </c>
      <c r="AQ2" s="317">
        <v>2829</v>
      </c>
      <c r="AR2" s="17" t="s">
        <v>2018</v>
      </c>
      <c r="AS2" s="317">
        <v>2324</v>
      </c>
      <c r="AT2" s="317">
        <v>2425</v>
      </c>
      <c r="AU2" s="317">
        <v>2526</v>
      </c>
      <c r="AV2" s="317">
        <v>2627</v>
      </c>
      <c r="AW2" s="317">
        <v>2728</v>
      </c>
      <c r="AX2" s="317">
        <v>2829</v>
      </c>
      <c r="AY2" s="317">
        <v>2930</v>
      </c>
      <c r="AZ2" s="17" t="s">
        <v>2018</v>
      </c>
      <c r="BA2" s="317">
        <v>2425</v>
      </c>
      <c r="BB2" s="317">
        <v>2526</v>
      </c>
      <c r="BC2" s="317">
        <v>2627</v>
      </c>
      <c r="BD2" s="317">
        <v>2728</v>
      </c>
      <c r="BE2" s="317">
        <v>2829</v>
      </c>
      <c r="BF2" s="317">
        <v>2930</v>
      </c>
      <c r="BG2" s="317">
        <v>3031</v>
      </c>
      <c r="BH2" s="17" t="s">
        <v>2018</v>
      </c>
      <c r="BI2" s="317">
        <v>2526</v>
      </c>
      <c r="BJ2" s="317">
        <v>2627</v>
      </c>
      <c r="BK2" s="317">
        <v>2728</v>
      </c>
      <c r="BL2" s="317">
        <v>2829</v>
      </c>
      <c r="BM2" s="317">
        <v>2930</v>
      </c>
      <c r="BN2" s="317">
        <v>3031</v>
      </c>
      <c r="BO2" s="317">
        <v>3132</v>
      </c>
      <c r="BP2" s="17" t="s">
        <v>2018</v>
      </c>
      <c r="BQ2" s="317">
        <v>2627</v>
      </c>
      <c r="BR2" s="317">
        <v>2728</v>
      </c>
      <c r="BS2" s="317">
        <v>2829</v>
      </c>
      <c r="BT2" s="317">
        <v>2930</v>
      </c>
      <c r="BU2" s="317">
        <v>3031</v>
      </c>
      <c r="BV2" s="317">
        <v>3132</v>
      </c>
      <c r="BW2" s="317">
        <v>3233</v>
      </c>
      <c r="BX2" s="17" t="s">
        <v>2018</v>
      </c>
      <c r="BY2" s="317">
        <v>2728</v>
      </c>
      <c r="BZ2" s="317">
        <v>2829</v>
      </c>
      <c r="CA2" s="317">
        <v>2930</v>
      </c>
      <c r="CB2" s="317">
        <v>3031</v>
      </c>
      <c r="CC2" s="317">
        <v>3132</v>
      </c>
      <c r="CD2" s="317">
        <v>3233</v>
      </c>
      <c r="CE2" s="317">
        <v>3334</v>
      </c>
      <c r="CF2" s="17" t="s">
        <v>2018</v>
      </c>
      <c r="CG2" s="317">
        <v>2829</v>
      </c>
      <c r="CH2" s="317">
        <v>2930</v>
      </c>
      <c r="CI2" s="317">
        <v>3031</v>
      </c>
      <c r="CJ2" s="317">
        <v>3132</v>
      </c>
      <c r="CK2" s="317">
        <v>3233</v>
      </c>
      <c r="CL2" s="317">
        <v>3132</v>
      </c>
      <c r="CM2" s="317">
        <v>3435</v>
      </c>
      <c r="CN2" s="17" t="s">
        <v>2018</v>
      </c>
      <c r="CO2" s="317">
        <v>2930</v>
      </c>
      <c r="CP2" s="317">
        <v>3031</v>
      </c>
      <c r="CQ2" s="317">
        <v>3132</v>
      </c>
      <c r="CR2" s="317">
        <v>3233</v>
      </c>
      <c r="CS2" s="317">
        <v>3132</v>
      </c>
      <c r="CT2" s="317">
        <v>3233</v>
      </c>
      <c r="CU2" s="317">
        <v>3536</v>
      </c>
      <c r="CV2" s="17" t="s">
        <v>2018</v>
      </c>
    </row>
    <row r="3" spans="1:100" ht="15" customHeight="1">
      <c r="A3" s="317">
        <v>1</v>
      </c>
      <c r="B3" s="106" t="s">
        <v>107</v>
      </c>
      <c r="C3" s="107">
        <v>0.2</v>
      </c>
      <c r="D3" s="317">
        <v>0</v>
      </c>
      <c r="E3" s="317">
        <v>0</v>
      </c>
      <c r="F3" s="317">
        <v>0</v>
      </c>
      <c r="G3" s="317">
        <v>93</v>
      </c>
      <c r="H3" s="317">
        <v>113</v>
      </c>
      <c r="I3" s="317">
        <v>122</v>
      </c>
      <c r="J3" s="12">
        <v>188</v>
      </c>
      <c r="K3" s="108">
        <v>0</v>
      </c>
      <c r="L3" s="111">
        <f t="shared" ref="L3:L13" si="0">SUM(D3:J3)-K3</f>
        <v>516</v>
      </c>
      <c r="M3" s="317">
        <f>ROUNDUP(E3*$C3,0)</f>
        <v>0</v>
      </c>
      <c r="N3" s="317">
        <f t="shared" ref="N3:O13" si="1">ROUNDUP(F3*$C3,0)</f>
        <v>0</v>
      </c>
      <c r="O3" s="317">
        <f t="shared" si="1"/>
        <v>19</v>
      </c>
      <c r="P3" s="317">
        <f>H3</f>
        <v>113</v>
      </c>
      <c r="Q3" s="317">
        <f t="shared" ref="Q3:R13" si="2">I3</f>
        <v>122</v>
      </c>
      <c r="R3" s="317">
        <f t="shared" si="2"/>
        <v>188</v>
      </c>
      <c r="S3" s="110">
        <v>240</v>
      </c>
      <c r="T3" s="111">
        <f>SUM(M3:S3)</f>
        <v>682</v>
      </c>
      <c r="U3" s="317">
        <f>ROUNDUP(N3*$C3,0)</f>
        <v>0</v>
      </c>
      <c r="V3" s="317">
        <f t="shared" ref="V3:W13" si="3">ROUNDUP(O3*$C3,0)</f>
        <v>4</v>
      </c>
      <c r="W3" s="317">
        <f t="shared" si="3"/>
        <v>23</v>
      </c>
      <c r="X3" s="317">
        <f>Q3</f>
        <v>122</v>
      </c>
      <c r="Y3" s="317">
        <f t="shared" ref="Y3:Z13" si="4">R3</f>
        <v>188</v>
      </c>
      <c r="Z3" s="317">
        <f t="shared" si="4"/>
        <v>240</v>
      </c>
      <c r="AA3" s="110">
        <v>280</v>
      </c>
      <c r="AB3" s="111">
        <f>SUM(U3:AA3)</f>
        <v>857</v>
      </c>
      <c r="AC3" s="317">
        <f>ROUNDUP(V3*$C3,0)</f>
        <v>1</v>
      </c>
      <c r="AD3" s="317">
        <f t="shared" ref="AD3:AD13" si="5">ROUNDUP(W3*$C3,0)</f>
        <v>5</v>
      </c>
      <c r="AE3" s="317">
        <f t="shared" ref="AE3:AE13" si="6">ROUNDUP(X3*$C3,0)</f>
        <v>25</v>
      </c>
      <c r="AF3" s="317">
        <f>Y3</f>
        <v>188</v>
      </c>
      <c r="AG3" s="317">
        <f t="shared" ref="AG3:AG13" si="7">Z3</f>
        <v>240</v>
      </c>
      <c r="AH3" s="317">
        <f t="shared" ref="AH3:AH13" si="8">AA3</f>
        <v>280</v>
      </c>
      <c r="AI3" s="110">
        <v>280</v>
      </c>
      <c r="AJ3" s="111">
        <f>SUM(AC3:AI3)</f>
        <v>1019</v>
      </c>
      <c r="AK3" s="317">
        <f>ROUNDUP(AD3*$C3,0)</f>
        <v>1</v>
      </c>
      <c r="AL3" s="317">
        <f t="shared" ref="AL3:AL13" si="9">ROUNDUP(AE3*$C3,0)</f>
        <v>5</v>
      </c>
      <c r="AM3" s="317">
        <f t="shared" ref="AM3:AM13" si="10">ROUNDUP(AF3*$C3,0)</f>
        <v>38</v>
      </c>
      <c r="AN3" s="317">
        <f>AG3</f>
        <v>240</v>
      </c>
      <c r="AO3" s="317">
        <f t="shared" ref="AO3:AO13" si="11">AH3</f>
        <v>280</v>
      </c>
      <c r="AP3" s="317">
        <f t="shared" ref="AP3:AP13" si="12">AI3</f>
        <v>280</v>
      </c>
      <c r="AQ3" s="110">
        <v>280</v>
      </c>
      <c r="AR3" s="111">
        <f>SUM(AK3:AQ3)</f>
        <v>1124</v>
      </c>
      <c r="AS3" s="317">
        <f>ROUNDUP(AL3*$C3,0)</f>
        <v>1</v>
      </c>
      <c r="AT3" s="317">
        <f t="shared" ref="AT3:AT13" si="13">ROUNDUP(AM3*$C3,0)</f>
        <v>8</v>
      </c>
      <c r="AU3" s="317">
        <f t="shared" ref="AU3:AU13" si="14">ROUNDUP(AN3*$C3,0)</f>
        <v>48</v>
      </c>
      <c r="AV3" s="317">
        <f>AO3</f>
        <v>280</v>
      </c>
      <c r="AW3" s="317">
        <f t="shared" ref="AW3:AW13" si="15">AP3</f>
        <v>280</v>
      </c>
      <c r="AX3" s="317">
        <f t="shared" ref="AX3:AX13" si="16">AQ3</f>
        <v>280</v>
      </c>
      <c r="AY3" s="110">
        <v>280</v>
      </c>
      <c r="AZ3" s="111">
        <f>SUM(AS3:AY3)</f>
        <v>1177</v>
      </c>
      <c r="BA3" s="317">
        <f>ROUNDUP(AT3*$C3,0)</f>
        <v>2</v>
      </c>
      <c r="BB3" s="317">
        <f t="shared" ref="BB3:BB13" si="17">ROUNDUP(AU3*$C3,0)</f>
        <v>10</v>
      </c>
      <c r="BC3" s="317">
        <f t="shared" ref="BC3:BC13" si="18">ROUNDUP(AV3*$C3,0)</f>
        <v>56</v>
      </c>
      <c r="BD3" s="317">
        <f>AW3</f>
        <v>280</v>
      </c>
      <c r="BE3" s="317">
        <f t="shared" ref="BE3:BE13" si="19">AX3</f>
        <v>280</v>
      </c>
      <c r="BF3" s="317">
        <f t="shared" ref="BF3:BF13" si="20">AY3</f>
        <v>280</v>
      </c>
      <c r="BG3" s="110">
        <v>280</v>
      </c>
      <c r="BH3" s="111">
        <f>SUM(BA3:BG3)</f>
        <v>1188</v>
      </c>
      <c r="BI3" s="317">
        <f>ROUNDUP(BB3*$C3,0)</f>
        <v>2</v>
      </c>
      <c r="BJ3" s="317">
        <f t="shared" ref="BJ3:BJ20" si="21">ROUNDUP(BC3*$C3,0)</f>
        <v>12</v>
      </c>
      <c r="BK3" s="317">
        <f t="shared" ref="BK3:BK20" si="22">ROUNDUP(BD3*$C3,0)</f>
        <v>56</v>
      </c>
      <c r="BL3" s="317">
        <f>BE3</f>
        <v>280</v>
      </c>
      <c r="BM3" s="317">
        <f t="shared" ref="BM3:BM20" si="23">BF3</f>
        <v>280</v>
      </c>
      <c r="BN3" s="317">
        <f t="shared" ref="BN3:BN20" si="24">BG3</f>
        <v>280</v>
      </c>
      <c r="BO3" s="110">
        <v>280</v>
      </c>
      <c r="BP3" s="111">
        <f>SUM(BI3:BO3)</f>
        <v>1190</v>
      </c>
      <c r="BQ3" s="317">
        <f>ROUNDUP(BJ3*$C3,0)</f>
        <v>3</v>
      </c>
      <c r="BR3" s="317">
        <f t="shared" ref="BR3:BR20" si="25">ROUNDUP(BK3*$C3,0)</f>
        <v>12</v>
      </c>
      <c r="BS3" s="317">
        <f t="shared" ref="BS3:BS20" si="26">ROUNDUP(BL3*$C3,0)</f>
        <v>56</v>
      </c>
      <c r="BT3" s="317">
        <f>BM3</f>
        <v>280</v>
      </c>
      <c r="BU3" s="317">
        <f t="shared" ref="BU3:BU20" si="27">BN3</f>
        <v>280</v>
      </c>
      <c r="BV3" s="317">
        <f t="shared" ref="BV3:BV20" si="28">BO3</f>
        <v>280</v>
      </c>
      <c r="BW3" s="110">
        <v>280</v>
      </c>
      <c r="BX3" s="111">
        <f>SUM(BQ3:BW3)</f>
        <v>1191</v>
      </c>
      <c r="BY3" s="317">
        <f>ROUNDUP(BR3*$C3,0)</f>
        <v>3</v>
      </c>
      <c r="BZ3" s="317">
        <f t="shared" ref="BZ3:BZ20" si="29">ROUNDUP(BS3*$C3,0)</f>
        <v>12</v>
      </c>
      <c r="CA3" s="317">
        <f t="shared" ref="CA3:CA20" si="30">ROUNDUP(BT3*$C3,0)</f>
        <v>56</v>
      </c>
      <c r="CB3" s="317">
        <f>BU3</f>
        <v>280</v>
      </c>
      <c r="CC3" s="317">
        <f t="shared" ref="CC3:CC20" si="31">BV3</f>
        <v>280</v>
      </c>
      <c r="CD3" s="317">
        <f t="shared" ref="CD3:CD20" si="32">BW3</f>
        <v>280</v>
      </c>
      <c r="CE3" s="110">
        <v>280</v>
      </c>
      <c r="CF3" s="111">
        <f>SUM(BY3:CE3)</f>
        <v>1191</v>
      </c>
      <c r="CG3" s="317">
        <f>ROUNDUP(BZ3*$C3,0)</f>
        <v>3</v>
      </c>
      <c r="CH3" s="317">
        <f t="shared" ref="CH3:CH20" si="33">ROUNDUP(CA3*$C3,0)</f>
        <v>12</v>
      </c>
      <c r="CI3" s="317">
        <f t="shared" ref="CI3:CI20" si="34">ROUNDUP(CB3*$C3,0)</f>
        <v>56</v>
      </c>
      <c r="CJ3" s="317">
        <f>CC3</f>
        <v>280</v>
      </c>
      <c r="CK3" s="317">
        <f t="shared" ref="CK3:CK20" si="35">CD3</f>
        <v>280</v>
      </c>
      <c r="CL3" s="317">
        <f t="shared" ref="CL3:CL20" si="36">CE3</f>
        <v>280</v>
      </c>
      <c r="CM3" s="110">
        <v>280</v>
      </c>
      <c r="CN3" s="111">
        <f>SUM(CG3:CM3)</f>
        <v>1191</v>
      </c>
      <c r="CO3" s="317">
        <f>ROUNDUP(CH3*$C3,0)</f>
        <v>3</v>
      </c>
      <c r="CP3" s="317">
        <f t="shared" ref="CP3:CP20" si="37">ROUNDUP(CI3*$C3,0)</f>
        <v>12</v>
      </c>
      <c r="CQ3" s="317">
        <f t="shared" ref="CQ3:CQ20" si="38">ROUNDUP(CJ3*$C3,0)</f>
        <v>56</v>
      </c>
      <c r="CR3" s="317">
        <f>CK3</f>
        <v>280</v>
      </c>
      <c r="CS3" s="317">
        <f t="shared" ref="CS3:CS20" si="39">CL3</f>
        <v>280</v>
      </c>
      <c r="CT3" s="317">
        <f t="shared" ref="CT3:CT20" si="40">CM3</f>
        <v>280</v>
      </c>
      <c r="CU3" s="110">
        <v>280</v>
      </c>
      <c r="CV3" s="111">
        <f>SUM(CO3:CU3)</f>
        <v>1191</v>
      </c>
    </row>
    <row r="4" spans="1:100" ht="15" customHeight="1">
      <c r="A4" s="317">
        <f>A3+1</f>
        <v>2</v>
      </c>
      <c r="B4" s="109" t="s">
        <v>22</v>
      </c>
      <c r="C4" s="107">
        <v>0.2</v>
      </c>
      <c r="D4" s="317">
        <v>0</v>
      </c>
      <c r="E4" s="317">
        <v>0</v>
      </c>
      <c r="F4" s="317">
        <v>0</v>
      </c>
      <c r="G4" s="317">
        <v>78</v>
      </c>
      <c r="H4" s="317">
        <v>90</v>
      </c>
      <c r="I4" s="317">
        <v>105</v>
      </c>
      <c r="J4" s="12">
        <v>187</v>
      </c>
      <c r="K4" s="108">
        <v>0</v>
      </c>
      <c r="L4" s="111">
        <f t="shared" si="0"/>
        <v>460</v>
      </c>
      <c r="M4" s="317">
        <f t="shared" ref="M4:M13" si="41">ROUNDUP(E4*$C4,0)</f>
        <v>0</v>
      </c>
      <c r="N4" s="317">
        <f t="shared" si="1"/>
        <v>0</v>
      </c>
      <c r="O4" s="317">
        <f t="shared" si="1"/>
        <v>16</v>
      </c>
      <c r="P4" s="317">
        <f t="shared" ref="P4:P13" si="42">H4</f>
        <v>90</v>
      </c>
      <c r="Q4" s="317">
        <f t="shared" si="2"/>
        <v>105</v>
      </c>
      <c r="R4" s="317">
        <f t="shared" si="2"/>
        <v>187</v>
      </c>
      <c r="S4" s="110">
        <v>200</v>
      </c>
      <c r="T4" s="111">
        <f t="shared" ref="T4:T13" si="43">SUM(M4:S4)</f>
        <v>598</v>
      </c>
      <c r="U4" s="317">
        <f t="shared" ref="U4:U13" si="44">ROUNDUP(N4*$C4,0)</f>
        <v>0</v>
      </c>
      <c r="V4" s="317">
        <f t="shared" si="3"/>
        <v>4</v>
      </c>
      <c r="W4" s="317">
        <f t="shared" si="3"/>
        <v>18</v>
      </c>
      <c r="X4" s="317">
        <f t="shared" ref="X4:X13" si="45">Q4</f>
        <v>105</v>
      </c>
      <c r="Y4" s="317">
        <f t="shared" si="4"/>
        <v>187</v>
      </c>
      <c r="Z4" s="317">
        <f t="shared" si="4"/>
        <v>200</v>
      </c>
      <c r="AA4" s="110">
        <v>240</v>
      </c>
      <c r="AB4" s="111">
        <f t="shared" ref="AB4:AB13" si="46">SUM(U4:AA4)</f>
        <v>754</v>
      </c>
      <c r="AC4" s="317">
        <f t="shared" ref="AC4:AC13" si="47">ROUNDUP(V4*$C4,0)</f>
        <v>1</v>
      </c>
      <c r="AD4" s="317">
        <f t="shared" si="5"/>
        <v>4</v>
      </c>
      <c r="AE4" s="317">
        <f t="shared" si="6"/>
        <v>21</v>
      </c>
      <c r="AF4" s="317">
        <f t="shared" ref="AF4:AF13" si="48">Y4</f>
        <v>187</v>
      </c>
      <c r="AG4" s="317">
        <f t="shared" si="7"/>
        <v>200</v>
      </c>
      <c r="AH4" s="317">
        <f t="shared" si="8"/>
        <v>240</v>
      </c>
      <c r="AI4" s="110">
        <v>240</v>
      </c>
      <c r="AJ4" s="111">
        <f t="shared" ref="AJ4:AJ13" si="49">SUM(AC4:AI4)</f>
        <v>893</v>
      </c>
      <c r="AK4" s="317">
        <f t="shared" ref="AK4:AK13" si="50">ROUNDUP(AD4*$C4,0)</f>
        <v>1</v>
      </c>
      <c r="AL4" s="317">
        <f t="shared" si="9"/>
        <v>5</v>
      </c>
      <c r="AM4" s="317">
        <f t="shared" si="10"/>
        <v>38</v>
      </c>
      <c r="AN4" s="317">
        <f t="shared" ref="AN4:AN13" si="51">AG4</f>
        <v>200</v>
      </c>
      <c r="AO4" s="317">
        <f t="shared" si="11"/>
        <v>240</v>
      </c>
      <c r="AP4" s="317">
        <f t="shared" si="12"/>
        <v>240</v>
      </c>
      <c r="AQ4" s="110">
        <v>240</v>
      </c>
      <c r="AR4" s="111">
        <f t="shared" ref="AR4:AR13" si="52">SUM(AK4:AQ4)</f>
        <v>964</v>
      </c>
      <c r="AS4" s="317">
        <f t="shared" ref="AS4:AS13" si="53">ROUNDUP(AL4*$C4,0)</f>
        <v>1</v>
      </c>
      <c r="AT4" s="317">
        <f t="shared" si="13"/>
        <v>8</v>
      </c>
      <c r="AU4" s="317">
        <f t="shared" si="14"/>
        <v>40</v>
      </c>
      <c r="AV4" s="317">
        <f t="shared" ref="AV4:AV13" si="54">AO4</f>
        <v>240</v>
      </c>
      <c r="AW4" s="317">
        <f t="shared" si="15"/>
        <v>240</v>
      </c>
      <c r="AX4" s="317">
        <f t="shared" si="16"/>
        <v>240</v>
      </c>
      <c r="AY4" s="110">
        <v>240</v>
      </c>
      <c r="AZ4" s="111">
        <f t="shared" ref="AZ4:AZ13" si="55">SUM(AS4:AY4)</f>
        <v>1009</v>
      </c>
      <c r="BA4" s="317">
        <f t="shared" ref="BA4:BA13" si="56">ROUNDUP(AT4*$C4,0)</f>
        <v>2</v>
      </c>
      <c r="BB4" s="317">
        <f t="shared" si="17"/>
        <v>8</v>
      </c>
      <c r="BC4" s="317">
        <f t="shared" si="18"/>
        <v>48</v>
      </c>
      <c r="BD4" s="317">
        <f t="shared" ref="BD4:BD13" si="57">AW4</f>
        <v>240</v>
      </c>
      <c r="BE4" s="317">
        <f t="shared" si="19"/>
        <v>240</v>
      </c>
      <c r="BF4" s="317">
        <f t="shared" si="20"/>
        <v>240</v>
      </c>
      <c r="BG4" s="110">
        <v>240</v>
      </c>
      <c r="BH4" s="111">
        <f t="shared" ref="BH4:BH13" si="58">SUM(BA4:BG4)</f>
        <v>1018</v>
      </c>
      <c r="BI4" s="317">
        <f t="shared" ref="BI4:BI20" si="59">ROUNDUP(BB4*$C4,0)</f>
        <v>2</v>
      </c>
      <c r="BJ4" s="317">
        <f t="shared" si="21"/>
        <v>10</v>
      </c>
      <c r="BK4" s="317">
        <f t="shared" si="22"/>
        <v>48</v>
      </c>
      <c r="BL4" s="317">
        <f t="shared" ref="BL4:BL20" si="60">BE4</f>
        <v>240</v>
      </c>
      <c r="BM4" s="317">
        <f t="shared" si="23"/>
        <v>240</v>
      </c>
      <c r="BN4" s="317">
        <f t="shared" si="24"/>
        <v>240</v>
      </c>
      <c r="BO4" s="110">
        <v>240</v>
      </c>
      <c r="BP4" s="111">
        <f t="shared" ref="BP4:BP20" si="61">SUM(BI4:BO4)</f>
        <v>1020</v>
      </c>
      <c r="BQ4" s="317">
        <f t="shared" ref="BQ4:BQ20" si="62">ROUNDUP(BJ4*$C4,0)</f>
        <v>2</v>
      </c>
      <c r="BR4" s="317">
        <f t="shared" si="25"/>
        <v>10</v>
      </c>
      <c r="BS4" s="317">
        <f t="shared" si="26"/>
        <v>48</v>
      </c>
      <c r="BT4" s="317">
        <f t="shared" ref="BT4:BT20" si="63">BM4</f>
        <v>240</v>
      </c>
      <c r="BU4" s="317">
        <f t="shared" si="27"/>
        <v>240</v>
      </c>
      <c r="BV4" s="317">
        <f t="shared" si="28"/>
        <v>240</v>
      </c>
      <c r="BW4" s="110">
        <v>240</v>
      </c>
      <c r="BX4" s="111">
        <f t="shared" ref="BX4:BX20" si="64">SUM(BQ4:BW4)</f>
        <v>1020</v>
      </c>
      <c r="BY4" s="317">
        <f t="shared" ref="BY4:BY20" si="65">ROUNDUP(BR4*$C4,0)</f>
        <v>2</v>
      </c>
      <c r="BZ4" s="317">
        <f t="shared" si="29"/>
        <v>10</v>
      </c>
      <c r="CA4" s="317">
        <f t="shared" si="30"/>
        <v>48</v>
      </c>
      <c r="CB4" s="317">
        <f t="shared" ref="CB4:CB20" si="66">BU4</f>
        <v>240</v>
      </c>
      <c r="CC4" s="317">
        <f t="shared" si="31"/>
        <v>240</v>
      </c>
      <c r="CD4" s="317">
        <f t="shared" si="32"/>
        <v>240</v>
      </c>
      <c r="CE4" s="110">
        <v>240</v>
      </c>
      <c r="CF4" s="111">
        <f t="shared" ref="CF4:CF20" si="67">SUM(BY4:CE4)</f>
        <v>1020</v>
      </c>
      <c r="CG4" s="317">
        <f t="shared" ref="CG4:CG20" si="68">ROUNDUP(BZ4*$C4,0)</f>
        <v>2</v>
      </c>
      <c r="CH4" s="317">
        <f t="shared" si="33"/>
        <v>10</v>
      </c>
      <c r="CI4" s="317">
        <f t="shared" si="34"/>
        <v>48</v>
      </c>
      <c r="CJ4" s="317">
        <f t="shared" ref="CJ4:CJ20" si="69">CC4</f>
        <v>240</v>
      </c>
      <c r="CK4" s="317">
        <f t="shared" si="35"/>
        <v>240</v>
      </c>
      <c r="CL4" s="317">
        <f t="shared" si="36"/>
        <v>240</v>
      </c>
      <c r="CM4" s="110">
        <v>240</v>
      </c>
      <c r="CN4" s="111">
        <f t="shared" ref="CN4:CN20" si="70">SUM(CG4:CM4)</f>
        <v>1020</v>
      </c>
      <c r="CO4" s="317">
        <f t="shared" ref="CO4:CO20" si="71">ROUNDUP(CH4*$C4,0)</f>
        <v>2</v>
      </c>
      <c r="CP4" s="317">
        <f t="shared" si="37"/>
        <v>10</v>
      </c>
      <c r="CQ4" s="317">
        <f t="shared" si="38"/>
        <v>48</v>
      </c>
      <c r="CR4" s="317">
        <f t="shared" ref="CR4:CR20" si="72">CK4</f>
        <v>240</v>
      </c>
      <c r="CS4" s="317">
        <f t="shared" si="39"/>
        <v>240</v>
      </c>
      <c r="CT4" s="317">
        <f t="shared" si="40"/>
        <v>240</v>
      </c>
      <c r="CU4" s="110">
        <v>240</v>
      </c>
      <c r="CV4" s="111">
        <f t="shared" ref="CV4:CV20" si="73">SUM(CO4:CU4)</f>
        <v>1020</v>
      </c>
    </row>
    <row r="5" spans="1:100" ht="15" customHeight="1">
      <c r="A5" s="317">
        <f t="shared" ref="A5:A20" si="74">A4+1</f>
        <v>3</v>
      </c>
      <c r="B5" s="106" t="s">
        <v>201</v>
      </c>
      <c r="C5" s="107">
        <v>0.2</v>
      </c>
      <c r="D5" s="317">
        <v>0</v>
      </c>
      <c r="E5" s="317">
        <v>0</v>
      </c>
      <c r="F5" s="317">
        <v>0</v>
      </c>
      <c r="G5" s="317">
        <v>21</v>
      </c>
      <c r="H5" s="317">
        <v>42</v>
      </c>
      <c r="I5" s="317">
        <v>70</v>
      </c>
      <c r="J5" s="12">
        <v>87</v>
      </c>
      <c r="K5" s="108">
        <v>0</v>
      </c>
      <c r="L5" s="111">
        <f t="shared" si="0"/>
        <v>220</v>
      </c>
      <c r="M5" s="317">
        <f t="shared" si="41"/>
        <v>0</v>
      </c>
      <c r="N5" s="317">
        <f t="shared" si="1"/>
        <v>0</v>
      </c>
      <c r="O5" s="317">
        <f t="shared" si="1"/>
        <v>5</v>
      </c>
      <c r="P5" s="317">
        <f t="shared" si="42"/>
        <v>42</v>
      </c>
      <c r="Q5" s="317">
        <f t="shared" si="2"/>
        <v>70</v>
      </c>
      <c r="R5" s="317">
        <f t="shared" si="2"/>
        <v>87</v>
      </c>
      <c r="S5" s="110">
        <v>120</v>
      </c>
      <c r="T5" s="111">
        <f t="shared" si="43"/>
        <v>324</v>
      </c>
      <c r="U5" s="317">
        <f t="shared" si="44"/>
        <v>0</v>
      </c>
      <c r="V5" s="317">
        <f t="shared" si="3"/>
        <v>1</v>
      </c>
      <c r="W5" s="317">
        <f t="shared" si="3"/>
        <v>9</v>
      </c>
      <c r="X5" s="317">
        <f t="shared" si="45"/>
        <v>70</v>
      </c>
      <c r="Y5" s="317">
        <f t="shared" si="4"/>
        <v>87</v>
      </c>
      <c r="Z5" s="317">
        <f t="shared" si="4"/>
        <v>120</v>
      </c>
      <c r="AA5" s="110">
        <v>160</v>
      </c>
      <c r="AB5" s="111">
        <f t="shared" si="46"/>
        <v>447</v>
      </c>
      <c r="AC5" s="317">
        <f t="shared" si="47"/>
        <v>1</v>
      </c>
      <c r="AD5" s="317">
        <f t="shared" si="5"/>
        <v>2</v>
      </c>
      <c r="AE5" s="317">
        <f t="shared" si="6"/>
        <v>14</v>
      </c>
      <c r="AF5" s="317">
        <f t="shared" si="48"/>
        <v>87</v>
      </c>
      <c r="AG5" s="317">
        <f t="shared" si="7"/>
        <v>120</v>
      </c>
      <c r="AH5" s="317">
        <f t="shared" si="8"/>
        <v>160</v>
      </c>
      <c r="AI5" s="110">
        <v>160</v>
      </c>
      <c r="AJ5" s="111">
        <f t="shared" si="49"/>
        <v>544</v>
      </c>
      <c r="AK5" s="317">
        <f t="shared" si="50"/>
        <v>1</v>
      </c>
      <c r="AL5" s="317">
        <f t="shared" si="9"/>
        <v>3</v>
      </c>
      <c r="AM5" s="317">
        <f t="shared" si="10"/>
        <v>18</v>
      </c>
      <c r="AN5" s="317">
        <f t="shared" si="51"/>
        <v>120</v>
      </c>
      <c r="AO5" s="317">
        <f t="shared" si="11"/>
        <v>160</v>
      </c>
      <c r="AP5" s="317">
        <f t="shared" si="12"/>
        <v>160</v>
      </c>
      <c r="AQ5" s="110">
        <v>160</v>
      </c>
      <c r="AR5" s="111">
        <f t="shared" si="52"/>
        <v>622</v>
      </c>
      <c r="AS5" s="317">
        <f t="shared" si="53"/>
        <v>1</v>
      </c>
      <c r="AT5" s="317">
        <f t="shared" si="13"/>
        <v>4</v>
      </c>
      <c r="AU5" s="317">
        <f t="shared" si="14"/>
        <v>24</v>
      </c>
      <c r="AV5" s="317">
        <f t="shared" si="54"/>
        <v>160</v>
      </c>
      <c r="AW5" s="317">
        <f t="shared" si="15"/>
        <v>160</v>
      </c>
      <c r="AX5" s="317">
        <f t="shared" si="16"/>
        <v>160</v>
      </c>
      <c r="AY5" s="110">
        <v>160</v>
      </c>
      <c r="AZ5" s="111">
        <f t="shared" si="55"/>
        <v>669</v>
      </c>
      <c r="BA5" s="317">
        <f t="shared" si="56"/>
        <v>1</v>
      </c>
      <c r="BB5" s="317">
        <f t="shared" si="17"/>
        <v>5</v>
      </c>
      <c r="BC5" s="317">
        <f t="shared" si="18"/>
        <v>32</v>
      </c>
      <c r="BD5" s="317">
        <f t="shared" si="57"/>
        <v>160</v>
      </c>
      <c r="BE5" s="317">
        <f t="shared" si="19"/>
        <v>160</v>
      </c>
      <c r="BF5" s="317">
        <f t="shared" si="20"/>
        <v>160</v>
      </c>
      <c r="BG5" s="110">
        <v>160</v>
      </c>
      <c r="BH5" s="111">
        <f t="shared" si="58"/>
        <v>678</v>
      </c>
      <c r="BI5" s="317">
        <f t="shared" si="59"/>
        <v>1</v>
      </c>
      <c r="BJ5" s="317">
        <f t="shared" si="21"/>
        <v>7</v>
      </c>
      <c r="BK5" s="317">
        <f t="shared" si="22"/>
        <v>32</v>
      </c>
      <c r="BL5" s="317">
        <f t="shared" si="60"/>
        <v>160</v>
      </c>
      <c r="BM5" s="317">
        <f t="shared" si="23"/>
        <v>160</v>
      </c>
      <c r="BN5" s="317">
        <f t="shared" si="24"/>
        <v>160</v>
      </c>
      <c r="BO5" s="110">
        <v>160</v>
      </c>
      <c r="BP5" s="111">
        <f t="shared" si="61"/>
        <v>680</v>
      </c>
      <c r="BQ5" s="317">
        <f t="shared" si="62"/>
        <v>2</v>
      </c>
      <c r="BR5" s="317">
        <f t="shared" si="25"/>
        <v>7</v>
      </c>
      <c r="BS5" s="317">
        <f t="shared" si="26"/>
        <v>32</v>
      </c>
      <c r="BT5" s="317">
        <f t="shared" si="63"/>
        <v>160</v>
      </c>
      <c r="BU5" s="317">
        <f t="shared" si="27"/>
        <v>160</v>
      </c>
      <c r="BV5" s="317">
        <f t="shared" si="28"/>
        <v>160</v>
      </c>
      <c r="BW5" s="110">
        <v>160</v>
      </c>
      <c r="BX5" s="111">
        <f t="shared" si="64"/>
        <v>681</v>
      </c>
      <c r="BY5" s="317">
        <f t="shared" si="65"/>
        <v>2</v>
      </c>
      <c r="BZ5" s="317">
        <f t="shared" si="29"/>
        <v>7</v>
      </c>
      <c r="CA5" s="317">
        <f t="shared" si="30"/>
        <v>32</v>
      </c>
      <c r="CB5" s="317">
        <f t="shared" si="66"/>
        <v>160</v>
      </c>
      <c r="CC5" s="317">
        <f t="shared" si="31"/>
        <v>160</v>
      </c>
      <c r="CD5" s="317">
        <f t="shared" si="32"/>
        <v>160</v>
      </c>
      <c r="CE5" s="110">
        <v>160</v>
      </c>
      <c r="CF5" s="111">
        <f t="shared" si="67"/>
        <v>681</v>
      </c>
      <c r="CG5" s="317">
        <f t="shared" si="68"/>
        <v>2</v>
      </c>
      <c r="CH5" s="317">
        <f t="shared" si="33"/>
        <v>7</v>
      </c>
      <c r="CI5" s="317">
        <f t="shared" si="34"/>
        <v>32</v>
      </c>
      <c r="CJ5" s="317">
        <f t="shared" si="69"/>
        <v>160</v>
      </c>
      <c r="CK5" s="317">
        <f t="shared" si="35"/>
        <v>160</v>
      </c>
      <c r="CL5" s="317">
        <f t="shared" si="36"/>
        <v>160</v>
      </c>
      <c r="CM5" s="110">
        <v>160</v>
      </c>
      <c r="CN5" s="111">
        <f t="shared" si="70"/>
        <v>681</v>
      </c>
      <c r="CO5" s="317">
        <f t="shared" si="71"/>
        <v>2</v>
      </c>
      <c r="CP5" s="317">
        <f t="shared" si="37"/>
        <v>7</v>
      </c>
      <c r="CQ5" s="317">
        <f t="shared" si="38"/>
        <v>32</v>
      </c>
      <c r="CR5" s="317">
        <f t="shared" si="72"/>
        <v>160</v>
      </c>
      <c r="CS5" s="317">
        <f t="shared" si="39"/>
        <v>160</v>
      </c>
      <c r="CT5" s="317">
        <f t="shared" si="40"/>
        <v>160</v>
      </c>
      <c r="CU5" s="110">
        <v>160</v>
      </c>
      <c r="CV5" s="111">
        <f t="shared" si="73"/>
        <v>681</v>
      </c>
    </row>
    <row r="6" spans="1:100" ht="15" customHeight="1">
      <c r="A6" s="317">
        <f t="shared" si="74"/>
        <v>4</v>
      </c>
      <c r="B6" s="106" t="s">
        <v>448</v>
      </c>
      <c r="C6" s="107">
        <v>0.2</v>
      </c>
      <c r="D6" s="12">
        <v>0</v>
      </c>
      <c r="E6" s="12">
        <v>0</v>
      </c>
      <c r="F6" s="12">
        <v>0</v>
      </c>
      <c r="G6" s="12">
        <v>7</v>
      </c>
      <c r="H6" s="12">
        <v>18</v>
      </c>
      <c r="I6" s="12">
        <v>29</v>
      </c>
      <c r="J6" s="12">
        <v>28</v>
      </c>
      <c r="K6" s="108">
        <v>0</v>
      </c>
      <c r="L6" s="111">
        <f t="shared" si="0"/>
        <v>82</v>
      </c>
      <c r="M6" s="317">
        <f t="shared" si="41"/>
        <v>0</v>
      </c>
      <c r="N6" s="317">
        <f t="shared" si="1"/>
        <v>0</v>
      </c>
      <c r="O6" s="317">
        <f t="shared" si="1"/>
        <v>2</v>
      </c>
      <c r="P6" s="317">
        <f t="shared" si="42"/>
        <v>18</v>
      </c>
      <c r="Q6" s="317">
        <f t="shared" si="2"/>
        <v>29</v>
      </c>
      <c r="R6" s="317">
        <f t="shared" si="2"/>
        <v>28</v>
      </c>
      <c r="S6" s="110">
        <v>40</v>
      </c>
      <c r="T6" s="111">
        <f t="shared" si="43"/>
        <v>117</v>
      </c>
      <c r="U6" s="317">
        <f t="shared" si="44"/>
        <v>0</v>
      </c>
      <c r="V6" s="317">
        <f t="shared" si="3"/>
        <v>1</v>
      </c>
      <c r="W6" s="317">
        <f t="shared" si="3"/>
        <v>4</v>
      </c>
      <c r="X6" s="317">
        <f t="shared" si="45"/>
        <v>29</v>
      </c>
      <c r="Y6" s="317">
        <f t="shared" si="4"/>
        <v>28</v>
      </c>
      <c r="Z6" s="317">
        <f t="shared" si="4"/>
        <v>40</v>
      </c>
      <c r="AA6" s="110">
        <v>80</v>
      </c>
      <c r="AB6" s="111">
        <f t="shared" si="46"/>
        <v>182</v>
      </c>
      <c r="AC6" s="317">
        <f t="shared" si="47"/>
        <v>1</v>
      </c>
      <c r="AD6" s="317">
        <f t="shared" si="5"/>
        <v>1</v>
      </c>
      <c r="AE6" s="317">
        <f t="shared" si="6"/>
        <v>6</v>
      </c>
      <c r="AF6" s="317">
        <f t="shared" si="48"/>
        <v>28</v>
      </c>
      <c r="AG6" s="317">
        <f t="shared" si="7"/>
        <v>40</v>
      </c>
      <c r="AH6" s="317">
        <f t="shared" si="8"/>
        <v>80</v>
      </c>
      <c r="AI6" s="110">
        <v>80</v>
      </c>
      <c r="AJ6" s="111">
        <f t="shared" si="49"/>
        <v>236</v>
      </c>
      <c r="AK6" s="317">
        <f t="shared" si="50"/>
        <v>1</v>
      </c>
      <c r="AL6" s="317">
        <f t="shared" si="9"/>
        <v>2</v>
      </c>
      <c r="AM6" s="317">
        <f t="shared" si="10"/>
        <v>6</v>
      </c>
      <c r="AN6" s="317">
        <f t="shared" si="51"/>
        <v>40</v>
      </c>
      <c r="AO6" s="317">
        <f t="shared" si="11"/>
        <v>80</v>
      </c>
      <c r="AP6" s="317">
        <f t="shared" si="12"/>
        <v>80</v>
      </c>
      <c r="AQ6" s="110">
        <v>80</v>
      </c>
      <c r="AR6" s="111">
        <f t="shared" si="52"/>
        <v>289</v>
      </c>
      <c r="AS6" s="317">
        <f t="shared" si="53"/>
        <v>1</v>
      </c>
      <c r="AT6" s="317">
        <f t="shared" si="13"/>
        <v>2</v>
      </c>
      <c r="AU6" s="317">
        <f t="shared" si="14"/>
        <v>8</v>
      </c>
      <c r="AV6" s="317">
        <f t="shared" si="54"/>
        <v>80</v>
      </c>
      <c r="AW6" s="317">
        <f t="shared" si="15"/>
        <v>80</v>
      </c>
      <c r="AX6" s="317">
        <f t="shared" si="16"/>
        <v>80</v>
      </c>
      <c r="AY6" s="110">
        <v>80</v>
      </c>
      <c r="AZ6" s="111">
        <f t="shared" si="55"/>
        <v>331</v>
      </c>
      <c r="BA6" s="317">
        <f t="shared" si="56"/>
        <v>1</v>
      </c>
      <c r="BB6" s="317">
        <f t="shared" si="17"/>
        <v>2</v>
      </c>
      <c r="BC6" s="317">
        <f t="shared" si="18"/>
        <v>16</v>
      </c>
      <c r="BD6" s="317">
        <f t="shared" si="57"/>
        <v>80</v>
      </c>
      <c r="BE6" s="317">
        <f t="shared" si="19"/>
        <v>80</v>
      </c>
      <c r="BF6" s="317">
        <f t="shared" si="20"/>
        <v>80</v>
      </c>
      <c r="BG6" s="110">
        <v>80</v>
      </c>
      <c r="BH6" s="111">
        <f t="shared" si="58"/>
        <v>339</v>
      </c>
      <c r="BI6" s="317">
        <f t="shared" si="59"/>
        <v>1</v>
      </c>
      <c r="BJ6" s="317">
        <f t="shared" si="21"/>
        <v>4</v>
      </c>
      <c r="BK6" s="317">
        <f t="shared" si="22"/>
        <v>16</v>
      </c>
      <c r="BL6" s="317">
        <f t="shared" si="60"/>
        <v>80</v>
      </c>
      <c r="BM6" s="317">
        <f t="shared" si="23"/>
        <v>80</v>
      </c>
      <c r="BN6" s="317">
        <f t="shared" si="24"/>
        <v>80</v>
      </c>
      <c r="BO6" s="110">
        <v>80</v>
      </c>
      <c r="BP6" s="111">
        <f t="shared" si="61"/>
        <v>341</v>
      </c>
      <c r="BQ6" s="317">
        <f t="shared" si="62"/>
        <v>1</v>
      </c>
      <c r="BR6" s="317">
        <f t="shared" si="25"/>
        <v>4</v>
      </c>
      <c r="BS6" s="317">
        <f t="shared" si="26"/>
        <v>16</v>
      </c>
      <c r="BT6" s="317">
        <f t="shared" si="63"/>
        <v>80</v>
      </c>
      <c r="BU6" s="317">
        <f t="shared" si="27"/>
        <v>80</v>
      </c>
      <c r="BV6" s="317">
        <f t="shared" si="28"/>
        <v>80</v>
      </c>
      <c r="BW6" s="110">
        <v>80</v>
      </c>
      <c r="BX6" s="111">
        <f t="shared" si="64"/>
        <v>341</v>
      </c>
      <c r="BY6" s="317">
        <f t="shared" si="65"/>
        <v>1</v>
      </c>
      <c r="BZ6" s="317">
        <f t="shared" si="29"/>
        <v>4</v>
      </c>
      <c r="CA6" s="317">
        <f t="shared" si="30"/>
        <v>16</v>
      </c>
      <c r="CB6" s="317">
        <f t="shared" si="66"/>
        <v>80</v>
      </c>
      <c r="CC6" s="317">
        <f t="shared" si="31"/>
        <v>80</v>
      </c>
      <c r="CD6" s="317">
        <f t="shared" si="32"/>
        <v>80</v>
      </c>
      <c r="CE6" s="110">
        <v>80</v>
      </c>
      <c r="CF6" s="111">
        <f t="shared" si="67"/>
        <v>341</v>
      </c>
      <c r="CG6" s="317">
        <f t="shared" si="68"/>
        <v>1</v>
      </c>
      <c r="CH6" s="317">
        <f t="shared" si="33"/>
        <v>4</v>
      </c>
      <c r="CI6" s="317">
        <f t="shared" si="34"/>
        <v>16</v>
      </c>
      <c r="CJ6" s="317">
        <f t="shared" si="69"/>
        <v>80</v>
      </c>
      <c r="CK6" s="317">
        <f t="shared" si="35"/>
        <v>80</v>
      </c>
      <c r="CL6" s="317">
        <f t="shared" si="36"/>
        <v>80</v>
      </c>
      <c r="CM6" s="110">
        <v>80</v>
      </c>
      <c r="CN6" s="111">
        <f t="shared" si="70"/>
        <v>341</v>
      </c>
      <c r="CO6" s="317">
        <f t="shared" si="71"/>
        <v>1</v>
      </c>
      <c r="CP6" s="317">
        <f t="shared" si="37"/>
        <v>4</v>
      </c>
      <c r="CQ6" s="317">
        <f t="shared" si="38"/>
        <v>16</v>
      </c>
      <c r="CR6" s="317">
        <f t="shared" si="72"/>
        <v>80</v>
      </c>
      <c r="CS6" s="317">
        <f t="shared" si="39"/>
        <v>80</v>
      </c>
      <c r="CT6" s="317">
        <f t="shared" si="40"/>
        <v>80</v>
      </c>
      <c r="CU6" s="110">
        <v>80</v>
      </c>
      <c r="CV6" s="111">
        <f t="shared" si="73"/>
        <v>341</v>
      </c>
    </row>
    <row r="7" spans="1:100" ht="15" customHeight="1">
      <c r="A7" s="317">
        <f t="shared" si="74"/>
        <v>5</v>
      </c>
      <c r="B7" s="106" t="s">
        <v>413</v>
      </c>
      <c r="C7" s="107">
        <v>0.2</v>
      </c>
      <c r="D7" s="12">
        <v>0</v>
      </c>
      <c r="E7" s="12">
        <v>12</v>
      </c>
      <c r="F7" s="12">
        <v>23</v>
      </c>
      <c r="G7" s="12">
        <v>29</v>
      </c>
      <c r="H7" s="12">
        <v>34</v>
      </c>
      <c r="I7" s="12">
        <v>46</v>
      </c>
      <c r="J7" s="12">
        <v>56</v>
      </c>
      <c r="K7" s="108">
        <v>0</v>
      </c>
      <c r="L7" s="111">
        <f t="shared" si="0"/>
        <v>200</v>
      </c>
      <c r="M7" s="317">
        <f t="shared" si="41"/>
        <v>3</v>
      </c>
      <c r="N7" s="317">
        <f t="shared" si="1"/>
        <v>5</v>
      </c>
      <c r="O7" s="317">
        <f t="shared" si="1"/>
        <v>6</v>
      </c>
      <c r="P7" s="317">
        <f t="shared" si="42"/>
        <v>34</v>
      </c>
      <c r="Q7" s="317">
        <f t="shared" si="2"/>
        <v>46</v>
      </c>
      <c r="R7" s="317">
        <f t="shared" si="2"/>
        <v>56</v>
      </c>
      <c r="S7" s="110">
        <v>40</v>
      </c>
      <c r="T7" s="111">
        <f t="shared" si="43"/>
        <v>190</v>
      </c>
      <c r="U7" s="317">
        <f t="shared" si="44"/>
        <v>1</v>
      </c>
      <c r="V7" s="317">
        <f t="shared" si="3"/>
        <v>2</v>
      </c>
      <c r="W7" s="317">
        <f t="shared" si="3"/>
        <v>7</v>
      </c>
      <c r="X7" s="317">
        <f t="shared" si="45"/>
        <v>46</v>
      </c>
      <c r="Y7" s="317">
        <f t="shared" si="4"/>
        <v>56</v>
      </c>
      <c r="Z7" s="317">
        <f t="shared" si="4"/>
        <v>40</v>
      </c>
      <c r="AA7" s="110">
        <v>80</v>
      </c>
      <c r="AB7" s="111">
        <f t="shared" si="46"/>
        <v>232</v>
      </c>
      <c r="AC7" s="317">
        <f t="shared" si="47"/>
        <v>1</v>
      </c>
      <c r="AD7" s="317">
        <f t="shared" si="5"/>
        <v>2</v>
      </c>
      <c r="AE7" s="317">
        <f t="shared" si="6"/>
        <v>10</v>
      </c>
      <c r="AF7" s="317">
        <f t="shared" si="48"/>
        <v>56</v>
      </c>
      <c r="AG7" s="317">
        <f t="shared" si="7"/>
        <v>40</v>
      </c>
      <c r="AH7" s="317">
        <f t="shared" si="8"/>
        <v>80</v>
      </c>
      <c r="AI7" s="110">
        <v>80</v>
      </c>
      <c r="AJ7" s="111">
        <f t="shared" si="49"/>
        <v>269</v>
      </c>
      <c r="AK7" s="317">
        <f t="shared" si="50"/>
        <v>1</v>
      </c>
      <c r="AL7" s="317">
        <f t="shared" si="9"/>
        <v>2</v>
      </c>
      <c r="AM7" s="317">
        <f t="shared" si="10"/>
        <v>12</v>
      </c>
      <c r="AN7" s="317">
        <f t="shared" si="51"/>
        <v>40</v>
      </c>
      <c r="AO7" s="317">
        <f t="shared" si="11"/>
        <v>80</v>
      </c>
      <c r="AP7" s="317">
        <f t="shared" si="12"/>
        <v>80</v>
      </c>
      <c r="AQ7" s="110">
        <v>80</v>
      </c>
      <c r="AR7" s="111">
        <f t="shared" si="52"/>
        <v>295</v>
      </c>
      <c r="AS7" s="317">
        <f t="shared" si="53"/>
        <v>1</v>
      </c>
      <c r="AT7" s="317">
        <f t="shared" si="13"/>
        <v>3</v>
      </c>
      <c r="AU7" s="317">
        <f t="shared" si="14"/>
        <v>8</v>
      </c>
      <c r="AV7" s="317">
        <f t="shared" si="54"/>
        <v>80</v>
      </c>
      <c r="AW7" s="317">
        <f t="shared" si="15"/>
        <v>80</v>
      </c>
      <c r="AX7" s="317">
        <f t="shared" si="16"/>
        <v>80</v>
      </c>
      <c r="AY7" s="110">
        <v>80</v>
      </c>
      <c r="AZ7" s="111">
        <f t="shared" si="55"/>
        <v>332</v>
      </c>
      <c r="BA7" s="317">
        <f t="shared" si="56"/>
        <v>1</v>
      </c>
      <c r="BB7" s="317">
        <f t="shared" si="17"/>
        <v>2</v>
      </c>
      <c r="BC7" s="317">
        <f t="shared" si="18"/>
        <v>16</v>
      </c>
      <c r="BD7" s="317">
        <f t="shared" si="57"/>
        <v>80</v>
      </c>
      <c r="BE7" s="317">
        <f t="shared" si="19"/>
        <v>80</v>
      </c>
      <c r="BF7" s="317">
        <f t="shared" si="20"/>
        <v>80</v>
      </c>
      <c r="BG7" s="110">
        <v>80</v>
      </c>
      <c r="BH7" s="111">
        <f t="shared" si="58"/>
        <v>339</v>
      </c>
      <c r="BI7" s="317">
        <f t="shared" si="59"/>
        <v>1</v>
      </c>
      <c r="BJ7" s="317">
        <f t="shared" si="21"/>
        <v>4</v>
      </c>
      <c r="BK7" s="317">
        <f t="shared" si="22"/>
        <v>16</v>
      </c>
      <c r="BL7" s="317">
        <f t="shared" si="60"/>
        <v>80</v>
      </c>
      <c r="BM7" s="317">
        <f t="shared" si="23"/>
        <v>80</v>
      </c>
      <c r="BN7" s="317">
        <f t="shared" si="24"/>
        <v>80</v>
      </c>
      <c r="BO7" s="110">
        <v>80</v>
      </c>
      <c r="BP7" s="111">
        <f t="shared" si="61"/>
        <v>341</v>
      </c>
      <c r="BQ7" s="317">
        <f t="shared" si="62"/>
        <v>1</v>
      </c>
      <c r="BR7" s="317">
        <f t="shared" si="25"/>
        <v>4</v>
      </c>
      <c r="BS7" s="317">
        <f t="shared" si="26"/>
        <v>16</v>
      </c>
      <c r="BT7" s="317">
        <f t="shared" si="63"/>
        <v>80</v>
      </c>
      <c r="BU7" s="317">
        <f t="shared" si="27"/>
        <v>80</v>
      </c>
      <c r="BV7" s="317">
        <f t="shared" si="28"/>
        <v>80</v>
      </c>
      <c r="BW7" s="110">
        <v>80</v>
      </c>
      <c r="BX7" s="111">
        <f t="shared" si="64"/>
        <v>341</v>
      </c>
      <c r="BY7" s="317">
        <f t="shared" si="65"/>
        <v>1</v>
      </c>
      <c r="BZ7" s="317">
        <f t="shared" si="29"/>
        <v>4</v>
      </c>
      <c r="CA7" s="317">
        <f t="shared" si="30"/>
        <v>16</v>
      </c>
      <c r="CB7" s="317">
        <f t="shared" si="66"/>
        <v>80</v>
      </c>
      <c r="CC7" s="317">
        <f t="shared" si="31"/>
        <v>80</v>
      </c>
      <c r="CD7" s="317">
        <f t="shared" si="32"/>
        <v>80</v>
      </c>
      <c r="CE7" s="110">
        <v>80</v>
      </c>
      <c r="CF7" s="111">
        <f t="shared" si="67"/>
        <v>341</v>
      </c>
      <c r="CG7" s="317">
        <f t="shared" si="68"/>
        <v>1</v>
      </c>
      <c r="CH7" s="317">
        <f t="shared" si="33"/>
        <v>4</v>
      </c>
      <c r="CI7" s="317">
        <f t="shared" si="34"/>
        <v>16</v>
      </c>
      <c r="CJ7" s="317">
        <f t="shared" si="69"/>
        <v>80</v>
      </c>
      <c r="CK7" s="317">
        <f t="shared" si="35"/>
        <v>80</v>
      </c>
      <c r="CL7" s="317">
        <f t="shared" si="36"/>
        <v>80</v>
      </c>
      <c r="CM7" s="110">
        <v>80</v>
      </c>
      <c r="CN7" s="111">
        <f t="shared" si="70"/>
        <v>341</v>
      </c>
      <c r="CO7" s="317">
        <f t="shared" si="71"/>
        <v>1</v>
      </c>
      <c r="CP7" s="317">
        <f t="shared" si="37"/>
        <v>4</v>
      </c>
      <c r="CQ7" s="317">
        <f t="shared" si="38"/>
        <v>16</v>
      </c>
      <c r="CR7" s="317">
        <f t="shared" si="72"/>
        <v>80</v>
      </c>
      <c r="CS7" s="317">
        <f t="shared" si="39"/>
        <v>80</v>
      </c>
      <c r="CT7" s="317">
        <f t="shared" si="40"/>
        <v>80</v>
      </c>
      <c r="CU7" s="110">
        <v>80</v>
      </c>
      <c r="CV7" s="111">
        <f t="shared" si="73"/>
        <v>341</v>
      </c>
    </row>
    <row r="8" spans="1:100" ht="15" customHeight="1">
      <c r="A8" s="317">
        <f t="shared" si="74"/>
        <v>6</v>
      </c>
      <c r="B8" s="106" t="s">
        <v>524</v>
      </c>
      <c r="C8" s="107">
        <v>0.2</v>
      </c>
      <c r="D8" s="317">
        <v>0</v>
      </c>
      <c r="E8" s="317">
        <v>5</v>
      </c>
      <c r="F8" s="317">
        <v>18</v>
      </c>
      <c r="G8" s="317">
        <v>40</v>
      </c>
      <c r="H8" s="317">
        <v>51</v>
      </c>
      <c r="I8" s="317">
        <v>62</v>
      </c>
      <c r="J8" s="12">
        <v>91</v>
      </c>
      <c r="K8" s="108">
        <v>0</v>
      </c>
      <c r="L8" s="111">
        <f t="shared" si="0"/>
        <v>267</v>
      </c>
      <c r="M8" s="317">
        <f t="shared" si="41"/>
        <v>1</v>
      </c>
      <c r="N8" s="317">
        <f t="shared" si="1"/>
        <v>4</v>
      </c>
      <c r="O8" s="317">
        <f t="shared" si="1"/>
        <v>8</v>
      </c>
      <c r="P8" s="317">
        <f t="shared" si="42"/>
        <v>51</v>
      </c>
      <c r="Q8" s="317">
        <f t="shared" si="2"/>
        <v>62</v>
      </c>
      <c r="R8" s="317">
        <f t="shared" si="2"/>
        <v>91</v>
      </c>
      <c r="S8" s="110">
        <v>80</v>
      </c>
      <c r="T8" s="111">
        <f t="shared" si="43"/>
        <v>297</v>
      </c>
      <c r="U8" s="317">
        <f t="shared" si="44"/>
        <v>1</v>
      </c>
      <c r="V8" s="317">
        <f t="shared" si="3"/>
        <v>2</v>
      </c>
      <c r="W8" s="317">
        <f t="shared" si="3"/>
        <v>11</v>
      </c>
      <c r="X8" s="317">
        <f t="shared" si="45"/>
        <v>62</v>
      </c>
      <c r="Y8" s="317">
        <f t="shared" si="4"/>
        <v>91</v>
      </c>
      <c r="Z8" s="317">
        <f t="shared" si="4"/>
        <v>80</v>
      </c>
      <c r="AA8" s="110">
        <v>80</v>
      </c>
      <c r="AB8" s="111">
        <f t="shared" si="46"/>
        <v>327</v>
      </c>
      <c r="AC8" s="317">
        <f t="shared" si="47"/>
        <v>1</v>
      </c>
      <c r="AD8" s="317">
        <f t="shared" si="5"/>
        <v>3</v>
      </c>
      <c r="AE8" s="317">
        <f t="shared" si="6"/>
        <v>13</v>
      </c>
      <c r="AF8" s="317">
        <f t="shared" si="48"/>
        <v>91</v>
      </c>
      <c r="AG8" s="317">
        <f t="shared" si="7"/>
        <v>80</v>
      </c>
      <c r="AH8" s="317">
        <f t="shared" si="8"/>
        <v>80</v>
      </c>
      <c r="AI8" s="110">
        <v>80</v>
      </c>
      <c r="AJ8" s="111">
        <f t="shared" si="49"/>
        <v>348</v>
      </c>
      <c r="AK8" s="317">
        <f t="shared" si="50"/>
        <v>1</v>
      </c>
      <c r="AL8" s="317">
        <f t="shared" si="9"/>
        <v>3</v>
      </c>
      <c r="AM8" s="317">
        <f t="shared" si="10"/>
        <v>19</v>
      </c>
      <c r="AN8" s="317">
        <f t="shared" si="51"/>
        <v>80</v>
      </c>
      <c r="AO8" s="317">
        <f t="shared" si="11"/>
        <v>80</v>
      </c>
      <c r="AP8" s="317">
        <f t="shared" si="12"/>
        <v>80</v>
      </c>
      <c r="AQ8" s="110">
        <v>80</v>
      </c>
      <c r="AR8" s="111">
        <f t="shared" si="52"/>
        <v>343</v>
      </c>
      <c r="AS8" s="317">
        <f t="shared" si="53"/>
        <v>1</v>
      </c>
      <c r="AT8" s="317">
        <f t="shared" si="13"/>
        <v>4</v>
      </c>
      <c r="AU8" s="317">
        <f t="shared" si="14"/>
        <v>16</v>
      </c>
      <c r="AV8" s="317">
        <f t="shared" si="54"/>
        <v>80</v>
      </c>
      <c r="AW8" s="317">
        <f t="shared" si="15"/>
        <v>80</v>
      </c>
      <c r="AX8" s="317">
        <f t="shared" si="16"/>
        <v>80</v>
      </c>
      <c r="AY8" s="110">
        <v>80</v>
      </c>
      <c r="AZ8" s="111">
        <f t="shared" si="55"/>
        <v>341</v>
      </c>
      <c r="BA8" s="317">
        <f t="shared" si="56"/>
        <v>1</v>
      </c>
      <c r="BB8" s="317">
        <f t="shared" si="17"/>
        <v>4</v>
      </c>
      <c r="BC8" s="317">
        <f t="shared" si="18"/>
        <v>16</v>
      </c>
      <c r="BD8" s="317">
        <f t="shared" si="57"/>
        <v>80</v>
      </c>
      <c r="BE8" s="317">
        <f t="shared" si="19"/>
        <v>80</v>
      </c>
      <c r="BF8" s="317">
        <f t="shared" si="20"/>
        <v>80</v>
      </c>
      <c r="BG8" s="110">
        <v>80</v>
      </c>
      <c r="BH8" s="111">
        <f t="shared" si="58"/>
        <v>341</v>
      </c>
      <c r="BI8" s="317">
        <f t="shared" si="59"/>
        <v>1</v>
      </c>
      <c r="BJ8" s="317">
        <f t="shared" si="21"/>
        <v>4</v>
      </c>
      <c r="BK8" s="317">
        <f t="shared" si="22"/>
        <v>16</v>
      </c>
      <c r="BL8" s="317">
        <f t="shared" si="60"/>
        <v>80</v>
      </c>
      <c r="BM8" s="317">
        <f t="shared" si="23"/>
        <v>80</v>
      </c>
      <c r="BN8" s="317">
        <f t="shared" si="24"/>
        <v>80</v>
      </c>
      <c r="BO8" s="110">
        <v>80</v>
      </c>
      <c r="BP8" s="111">
        <f t="shared" si="61"/>
        <v>341</v>
      </c>
      <c r="BQ8" s="317">
        <f t="shared" si="62"/>
        <v>1</v>
      </c>
      <c r="BR8" s="317">
        <f t="shared" si="25"/>
        <v>4</v>
      </c>
      <c r="BS8" s="317">
        <f t="shared" si="26"/>
        <v>16</v>
      </c>
      <c r="BT8" s="317">
        <f t="shared" si="63"/>
        <v>80</v>
      </c>
      <c r="BU8" s="317">
        <f t="shared" si="27"/>
        <v>80</v>
      </c>
      <c r="BV8" s="317">
        <f t="shared" si="28"/>
        <v>80</v>
      </c>
      <c r="BW8" s="110">
        <v>80</v>
      </c>
      <c r="BX8" s="111">
        <f t="shared" si="64"/>
        <v>341</v>
      </c>
      <c r="BY8" s="317">
        <f t="shared" si="65"/>
        <v>1</v>
      </c>
      <c r="BZ8" s="317">
        <f t="shared" si="29"/>
        <v>4</v>
      </c>
      <c r="CA8" s="317">
        <f t="shared" si="30"/>
        <v>16</v>
      </c>
      <c r="CB8" s="317">
        <f t="shared" si="66"/>
        <v>80</v>
      </c>
      <c r="CC8" s="317">
        <f t="shared" si="31"/>
        <v>80</v>
      </c>
      <c r="CD8" s="317">
        <f t="shared" si="32"/>
        <v>80</v>
      </c>
      <c r="CE8" s="110">
        <v>80</v>
      </c>
      <c r="CF8" s="111">
        <f t="shared" si="67"/>
        <v>341</v>
      </c>
      <c r="CG8" s="317">
        <f t="shared" si="68"/>
        <v>1</v>
      </c>
      <c r="CH8" s="317">
        <f t="shared" si="33"/>
        <v>4</v>
      </c>
      <c r="CI8" s="317">
        <f t="shared" si="34"/>
        <v>16</v>
      </c>
      <c r="CJ8" s="317">
        <f t="shared" si="69"/>
        <v>80</v>
      </c>
      <c r="CK8" s="317">
        <f t="shared" si="35"/>
        <v>80</v>
      </c>
      <c r="CL8" s="317">
        <f t="shared" si="36"/>
        <v>80</v>
      </c>
      <c r="CM8" s="110">
        <v>80</v>
      </c>
      <c r="CN8" s="111">
        <f t="shared" si="70"/>
        <v>341</v>
      </c>
      <c r="CO8" s="317">
        <f t="shared" si="71"/>
        <v>1</v>
      </c>
      <c r="CP8" s="317">
        <f t="shared" si="37"/>
        <v>4</v>
      </c>
      <c r="CQ8" s="317">
        <f t="shared" si="38"/>
        <v>16</v>
      </c>
      <c r="CR8" s="317">
        <f t="shared" si="72"/>
        <v>80</v>
      </c>
      <c r="CS8" s="317">
        <f t="shared" si="39"/>
        <v>80</v>
      </c>
      <c r="CT8" s="317">
        <f t="shared" si="40"/>
        <v>80</v>
      </c>
      <c r="CU8" s="110">
        <v>80</v>
      </c>
      <c r="CV8" s="111">
        <f t="shared" si="73"/>
        <v>341</v>
      </c>
    </row>
    <row r="9" spans="1:100" ht="15" customHeight="1">
      <c r="A9" s="317">
        <f t="shared" si="74"/>
        <v>7</v>
      </c>
      <c r="B9" s="106" t="s">
        <v>170</v>
      </c>
      <c r="C9" s="107">
        <v>0.2</v>
      </c>
      <c r="D9" s="317">
        <v>0</v>
      </c>
      <c r="E9" s="317">
        <v>2</v>
      </c>
      <c r="F9" s="317">
        <v>20</v>
      </c>
      <c r="G9" s="317">
        <v>23</v>
      </c>
      <c r="H9" s="317">
        <v>43</v>
      </c>
      <c r="I9" s="317">
        <v>43</v>
      </c>
      <c r="J9" s="12">
        <v>55</v>
      </c>
      <c r="K9" s="108">
        <v>0</v>
      </c>
      <c r="L9" s="111">
        <f t="shared" si="0"/>
        <v>186</v>
      </c>
      <c r="M9" s="317">
        <f t="shared" si="41"/>
        <v>1</v>
      </c>
      <c r="N9" s="317">
        <f t="shared" si="1"/>
        <v>4</v>
      </c>
      <c r="O9" s="317">
        <f t="shared" si="1"/>
        <v>5</v>
      </c>
      <c r="P9" s="317">
        <f t="shared" si="42"/>
        <v>43</v>
      </c>
      <c r="Q9" s="317">
        <f t="shared" si="2"/>
        <v>43</v>
      </c>
      <c r="R9" s="317">
        <f t="shared" si="2"/>
        <v>55</v>
      </c>
      <c r="S9" s="110">
        <v>80</v>
      </c>
      <c r="T9" s="111">
        <f t="shared" si="43"/>
        <v>231</v>
      </c>
      <c r="U9" s="317">
        <f t="shared" si="44"/>
        <v>1</v>
      </c>
      <c r="V9" s="317">
        <f t="shared" si="3"/>
        <v>1</v>
      </c>
      <c r="W9" s="317">
        <f t="shared" si="3"/>
        <v>9</v>
      </c>
      <c r="X9" s="317">
        <f t="shared" si="45"/>
        <v>43</v>
      </c>
      <c r="Y9" s="317">
        <f t="shared" si="4"/>
        <v>55</v>
      </c>
      <c r="Z9" s="317">
        <f t="shared" si="4"/>
        <v>80</v>
      </c>
      <c r="AA9" s="110">
        <v>80</v>
      </c>
      <c r="AB9" s="111">
        <f t="shared" si="46"/>
        <v>269</v>
      </c>
      <c r="AC9" s="317">
        <f t="shared" si="47"/>
        <v>1</v>
      </c>
      <c r="AD9" s="317">
        <f t="shared" si="5"/>
        <v>2</v>
      </c>
      <c r="AE9" s="317">
        <f t="shared" si="6"/>
        <v>9</v>
      </c>
      <c r="AF9" s="317">
        <f t="shared" si="48"/>
        <v>55</v>
      </c>
      <c r="AG9" s="317">
        <f t="shared" si="7"/>
        <v>80</v>
      </c>
      <c r="AH9" s="317">
        <f t="shared" si="8"/>
        <v>80</v>
      </c>
      <c r="AI9" s="110">
        <v>80</v>
      </c>
      <c r="AJ9" s="111">
        <f t="shared" si="49"/>
        <v>307</v>
      </c>
      <c r="AK9" s="317">
        <f t="shared" si="50"/>
        <v>1</v>
      </c>
      <c r="AL9" s="317">
        <f t="shared" si="9"/>
        <v>2</v>
      </c>
      <c r="AM9" s="317">
        <f t="shared" si="10"/>
        <v>11</v>
      </c>
      <c r="AN9" s="317">
        <f t="shared" si="51"/>
        <v>80</v>
      </c>
      <c r="AO9" s="317">
        <f t="shared" si="11"/>
        <v>80</v>
      </c>
      <c r="AP9" s="317">
        <f t="shared" si="12"/>
        <v>80</v>
      </c>
      <c r="AQ9" s="110">
        <v>80</v>
      </c>
      <c r="AR9" s="111">
        <f t="shared" si="52"/>
        <v>334</v>
      </c>
      <c r="AS9" s="317">
        <f t="shared" si="53"/>
        <v>1</v>
      </c>
      <c r="AT9" s="317">
        <f t="shared" si="13"/>
        <v>3</v>
      </c>
      <c r="AU9" s="317">
        <f t="shared" si="14"/>
        <v>16</v>
      </c>
      <c r="AV9" s="317">
        <f t="shared" si="54"/>
        <v>80</v>
      </c>
      <c r="AW9" s="317">
        <f t="shared" si="15"/>
        <v>80</v>
      </c>
      <c r="AX9" s="317">
        <f t="shared" si="16"/>
        <v>80</v>
      </c>
      <c r="AY9" s="110">
        <v>80</v>
      </c>
      <c r="AZ9" s="111">
        <f t="shared" si="55"/>
        <v>340</v>
      </c>
      <c r="BA9" s="317">
        <f t="shared" si="56"/>
        <v>1</v>
      </c>
      <c r="BB9" s="317">
        <f t="shared" si="17"/>
        <v>4</v>
      </c>
      <c r="BC9" s="317">
        <f t="shared" si="18"/>
        <v>16</v>
      </c>
      <c r="BD9" s="317">
        <f t="shared" si="57"/>
        <v>80</v>
      </c>
      <c r="BE9" s="317">
        <f t="shared" si="19"/>
        <v>80</v>
      </c>
      <c r="BF9" s="317">
        <f t="shared" si="20"/>
        <v>80</v>
      </c>
      <c r="BG9" s="110">
        <v>80</v>
      </c>
      <c r="BH9" s="111">
        <f t="shared" si="58"/>
        <v>341</v>
      </c>
      <c r="BI9" s="317">
        <f t="shared" si="59"/>
        <v>1</v>
      </c>
      <c r="BJ9" s="317">
        <f t="shared" si="21"/>
        <v>4</v>
      </c>
      <c r="BK9" s="317">
        <f t="shared" si="22"/>
        <v>16</v>
      </c>
      <c r="BL9" s="317">
        <f t="shared" si="60"/>
        <v>80</v>
      </c>
      <c r="BM9" s="317">
        <f t="shared" si="23"/>
        <v>80</v>
      </c>
      <c r="BN9" s="317">
        <f t="shared" si="24"/>
        <v>80</v>
      </c>
      <c r="BO9" s="110">
        <v>80</v>
      </c>
      <c r="BP9" s="111">
        <f t="shared" si="61"/>
        <v>341</v>
      </c>
      <c r="BQ9" s="317">
        <f t="shared" si="62"/>
        <v>1</v>
      </c>
      <c r="BR9" s="317">
        <f t="shared" si="25"/>
        <v>4</v>
      </c>
      <c r="BS9" s="317">
        <f t="shared" si="26"/>
        <v>16</v>
      </c>
      <c r="BT9" s="317">
        <f t="shared" si="63"/>
        <v>80</v>
      </c>
      <c r="BU9" s="317">
        <f t="shared" si="27"/>
        <v>80</v>
      </c>
      <c r="BV9" s="317">
        <f t="shared" si="28"/>
        <v>80</v>
      </c>
      <c r="BW9" s="110">
        <v>80</v>
      </c>
      <c r="BX9" s="111">
        <f t="shared" si="64"/>
        <v>341</v>
      </c>
      <c r="BY9" s="317">
        <f t="shared" si="65"/>
        <v>1</v>
      </c>
      <c r="BZ9" s="317">
        <f t="shared" si="29"/>
        <v>4</v>
      </c>
      <c r="CA9" s="317">
        <f t="shared" si="30"/>
        <v>16</v>
      </c>
      <c r="CB9" s="317">
        <f t="shared" si="66"/>
        <v>80</v>
      </c>
      <c r="CC9" s="317">
        <f t="shared" si="31"/>
        <v>80</v>
      </c>
      <c r="CD9" s="317">
        <f t="shared" si="32"/>
        <v>80</v>
      </c>
      <c r="CE9" s="110">
        <v>80</v>
      </c>
      <c r="CF9" s="111">
        <f t="shared" si="67"/>
        <v>341</v>
      </c>
      <c r="CG9" s="317">
        <f t="shared" si="68"/>
        <v>1</v>
      </c>
      <c r="CH9" s="317">
        <f t="shared" si="33"/>
        <v>4</v>
      </c>
      <c r="CI9" s="317">
        <f t="shared" si="34"/>
        <v>16</v>
      </c>
      <c r="CJ9" s="317">
        <f t="shared" si="69"/>
        <v>80</v>
      </c>
      <c r="CK9" s="317">
        <f t="shared" si="35"/>
        <v>80</v>
      </c>
      <c r="CL9" s="317">
        <f t="shared" si="36"/>
        <v>80</v>
      </c>
      <c r="CM9" s="110">
        <v>80</v>
      </c>
      <c r="CN9" s="111">
        <f t="shared" si="70"/>
        <v>341</v>
      </c>
      <c r="CO9" s="317">
        <f t="shared" si="71"/>
        <v>1</v>
      </c>
      <c r="CP9" s="317">
        <f t="shared" si="37"/>
        <v>4</v>
      </c>
      <c r="CQ9" s="317">
        <f t="shared" si="38"/>
        <v>16</v>
      </c>
      <c r="CR9" s="317">
        <f t="shared" si="72"/>
        <v>80</v>
      </c>
      <c r="CS9" s="317">
        <f t="shared" si="39"/>
        <v>80</v>
      </c>
      <c r="CT9" s="317">
        <f t="shared" si="40"/>
        <v>80</v>
      </c>
      <c r="CU9" s="110">
        <v>80</v>
      </c>
      <c r="CV9" s="111">
        <f t="shared" si="73"/>
        <v>341</v>
      </c>
    </row>
    <row r="10" spans="1:100" ht="15" customHeight="1">
      <c r="A10" s="317">
        <f t="shared" si="74"/>
        <v>8</v>
      </c>
      <c r="B10" s="106" t="s">
        <v>475</v>
      </c>
      <c r="C10" s="107">
        <v>0.2</v>
      </c>
      <c r="D10" s="12">
        <v>0</v>
      </c>
      <c r="E10" s="12">
        <v>5</v>
      </c>
      <c r="F10" s="12">
        <v>13</v>
      </c>
      <c r="G10" s="12">
        <v>44</v>
      </c>
      <c r="H10" s="12">
        <v>43</v>
      </c>
      <c r="I10" s="12">
        <v>51</v>
      </c>
      <c r="J10" s="12">
        <v>60</v>
      </c>
      <c r="K10" s="108">
        <v>0</v>
      </c>
      <c r="L10" s="111">
        <f t="shared" si="0"/>
        <v>216</v>
      </c>
      <c r="M10" s="317">
        <f t="shared" si="41"/>
        <v>1</v>
      </c>
      <c r="N10" s="317">
        <f t="shared" si="1"/>
        <v>3</v>
      </c>
      <c r="O10" s="317">
        <f t="shared" si="1"/>
        <v>9</v>
      </c>
      <c r="P10" s="317">
        <f t="shared" si="42"/>
        <v>43</v>
      </c>
      <c r="Q10" s="317">
        <f t="shared" si="2"/>
        <v>51</v>
      </c>
      <c r="R10" s="317">
        <f t="shared" si="2"/>
        <v>60</v>
      </c>
      <c r="S10" s="110">
        <v>80</v>
      </c>
      <c r="T10" s="111">
        <f t="shared" si="43"/>
        <v>247</v>
      </c>
      <c r="U10" s="317">
        <f t="shared" si="44"/>
        <v>1</v>
      </c>
      <c r="V10" s="317">
        <f t="shared" si="3"/>
        <v>2</v>
      </c>
      <c r="W10" s="317">
        <f t="shared" si="3"/>
        <v>9</v>
      </c>
      <c r="X10" s="317">
        <f t="shared" si="45"/>
        <v>51</v>
      </c>
      <c r="Y10" s="317">
        <f t="shared" si="4"/>
        <v>60</v>
      </c>
      <c r="Z10" s="317">
        <f t="shared" si="4"/>
        <v>80</v>
      </c>
      <c r="AA10" s="110">
        <v>80</v>
      </c>
      <c r="AB10" s="111">
        <f t="shared" si="46"/>
        <v>283</v>
      </c>
      <c r="AC10" s="317">
        <f t="shared" si="47"/>
        <v>1</v>
      </c>
      <c r="AD10" s="317">
        <f t="shared" si="5"/>
        <v>2</v>
      </c>
      <c r="AE10" s="317">
        <f t="shared" si="6"/>
        <v>11</v>
      </c>
      <c r="AF10" s="317">
        <f t="shared" si="48"/>
        <v>60</v>
      </c>
      <c r="AG10" s="317">
        <f t="shared" si="7"/>
        <v>80</v>
      </c>
      <c r="AH10" s="317">
        <f t="shared" si="8"/>
        <v>80</v>
      </c>
      <c r="AI10" s="110">
        <v>80</v>
      </c>
      <c r="AJ10" s="111">
        <f t="shared" si="49"/>
        <v>314</v>
      </c>
      <c r="AK10" s="317">
        <f t="shared" si="50"/>
        <v>1</v>
      </c>
      <c r="AL10" s="317">
        <f t="shared" si="9"/>
        <v>3</v>
      </c>
      <c r="AM10" s="317">
        <f t="shared" si="10"/>
        <v>12</v>
      </c>
      <c r="AN10" s="317">
        <f t="shared" si="51"/>
        <v>80</v>
      </c>
      <c r="AO10" s="317">
        <f t="shared" si="11"/>
        <v>80</v>
      </c>
      <c r="AP10" s="317">
        <f t="shared" si="12"/>
        <v>80</v>
      </c>
      <c r="AQ10" s="110">
        <v>80</v>
      </c>
      <c r="AR10" s="111">
        <f t="shared" si="52"/>
        <v>336</v>
      </c>
      <c r="AS10" s="317">
        <f t="shared" si="53"/>
        <v>1</v>
      </c>
      <c r="AT10" s="317">
        <f t="shared" si="13"/>
        <v>3</v>
      </c>
      <c r="AU10" s="317">
        <f t="shared" si="14"/>
        <v>16</v>
      </c>
      <c r="AV10" s="317">
        <f t="shared" si="54"/>
        <v>80</v>
      </c>
      <c r="AW10" s="317">
        <f t="shared" si="15"/>
        <v>80</v>
      </c>
      <c r="AX10" s="317">
        <f t="shared" si="16"/>
        <v>80</v>
      </c>
      <c r="AY10" s="110">
        <v>80</v>
      </c>
      <c r="AZ10" s="111">
        <f t="shared" si="55"/>
        <v>340</v>
      </c>
      <c r="BA10" s="317">
        <f t="shared" si="56"/>
        <v>1</v>
      </c>
      <c r="BB10" s="317">
        <f t="shared" si="17"/>
        <v>4</v>
      </c>
      <c r="BC10" s="317">
        <f t="shared" si="18"/>
        <v>16</v>
      </c>
      <c r="BD10" s="317">
        <f t="shared" si="57"/>
        <v>80</v>
      </c>
      <c r="BE10" s="317">
        <f t="shared" si="19"/>
        <v>80</v>
      </c>
      <c r="BF10" s="317">
        <f t="shared" si="20"/>
        <v>80</v>
      </c>
      <c r="BG10" s="110">
        <v>80</v>
      </c>
      <c r="BH10" s="111">
        <f t="shared" si="58"/>
        <v>341</v>
      </c>
      <c r="BI10" s="317">
        <f t="shared" si="59"/>
        <v>1</v>
      </c>
      <c r="BJ10" s="317">
        <f t="shared" si="21"/>
        <v>4</v>
      </c>
      <c r="BK10" s="317">
        <f t="shared" si="22"/>
        <v>16</v>
      </c>
      <c r="BL10" s="317">
        <f t="shared" si="60"/>
        <v>80</v>
      </c>
      <c r="BM10" s="317">
        <f t="shared" si="23"/>
        <v>80</v>
      </c>
      <c r="BN10" s="317">
        <f t="shared" si="24"/>
        <v>80</v>
      </c>
      <c r="BO10" s="110">
        <v>80</v>
      </c>
      <c r="BP10" s="111">
        <f t="shared" si="61"/>
        <v>341</v>
      </c>
      <c r="BQ10" s="317">
        <f t="shared" si="62"/>
        <v>1</v>
      </c>
      <c r="BR10" s="317">
        <f t="shared" si="25"/>
        <v>4</v>
      </c>
      <c r="BS10" s="317">
        <f t="shared" si="26"/>
        <v>16</v>
      </c>
      <c r="BT10" s="317">
        <f t="shared" si="63"/>
        <v>80</v>
      </c>
      <c r="BU10" s="317">
        <f t="shared" si="27"/>
        <v>80</v>
      </c>
      <c r="BV10" s="317">
        <f t="shared" si="28"/>
        <v>80</v>
      </c>
      <c r="BW10" s="110">
        <v>80</v>
      </c>
      <c r="BX10" s="111">
        <f t="shared" si="64"/>
        <v>341</v>
      </c>
      <c r="BY10" s="317">
        <f t="shared" si="65"/>
        <v>1</v>
      </c>
      <c r="BZ10" s="317">
        <f t="shared" si="29"/>
        <v>4</v>
      </c>
      <c r="CA10" s="317">
        <f t="shared" si="30"/>
        <v>16</v>
      </c>
      <c r="CB10" s="317">
        <f t="shared" si="66"/>
        <v>80</v>
      </c>
      <c r="CC10" s="317">
        <f t="shared" si="31"/>
        <v>80</v>
      </c>
      <c r="CD10" s="317">
        <f t="shared" si="32"/>
        <v>80</v>
      </c>
      <c r="CE10" s="110">
        <v>80</v>
      </c>
      <c r="CF10" s="111">
        <f t="shared" si="67"/>
        <v>341</v>
      </c>
      <c r="CG10" s="317">
        <f t="shared" si="68"/>
        <v>1</v>
      </c>
      <c r="CH10" s="317">
        <f t="shared" si="33"/>
        <v>4</v>
      </c>
      <c r="CI10" s="317">
        <f t="shared" si="34"/>
        <v>16</v>
      </c>
      <c r="CJ10" s="317">
        <f t="shared" si="69"/>
        <v>80</v>
      </c>
      <c r="CK10" s="317">
        <f t="shared" si="35"/>
        <v>80</v>
      </c>
      <c r="CL10" s="317">
        <f t="shared" si="36"/>
        <v>80</v>
      </c>
      <c r="CM10" s="110">
        <v>80</v>
      </c>
      <c r="CN10" s="111">
        <f t="shared" si="70"/>
        <v>341</v>
      </c>
      <c r="CO10" s="317">
        <f t="shared" si="71"/>
        <v>1</v>
      </c>
      <c r="CP10" s="317">
        <f t="shared" si="37"/>
        <v>4</v>
      </c>
      <c r="CQ10" s="317">
        <f t="shared" si="38"/>
        <v>16</v>
      </c>
      <c r="CR10" s="317">
        <f t="shared" si="72"/>
        <v>80</v>
      </c>
      <c r="CS10" s="317">
        <f t="shared" si="39"/>
        <v>80</v>
      </c>
      <c r="CT10" s="317">
        <f t="shared" si="40"/>
        <v>80</v>
      </c>
      <c r="CU10" s="110">
        <v>80</v>
      </c>
      <c r="CV10" s="111">
        <f t="shared" si="73"/>
        <v>341</v>
      </c>
    </row>
    <row r="11" spans="1:100" ht="15" customHeight="1">
      <c r="A11" s="317">
        <f t="shared" si="74"/>
        <v>9</v>
      </c>
      <c r="B11" s="106" t="s">
        <v>235</v>
      </c>
      <c r="C11" s="107">
        <v>0.2</v>
      </c>
      <c r="D11" s="317">
        <v>2</v>
      </c>
      <c r="E11" s="317">
        <v>4</v>
      </c>
      <c r="F11" s="317">
        <v>69</v>
      </c>
      <c r="G11" s="317">
        <v>152</v>
      </c>
      <c r="H11" s="317">
        <v>136</v>
      </c>
      <c r="I11" s="317">
        <v>127</v>
      </c>
      <c r="J11" s="12">
        <v>171</v>
      </c>
      <c r="K11" s="108">
        <v>0</v>
      </c>
      <c r="L11" s="111">
        <f t="shared" si="0"/>
        <v>661</v>
      </c>
      <c r="M11" s="317">
        <f t="shared" si="41"/>
        <v>1</v>
      </c>
      <c r="N11" s="317">
        <f t="shared" si="1"/>
        <v>14</v>
      </c>
      <c r="O11" s="317">
        <f t="shared" si="1"/>
        <v>31</v>
      </c>
      <c r="P11" s="317">
        <f t="shared" si="42"/>
        <v>136</v>
      </c>
      <c r="Q11" s="317">
        <f t="shared" si="2"/>
        <v>127</v>
      </c>
      <c r="R11" s="317">
        <f t="shared" si="2"/>
        <v>171</v>
      </c>
      <c r="S11" s="110">
        <v>160</v>
      </c>
      <c r="T11" s="111">
        <f t="shared" si="43"/>
        <v>640</v>
      </c>
      <c r="U11" s="317">
        <f t="shared" si="44"/>
        <v>3</v>
      </c>
      <c r="V11" s="317">
        <f t="shared" si="3"/>
        <v>7</v>
      </c>
      <c r="W11" s="317">
        <f t="shared" si="3"/>
        <v>28</v>
      </c>
      <c r="X11" s="317">
        <f t="shared" si="45"/>
        <v>127</v>
      </c>
      <c r="Y11" s="317">
        <f t="shared" si="4"/>
        <v>171</v>
      </c>
      <c r="Z11" s="317">
        <f t="shared" si="4"/>
        <v>160</v>
      </c>
      <c r="AA11" s="110">
        <v>200</v>
      </c>
      <c r="AB11" s="111">
        <f t="shared" si="46"/>
        <v>696</v>
      </c>
      <c r="AC11" s="317">
        <f t="shared" si="47"/>
        <v>2</v>
      </c>
      <c r="AD11" s="317">
        <f t="shared" si="5"/>
        <v>6</v>
      </c>
      <c r="AE11" s="317">
        <f t="shared" si="6"/>
        <v>26</v>
      </c>
      <c r="AF11" s="317">
        <f t="shared" si="48"/>
        <v>171</v>
      </c>
      <c r="AG11" s="317">
        <f t="shared" si="7"/>
        <v>160</v>
      </c>
      <c r="AH11" s="317">
        <f t="shared" si="8"/>
        <v>200</v>
      </c>
      <c r="AI11" s="110">
        <v>200</v>
      </c>
      <c r="AJ11" s="111">
        <f t="shared" si="49"/>
        <v>765</v>
      </c>
      <c r="AK11" s="317">
        <f t="shared" si="50"/>
        <v>2</v>
      </c>
      <c r="AL11" s="317">
        <f t="shared" si="9"/>
        <v>6</v>
      </c>
      <c r="AM11" s="317">
        <f t="shared" si="10"/>
        <v>35</v>
      </c>
      <c r="AN11" s="317">
        <f t="shared" si="51"/>
        <v>160</v>
      </c>
      <c r="AO11" s="317">
        <f t="shared" si="11"/>
        <v>200</v>
      </c>
      <c r="AP11" s="317">
        <f t="shared" si="12"/>
        <v>200</v>
      </c>
      <c r="AQ11" s="110">
        <v>200</v>
      </c>
      <c r="AR11" s="111">
        <f t="shared" si="52"/>
        <v>803</v>
      </c>
      <c r="AS11" s="317">
        <f t="shared" si="53"/>
        <v>2</v>
      </c>
      <c r="AT11" s="317">
        <f t="shared" si="13"/>
        <v>7</v>
      </c>
      <c r="AU11" s="317">
        <f t="shared" si="14"/>
        <v>32</v>
      </c>
      <c r="AV11" s="317">
        <f t="shared" si="54"/>
        <v>200</v>
      </c>
      <c r="AW11" s="317">
        <f t="shared" si="15"/>
        <v>200</v>
      </c>
      <c r="AX11" s="317">
        <f t="shared" si="16"/>
        <v>200</v>
      </c>
      <c r="AY11" s="110">
        <v>200</v>
      </c>
      <c r="AZ11" s="111">
        <f t="shared" si="55"/>
        <v>841</v>
      </c>
      <c r="BA11" s="317">
        <f t="shared" si="56"/>
        <v>2</v>
      </c>
      <c r="BB11" s="317">
        <f t="shared" si="17"/>
        <v>7</v>
      </c>
      <c r="BC11" s="317">
        <f t="shared" si="18"/>
        <v>40</v>
      </c>
      <c r="BD11" s="317">
        <f t="shared" si="57"/>
        <v>200</v>
      </c>
      <c r="BE11" s="317">
        <f t="shared" si="19"/>
        <v>200</v>
      </c>
      <c r="BF11" s="317">
        <f t="shared" si="20"/>
        <v>200</v>
      </c>
      <c r="BG11" s="110">
        <v>200</v>
      </c>
      <c r="BH11" s="111">
        <f t="shared" si="58"/>
        <v>849</v>
      </c>
      <c r="BI11" s="317">
        <f t="shared" si="59"/>
        <v>2</v>
      </c>
      <c r="BJ11" s="317">
        <f t="shared" si="21"/>
        <v>8</v>
      </c>
      <c r="BK11" s="317">
        <f t="shared" si="22"/>
        <v>40</v>
      </c>
      <c r="BL11" s="317">
        <f t="shared" si="60"/>
        <v>200</v>
      </c>
      <c r="BM11" s="317">
        <f t="shared" si="23"/>
        <v>200</v>
      </c>
      <c r="BN11" s="317">
        <f t="shared" si="24"/>
        <v>200</v>
      </c>
      <c r="BO11" s="110">
        <v>200</v>
      </c>
      <c r="BP11" s="111">
        <f t="shared" si="61"/>
        <v>850</v>
      </c>
      <c r="BQ11" s="317">
        <f t="shared" si="62"/>
        <v>2</v>
      </c>
      <c r="BR11" s="317">
        <f t="shared" si="25"/>
        <v>8</v>
      </c>
      <c r="BS11" s="317">
        <f t="shared" si="26"/>
        <v>40</v>
      </c>
      <c r="BT11" s="317">
        <f t="shared" si="63"/>
        <v>200</v>
      </c>
      <c r="BU11" s="317">
        <f t="shared" si="27"/>
        <v>200</v>
      </c>
      <c r="BV11" s="317">
        <f t="shared" si="28"/>
        <v>200</v>
      </c>
      <c r="BW11" s="110">
        <v>200</v>
      </c>
      <c r="BX11" s="111">
        <f t="shared" si="64"/>
        <v>850</v>
      </c>
      <c r="BY11" s="317">
        <f t="shared" si="65"/>
        <v>2</v>
      </c>
      <c r="BZ11" s="317">
        <f t="shared" si="29"/>
        <v>8</v>
      </c>
      <c r="CA11" s="317">
        <f t="shared" si="30"/>
        <v>40</v>
      </c>
      <c r="CB11" s="317">
        <f t="shared" si="66"/>
        <v>200</v>
      </c>
      <c r="CC11" s="317">
        <f t="shared" si="31"/>
        <v>200</v>
      </c>
      <c r="CD11" s="317">
        <f t="shared" si="32"/>
        <v>200</v>
      </c>
      <c r="CE11" s="110">
        <v>200</v>
      </c>
      <c r="CF11" s="111">
        <f t="shared" si="67"/>
        <v>850</v>
      </c>
      <c r="CG11" s="317">
        <f t="shared" si="68"/>
        <v>2</v>
      </c>
      <c r="CH11" s="317">
        <f t="shared" si="33"/>
        <v>8</v>
      </c>
      <c r="CI11" s="317">
        <f t="shared" si="34"/>
        <v>40</v>
      </c>
      <c r="CJ11" s="317">
        <f t="shared" si="69"/>
        <v>200</v>
      </c>
      <c r="CK11" s="317">
        <f t="shared" si="35"/>
        <v>200</v>
      </c>
      <c r="CL11" s="317">
        <f t="shared" si="36"/>
        <v>200</v>
      </c>
      <c r="CM11" s="110">
        <v>200</v>
      </c>
      <c r="CN11" s="111">
        <f t="shared" si="70"/>
        <v>850</v>
      </c>
      <c r="CO11" s="317">
        <f t="shared" si="71"/>
        <v>2</v>
      </c>
      <c r="CP11" s="317">
        <f t="shared" si="37"/>
        <v>8</v>
      </c>
      <c r="CQ11" s="317">
        <f t="shared" si="38"/>
        <v>40</v>
      </c>
      <c r="CR11" s="317">
        <f t="shared" si="72"/>
        <v>200</v>
      </c>
      <c r="CS11" s="317">
        <f t="shared" si="39"/>
        <v>200</v>
      </c>
      <c r="CT11" s="317">
        <f t="shared" si="40"/>
        <v>200</v>
      </c>
      <c r="CU11" s="110">
        <v>200</v>
      </c>
      <c r="CV11" s="111">
        <f t="shared" si="73"/>
        <v>850</v>
      </c>
    </row>
    <row r="12" spans="1:100" ht="15" customHeight="1">
      <c r="A12" s="317">
        <f t="shared" si="74"/>
        <v>10</v>
      </c>
      <c r="B12" s="106" t="s">
        <v>370</v>
      </c>
      <c r="C12" s="107">
        <v>0.2</v>
      </c>
      <c r="D12" s="12">
        <v>0</v>
      </c>
      <c r="E12" s="12">
        <v>3</v>
      </c>
      <c r="F12" s="12">
        <v>25</v>
      </c>
      <c r="G12" s="12">
        <v>61</v>
      </c>
      <c r="H12" s="12">
        <v>58</v>
      </c>
      <c r="I12" s="12">
        <v>59</v>
      </c>
      <c r="J12" s="12">
        <v>107</v>
      </c>
      <c r="K12" s="108">
        <v>0</v>
      </c>
      <c r="L12" s="111">
        <f t="shared" si="0"/>
        <v>313</v>
      </c>
      <c r="M12" s="317">
        <f t="shared" si="41"/>
        <v>1</v>
      </c>
      <c r="N12" s="317">
        <f t="shared" si="1"/>
        <v>5</v>
      </c>
      <c r="O12" s="317">
        <f t="shared" si="1"/>
        <v>13</v>
      </c>
      <c r="P12" s="317">
        <f t="shared" si="42"/>
        <v>58</v>
      </c>
      <c r="Q12" s="317">
        <f t="shared" si="2"/>
        <v>59</v>
      </c>
      <c r="R12" s="317">
        <f t="shared" si="2"/>
        <v>107</v>
      </c>
      <c r="S12" s="110">
        <v>120</v>
      </c>
      <c r="T12" s="111">
        <f t="shared" si="43"/>
        <v>363</v>
      </c>
      <c r="U12" s="317">
        <f t="shared" si="44"/>
        <v>1</v>
      </c>
      <c r="V12" s="317">
        <f t="shared" si="3"/>
        <v>3</v>
      </c>
      <c r="W12" s="317">
        <f t="shared" si="3"/>
        <v>12</v>
      </c>
      <c r="X12" s="317">
        <f t="shared" si="45"/>
        <v>59</v>
      </c>
      <c r="Y12" s="317">
        <f t="shared" si="4"/>
        <v>107</v>
      </c>
      <c r="Z12" s="317">
        <f t="shared" si="4"/>
        <v>120</v>
      </c>
      <c r="AA12" s="110">
        <v>160</v>
      </c>
      <c r="AB12" s="111">
        <f t="shared" si="46"/>
        <v>462</v>
      </c>
      <c r="AC12" s="317">
        <f t="shared" si="47"/>
        <v>1</v>
      </c>
      <c r="AD12" s="317">
        <f t="shared" si="5"/>
        <v>3</v>
      </c>
      <c r="AE12" s="317">
        <f t="shared" si="6"/>
        <v>12</v>
      </c>
      <c r="AF12" s="317">
        <f t="shared" si="48"/>
        <v>107</v>
      </c>
      <c r="AG12" s="317">
        <f t="shared" si="7"/>
        <v>120</v>
      </c>
      <c r="AH12" s="317">
        <f t="shared" si="8"/>
        <v>160</v>
      </c>
      <c r="AI12" s="110">
        <v>160</v>
      </c>
      <c r="AJ12" s="111">
        <f t="shared" si="49"/>
        <v>563</v>
      </c>
      <c r="AK12" s="317">
        <f t="shared" si="50"/>
        <v>1</v>
      </c>
      <c r="AL12" s="317">
        <f t="shared" si="9"/>
        <v>3</v>
      </c>
      <c r="AM12" s="317">
        <f t="shared" si="10"/>
        <v>22</v>
      </c>
      <c r="AN12" s="317">
        <f t="shared" si="51"/>
        <v>120</v>
      </c>
      <c r="AO12" s="317">
        <f t="shared" si="11"/>
        <v>160</v>
      </c>
      <c r="AP12" s="317">
        <f t="shared" si="12"/>
        <v>160</v>
      </c>
      <c r="AQ12" s="110">
        <v>160</v>
      </c>
      <c r="AR12" s="111">
        <f t="shared" si="52"/>
        <v>626</v>
      </c>
      <c r="AS12" s="317">
        <f t="shared" si="53"/>
        <v>1</v>
      </c>
      <c r="AT12" s="317">
        <f t="shared" si="13"/>
        <v>5</v>
      </c>
      <c r="AU12" s="317">
        <f t="shared" si="14"/>
        <v>24</v>
      </c>
      <c r="AV12" s="317">
        <f t="shared" si="54"/>
        <v>160</v>
      </c>
      <c r="AW12" s="317">
        <f t="shared" si="15"/>
        <v>160</v>
      </c>
      <c r="AX12" s="317">
        <f t="shared" si="16"/>
        <v>160</v>
      </c>
      <c r="AY12" s="110">
        <v>160</v>
      </c>
      <c r="AZ12" s="111">
        <f t="shared" si="55"/>
        <v>670</v>
      </c>
      <c r="BA12" s="317">
        <f t="shared" si="56"/>
        <v>1</v>
      </c>
      <c r="BB12" s="317">
        <f t="shared" si="17"/>
        <v>5</v>
      </c>
      <c r="BC12" s="317">
        <f t="shared" si="18"/>
        <v>32</v>
      </c>
      <c r="BD12" s="317">
        <f t="shared" si="57"/>
        <v>160</v>
      </c>
      <c r="BE12" s="317">
        <f t="shared" si="19"/>
        <v>160</v>
      </c>
      <c r="BF12" s="317">
        <f t="shared" si="20"/>
        <v>160</v>
      </c>
      <c r="BG12" s="110">
        <v>160</v>
      </c>
      <c r="BH12" s="111">
        <f t="shared" si="58"/>
        <v>678</v>
      </c>
      <c r="BI12" s="317">
        <f t="shared" si="59"/>
        <v>1</v>
      </c>
      <c r="BJ12" s="317">
        <f t="shared" si="21"/>
        <v>7</v>
      </c>
      <c r="BK12" s="317">
        <f t="shared" si="22"/>
        <v>32</v>
      </c>
      <c r="BL12" s="317">
        <f t="shared" si="60"/>
        <v>160</v>
      </c>
      <c r="BM12" s="317">
        <f t="shared" si="23"/>
        <v>160</v>
      </c>
      <c r="BN12" s="317">
        <f t="shared" si="24"/>
        <v>160</v>
      </c>
      <c r="BO12" s="110">
        <v>160</v>
      </c>
      <c r="BP12" s="111">
        <f t="shared" si="61"/>
        <v>680</v>
      </c>
      <c r="BQ12" s="317">
        <f t="shared" si="62"/>
        <v>2</v>
      </c>
      <c r="BR12" s="317">
        <f t="shared" si="25"/>
        <v>7</v>
      </c>
      <c r="BS12" s="317">
        <f t="shared" si="26"/>
        <v>32</v>
      </c>
      <c r="BT12" s="317">
        <f t="shared" si="63"/>
        <v>160</v>
      </c>
      <c r="BU12" s="317">
        <f t="shared" si="27"/>
        <v>160</v>
      </c>
      <c r="BV12" s="317">
        <f t="shared" si="28"/>
        <v>160</v>
      </c>
      <c r="BW12" s="110">
        <v>160</v>
      </c>
      <c r="BX12" s="111">
        <f t="shared" si="64"/>
        <v>681</v>
      </c>
      <c r="BY12" s="317">
        <f t="shared" si="65"/>
        <v>2</v>
      </c>
      <c r="BZ12" s="317">
        <f t="shared" si="29"/>
        <v>7</v>
      </c>
      <c r="CA12" s="317">
        <f t="shared" si="30"/>
        <v>32</v>
      </c>
      <c r="CB12" s="317">
        <f t="shared" si="66"/>
        <v>160</v>
      </c>
      <c r="CC12" s="317">
        <f t="shared" si="31"/>
        <v>160</v>
      </c>
      <c r="CD12" s="317">
        <f t="shared" si="32"/>
        <v>160</v>
      </c>
      <c r="CE12" s="110">
        <v>160</v>
      </c>
      <c r="CF12" s="111">
        <f t="shared" si="67"/>
        <v>681</v>
      </c>
      <c r="CG12" s="317">
        <f t="shared" si="68"/>
        <v>2</v>
      </c>
      <c r="CH12" s="317">
        <f t="shared" si="33"/>
        <v>7</v>
      </c>
      <c r="CI12" s="317">
        <f t="shared" si="34"/>
        <v>32</v>
      </c>
      <c r="CJ12" s="317">
        <f t="shared" si="69"/>
        <v>160</v>
      </c>
      <c r="CK12" s="317">
        <f t="shared" si="35"/>
        <v>160</v>
      </c>
      <c r="CL12" s="317">
        <f t="shared" si="36"/>
        <v>160</v>
      </c>
      <c r="CM12" s="110">
        <v>160</v>
      </c>
      <c r="CN12" s="111">
        <f t="shared" si="70"/>
        <v>681</v>
      </c>
      <c r="CO12" s="317">
        <f t="shared" si="71"/>
        <v>2</v>
      </c>
      <c r="CP12" s="317">
        <f t="shared" si="37"/>
        <v>7</v>
      </c>
      <c r="CQ12" s="317">
        <f t="shared" si="38"/>
        <v>32</v>
      </c>
      <c r="CR12" s="317">
        <f t="shared" si="72"/>
        <v>160</v>
      </c>
      <c r="CS12" s="317">
        <f t="shared" si="39"/>
        <v>160</v>
      </c>
      <c r="CT12" s="317">
        <f t="shared" si="40"/>
        <v>160</v>
      </c>
      <c r="CU12" s="110">
        <v>160</v>
      </c>
      <c r="CV12" s="111">
        <f t="shared" si="73"/>
        <v>681</v>
      </c>
    </row>
    <row r="13" spans="1:100" ht="15" customHeight="1">
      <c r="A13" s="317">
        <f t="shared" si="74"/>
        <v>11</v>
      </c>
      <c r="B13" s="106" t="s">
        <v>330</v>
      </c>
      <c r="C13" s="107">
        <v>0.2</v>
      </c>
      <c r="D13" s="12">
        <v>0</v>
      </c>
      <c r="E13" s="12">
        <v>0</v>
      </c>
      <c r="F13" s="12">
        <v>15</v>
      </c>
      <c r="G13" s="12">
        <v>27</v>
      </c>
      <c r="H13" s="12">
        <v>37</v>
      </c>
      <c r="I13" s="12">
        <v>45</v>
      </c>
      <c r="J13" s="12">
        <v>38</v>
      </c>
      <c r="K13" s="108">
        <v>0</v>
      </c>
      <c r="L13" s="111">
        <f t="shared" si="0"/>
        <v>162</v>
      </c>
      <c r="M13" s="317">
        <f t="shared" si="41"/>
        <v>0</v>
      </c>
      <c r="N13" s="317">
        <f t="shared" si="1"/>
        <v>3</v>
      </c>
      <c r="O13" s="317">
        <f t="shared" si="1"/>
        <v>6</v>
      </c>
      <c r="P13" s="317">
        <f t="shared" si="42"/>
        <v>37</v>
      </c>
      <c r="Q13" s="317">
        <f t="shared" si="2"/>
        <v>45</v>
      </c>
      <c r="R13" s="317">
        <f t="shared" si="2"/>
        <v>38</v>
      </c>
      <c r="S13" s="110">
        <v>40</v>
      </c>
      <c r="T13" s="111">
        <f t="shared" si="43"/>
        <v>169</v>
      </c>
      <c r="U13" s="317">
        <f t="shared" si="44"/>
        <v>1</v>
      </c>
      <c r="V13" s="317">
        <f t="shared" si="3"/>
        <v>2</v>
      </c>
      <c r="W13" s="317">
        <f t="shared" si="3"/>
        <v>8</v>
      </c>
      <c r="X13" s="317">
        <f t="shared" si="45"/>
        <v>45</v>
      </c>
      <c r="Y13" s="317">
        <f t="shared" si="4"/>
        <v>38</v>
      </c>
      <c r="Z13" s="317">
        <f t="shared" si="4"/>
        <v>40</v>
      </c>
      <c r="AA13" s="110">
        <v>80</v>
      </c>
      <c r="AB13" s="111">
        <f t="shared" si="46"/>
        <v>214</v>
      </c>
      <c r="AC13" s="317">
        <f t="shared" si="47"/>
        <v>1</v>
      </c>
      <c r="AD13" s="317">
        <f t="shared" si="5"/>
        <v>2</v>
      </c>
      <c r="AE13" s="317">
        <f t="shared" si="6"/>
        <v>9</v>
      </c>
      <c r="AF13" s="317">
        <f t="shared" si="48"/>
        <v>38</v>
      </c>
      <c r="AG13" s="317">
        <f t="shared" si="7"/>
        <v>40</v>
      </c>
      <c r="AH13" s="317">
        <f t="shared" si="8"/>
        <v>80</v>
      </c>
      <c r="AI13" s="110">
        <v>80</v>
      </c>
      <c r="AJ13" s="111">
        <f t="shared" si="49"/>
        <v>250</v>
      </c>
      <c r="AK13" s="317">
        <f t="shared" si="50"/>
        <v>1</v>
      </c>
      <c r="AL13" s="317">
        <f t="shared" si="9"/>
        <v>2</v>
      </c>
      <c r="AM13" s="317">
        <f t="shared" si="10"/>
        <v>8</v>
      </c>
      <c r="AN13" s="317">
        <f t="shared" si="51"/>
        <v>40</v>
      </c>
      <c r="AO13" s="317">
        <f t="shared" si="11"/>
        <v>80</v>
      </c>
      <c r="AP13" s="317">
        <f t="shared" si="12"/>
        <v>80</v>
      </c>
      <c r="AQ13" s="110">
        <v>80</v>
      </c>
      <c r="AR13" s="111">
        <f t="shared" si="52"/>
        <v>291</v>
      </c>
      <c r="AS13" s="317">
        <f t="shared" si="53"/>
        <v>1</v>
      </c>
      <c r="AT13" s="317">
        <f t="shared" si="13"/>
        <v>2</v>
      </c>
      <c r="AU13" s="317">
        <f t="shared" si="14"/>
        <v>8</v>
      </c>
      <c r="AV13" s="317">
        <f t="shared" si="54"/>
        <v>80</v>
      </c>
      <c r="AW13" s="317">
        <f t="shared" si="15"/>
        <v>80</v>
      </c>
      <c r="AX13" s="317">
        <f t="shared" si="16"/>
        <v>80</v>
      </c>
      <c r="AY13" s="110">
        <v>80</v>
      </c>
      <c r="AZ13" s="111">
        <f t="shared" si="55"/>
        <v>331</v>
      </c>
      <c r="BA13" s="317">
        <f t="shared" si="56"/>
        <v>1</v>
      </c>
      <c r="BB13" s="317">
        <f t="shared" si="17"/>
        <v>2</v>
      </c>
      <c r="BC13" s="317">
        <f t="shared" si="18"/>
        <v>16</v>
      </c>
      <c r="BD13" s="317">
        <f t="shared" si="57"/>
        <v>80</v>
      </c>
      <c r="BE13" s="317">
        <f t="shared" si="19"/>
        <v>80</v>
      </c>
      <c r="BF13" s="317">
        <f t="shared" si="20"/>
        <v>80</v>
      </c>
      <c r="BG13" s="110">
        <v>80</v>
      </c>
      <c r="BH13" s="111">
        <f t="shared" si="58"/>
        <v>339</v>
      </c>
      <c r="BI13" s="317">
        <f t="shared" si="59"/>
        <v>1</v>
      </c>
      <c r="BJ13" s="317">
        <f t="shared" si="21"/>
        <v>4</v>
      </c>
      <c r="BK13" s="317">
        <f t="shared" si="22"/>
        <v>16</v>
      </c>
      <c r="BL13" s="317">
        <f t="shared" si="60"/>
        <v>80</v>
      </c>
      <c r="BM13" s="317">
        <f t="shared" si="23"/>
        <v>80</v>
      </c>
      <c r="BN13" s="317">
        <f t="shared" si="24"/>
        <v>80</v>
      </c>
      <c r="BO13" s="110">
        <v>80</v>
      </c>
      <c r="BP13" s="111">
        <f t="shared" si="61"/>
        <v>341</v>
      </c>
      <c r="BQ13" s="317">
        <f t="shared" si="62"/>
        <v>1</v>
      </c>
      <c r="BR13" s="317">
        <f t="shared" si="25"/>
        <v>4</v>
      </c>
      <c r="BS13" s="317">
        <f t="shared" si="26"/>
        <v>16</v>
      </c>
      <c r="BT13" s="317">
        <f t="shared" si="63"/>
        <v>80</v>
      </c>
      <c r="BU13" s="317">
        <f t="shared" si="27"/>
        <v>80</v>
      </c>
      <c r="BV13" s="317">
        <f t="shared" si="28"/>
        <v>80</v>
      </c>
      <c r="BW13" s="110">
        <v>80</v>
      </c>
      <c r="BX13" s="111">
        <f t="shared" si="64"/>
        <v>341</v>
      </c>
      <c r="BY13" s="317">
        <f t="shared" si="65"/>
        <v>1</v>
      </c>
      <c r="BZ13" s="317">
        <f t="shared" si="29"/>
        <v>4</v>
      </c>
      <c r="CA13" s="317">
        <f t="shared" si="30"/>
        <v>16</v>
      </c>
      <c r="CB13" s="317">
        <f t="shared" si="66"/>
        <v>80</v>
      </c>
      <c r="CC13" s="317">
        <f t="shared" si="31"/>
        <v>80</v>
      </c>
      <c r="CD13" s="317">
        <f t="shared" si="32"/>
        <v>80</v>
      </c>
      <c r="CE13" s="110">
        <v>80</v>
      </c>
      <c r="CF13" s="111">
        <f t="shared" si="67"/>
        <v>341</v>
      </c>
      <c r="CG13" s="317">
        <f t="shared" si="68"/>
        <v>1</v>
      </c>
      <c r="CH13" s="317">
        <f t="shared" si="33"/>
        <v>4</v>
      </c>
      <c r="CI13" s="317">
        <f t="shared" si="34"/>
        <v>16</v>
      </c>
      <c r="CJ13" s="317">
        <f t="shared" si="69"/>
        <v>80</v>
      </c>
      <c r="CK13" s="317">
        <f t="shared" si="35"/>
        <v>80</v>
      </c>
      <c r="CL13" s="317">
        <f t="shared" si="36"/>
        <v>80</v>
      </c>
      <c r="CM13" s="110">
        <v>80</v>
      </c>
      <c r="CN13" s="111">
        <f t="shared" si="70"/>
        <v>341</v>
      </c>
      <c r="CO13" s="317">
        <f t="shared" si="71"/>
        <v>1</v>
      </c>
      <c r="CP13" s="317">
        <f t="shared" si="37"/>
        <v>4</v>
      </c>
      <c r="CQ13" s="317">
        <f t="shared" si="38"/>
        <v>16</v>
      </c>
      <c r="CR13" s="317">
        <f t="shared" si="72"/>
        <v>80</v>
      </c>
      <c r="CS13" s="317">
        <f t="shared" si="39"/>
        <v>80</v>
      </c>
      <c r="CT13" s="317">
        <f t="shared" si="40"/>
        <v>80</v>
      </c>
      <c r="CU13" s="110">
        <v>80</v>
      </c>
      <c r="CV13" s="111">
        <f t="shared" si="73"/>
        <v>341</v>
      </c>
    </row>
    <row r="14" spans="1:100" ht="14.1">
      <c r="A14" s="317">
        <f t="shared" si="74"/>
        <v>12</v>
      </c>
      <c r="B14" s="17" t="s">
        <v>2888</v>
      </c>
      <c r="C14" s="107">
        <v>0.2</v>
      </c>
      <c r="D14" s="12"/>
      <c r="E14" s="12"/>
      <c r="F14" s="12"/>
      <c r="G14" s="12"/>
      <c r="H14" s="12"/>
      <c r="I14" s="12"/>
      <c r="J14" s="12"/>
      <c r="K14" s="108"/>
      <c r="L14" s="108"/>
      <c r="M14" s="317"/>
      <c r="N14" s="317"/>
      <c r="O14" s="317"/>
      <c r="P14" s="317"/>
      <c r="Q14" s="317"/>
      <c r="R14" s="317"/>
      <c r="S14" s="110"/>
      <c r="T14" s="108"/>
      <c r="U14" s="317">
        <f t="shared" ref="U14:U16" si="75">ROUNDUP(N14*$C14,0)</f>
        <v>0</v>
      </c>
      <c r="V14" s="317">
        <f t="shared" ref="V14:V16" si="76">ROUNDUP(O14*$C14,0)</f>
        <v>0</v>
      </c>
      <c r="W14" s="317">
        <f t="shared" ref="W14:W16" si="77">ROUNDUP(P14*$C14,0)</f>
        <v>0</v>
      </c>
      <c r="X14" s="317">
        <f t="shared" ref="X14:X16" si="78">Q14</f>
        <v>0</v>
      </c>
      <c r="Y14" s="317">
        <f t="shared" ref="Y14:Y16" si="79">R14</f>
        <v>0</v>
      </c>
      <c r="Z14" s="317">
        <f t="shared" ref="Z14:Z16" si="80">S14</f>
        <v>0</v>
      </c>
      <c r="AA14" s="110">
        <v>80</v>
      </c>
      <c r="AB14" s="111">
        <f t="shared" ref="AB14:AB16" si="81">SUM(U14:AA14)</f>
        <v>80</v>
      </c>
      <c r="AC14" s="317">
        <f t="shared" ref="AC14:AC16" si="82">ROUNDUP(V14*$C14,0)</f>
        <v>0</v>
      </c>
      <c r="AD14" s="317">
        <f t="shared" ref="AD14:AD16" si="83">ROUNDUP(W14*$C14,0)</f>
        <v>0</v>
      </c>
      <c r="AE14" s="317">
        <f t="shared" ref="AE14:AE16" si="84">ROUNDUP(X14*$C14,0)</f>
        <v>0</v>
      </c>
      <c r="AF14" s="317">
        <f t="shared" ref="AF14:AF16" si="85">Y14</f>
        <v>0</v>
      </c>
      <c r="AG14" s="317">
        <f t="shared" ref="AG14:AG16" si="86">Z14</f>
        <v>0</v>
      </c>
      <c r="AH14" s="317">
        <f t="shared" ref="AH14:AH16" si="87">AA14</f>
        <v>80</v>
      </c>
      <c r="AI14" s="110">
        <v>80</v>
      </c>
      <c r="AJ14" s="111">
        <f t="shared" ref="AJ14:AJ16" si="88">SUM(AC14:AI14)</f>
        <v>160</v>
      </c>
      <c r="AK14" s="317">
        <f t="shared" ref="AK14:AK16" si="89">ROUNDUP(AD14*$C14,0)</f>
        <v>0</v>
      </c>
      <c r="AL14" s="317">
        <f t="shared" ref="AL14:AL16" si="90">ROUNDUP(AE14*$C14,0)</f>
        <v>0</v>
      </c>
      <c r="AM14" s="317">
        <f t="shared" ref="AM14:AM16" si="91">ROUNDUP(AF14*$C14,0)</f>
        <v>0</v>
      </c>
      <c r="AN14" s="317">
        <f t="shared" ref="AN14:AN16" si="92">AG14</f>
        <v>0</v>
      </c>
      <c r="AO14" s="317">
        <f t="shared" ref="AO14:AO16" si="93">AH14</f>
        <v>80</v>
      </c>
      <c r="AP14" s="317">
        <f t="shared" ref="AP14:AP16" si="94">AI14</f>
        <v>80</v>
      </c>
      <c r="AQ14" s="110">
        <v>80</v>
      </c>
      <c r="AR14" s="111">
        <f t="shared" ref="AR14:AR16" si="95">SUM(AK14:AQ14)</f>
        <v>240</v>
      </c>
      <c r="AS14" s="317">
        <f t="shared" ref="AS14:AS20" si="96">ROUNDUP(AL14*$C14,0)</f>
        <v>0</v>
      </c>
      <c r="AT14" s="317">
        <f t="shared" ref="AT14:AT20" si="97">ROUNDUP(AM14*$C14,0)</f>
        <v>0</v>
      </c>
      <c r="AU14" s="317">
        <f t="shared" ref="AU14:AU20" si="98">ROUNDUP(AN14*$C14,0)</f>
        <v>0</v>
      </c>
      <c r="AV14" s="317">
        <f t="shared" ref="AV14:AV20" si="99">AO14</f>
        <v>80</v>
      </c>
      <c r="AW14" s="317">
        <f t="shared" ref="AW14:AW20" si="100">AP14</f>
        <v>80</v>
      </c>
      <c r="AX14" s="317">
        <f t="shared" ref="AX14:AX20" si="101">AQ14</f>
        <v>80</v>
      </c>
      <c r="AY14" s="110">
        <v>80</v>
      </c>
      <c r="AZ14" s="111">
        <f t="shared" ref="AZ14:AZ20" si="102">SUM(AS14:AY14)</f>
        <v>320</v>
      </c>
      <c r="BA14" s="317">
        <f t="shared" ref="BA14:BA20" si="103">ROUNDUP(AT14*$C14,0)</f>
        <v>0</v>
      </c>
      <c r="BB14" s="317">
        <f t="shared" ref="BB14:BB20" si="104">ROUNDUP(AU14*$C14,0)</f>
        <v>0</v>
      </c>
      <c r="BC14" s="317">
        <f t="shared" ref="BC14:BC20" si="105">ROUNDUP(AV14*$C14,0)</f>
        <v>16</v>
      </c>
      <c r="BD14" s="317">
        <f t="shared" ref="BD14:BD20" si="106">AW14</f>
        <v>80</v>
      </c>
      <c r="BE14" s="317">
        <f t="shared" ref="BE14:BE20" si="107">AX14</f>
        <v>80</v>
      </c>
      <c r="BF14" s="317">
        <f t="shared" ref="BF14:BF20" si="108">AY14</f>
        <v>80</v>
      </c>
      <c r="BG14" s="110">
        <v>80</v>
      </c>
      <c r="BH14" s="111">
        <f t="shared" ref="BH14:BH20" si="109">SUM(BA14:BG14)</f>
        <v>336</v>
      </c>
      <c r="BI14" s="317">
        <f t="shared" si="59"/>
        <v>0</v>
      </c>
      <c r="BJ14" s="317">
        <f t="shared" si="21"/>
        <v>4</v>
      </c>
      <c r="BK14" s="317">
        <f t="shared" si="22"/>
        <v>16</v>
      </c>
      <c r="BL14" s="317">
        <f t="shared" si="60"/>
        <v>80</v>
      </c>
      <c r="BM14" s="317">
        <f t="shared" si="23"/>
        <v>80</v>
      </c>
      <c r="BN14" s="317">
        <f t="shared" si="24"/>
        <v>80</v>
      </c>
      <c r="BO14" s="110">
        <v>80</v>
      </c>
      <c r="BP14" s="111">
        <f t="shared" si="61"/>
        <v>340</v>
      </c>
      <c r="BQ14" s="317">
        <f t="shared" si="62"/>
        <v>1</v>
      </c>
      <c r="BR14" s="317">
        <f t="shared" si="25"/>
        <v>4</v>
      </c>
      <c r="BS14" s="317">
        <f t="shared" si="26"/>
        <v>16</v>
      </c>
      <c r="BT14" s="317">
        <f t="shared" si="63"/>
        <v>80</v>
      </c>
      <c r="BU14" s="317">
        <f t="shared" si="27"/>
        <v>80</v>
      </c>
      <c r="BV14" s="317">
        <f t="shared" si="28"/>
        <v>80</v>
      </c>
      <c r="BW14" s="110">
        <v>80</v>
      </c>
      <c r="BX14" s="111">
        <f t="shared" si="64"/>
        <v>341</v>
      </c>
      <c r="BY14" s="317">
        <f t="shared" si="65"/>
        <v>1</v>
      </c>
      <c r="BZ14" s="317">
        <f t="shared" si="29"/>
        <v>4</v>
      </c>
      <c r="CA14" s="317">
        <f t="shared" si="30"/>
        <v>16</v>
      </c>
      <c r="CB14" s="317">
        <f t="shared" si="66"/>
        <v>80</v>
      </c>
      <c r="CC14" s="317">
        <f t="shared" si="31"/>
        <v>80</v>
      </c>
      <c r="CD14" s="317">
        <f t="shared" si="32"/>
        <v>80</v>
      </c>
      <c r="CE14" s="110">
        <v>80</v>
      </c>
      <c r="CF14" s="111">
        <f t="shared" si="67"/>
        <v>341</v>
      </c>
      <c r="CG14" s="317">
        <f t="shared" si="68"/>
        <v>1</v>
      </c>
      <c r="CH14" s="317">
        <f t="shared" si="33"/>
        <v>4</v>
      </c>
      <c r="CI14" s="317">
        <f t="shared" si="34"/>
        <v>16</v>
      </c>
      <c r="CJ14" s="317">
        <f t="shared" si="69"/>
        <v>80</v>
      </c>
      <c r="CK14" s="317">
        <f t="shared" si="35"/>
        <v>80</v>
      </c>
      <c r="CL14" s="317">
        <f t="shared" si="36"/>
        <v>80</v>
      </c>
      <c r="CM14" s="110">
        <v>80</v>
      </c>
      <c r="CN14" s="111">
        <f t="shared" si="70"/>
        <v>341</v>
      </c>
      <c r="CO14" s="317">
        <f t="shared" si="71"/>
        <v>1</v>
      </c>
      <c r="CP14" s="317">
        <f t="shared" si="37"/>
        <v>4</v>
      </c>
      <c r="CQ14" s="317">
        <f t="shared" si="38"/>
        <v>16</v>
      </c>
      <c r="CR14" s="317">
        <f t="shared" si="72"/>
        <v>80</v>
      </c>
      <c r="CS14" s="317">
        <f t="shared" si="39"/>
        <v>80</v>
      </c>
      <c r="CT14" s="317">
        <f t="shared" si="40"/>
        <v>80</v>
      </c>
      <c r="CU14" s="110">
        <v>80</v>
      </c>
      <c r="CV14" s="111">
        <f t="shared" si="73"/>
        <v>341</v>
      </c>
    </row>
    <row r="15" spans="1:100" ht="14.1">
      <c r="A15" s="317">
        <f t="shared" si="74"/>
        <v>13</v>
      </c>
      <c r="B15" s="17" t="s">
        <v>2888</v>
      </c>
      <c r="C15" s="107">
        <v>0.2</v>
      </c>
      <c r="D15" s="12"/>
      <c r="E15" s="12"/>
      <c r="F15" s="12"/>
      <c r="G15" s="12"/>
      <c r="H15" s="12"/>
      <c r="I15" s="12"/>
      <c r="J15" s="12"/>
      <c r="K15" s="108"/>
      <c r="L15" s="108"/>
      <c r="M15" s="317"/>
      <c r="N15" s="317"/>
      <c r="O15" s="317"/>
      <c r="P15" s="317"/>
      <c r="Q15" s="317"/>
      <c r="R15" s="317"/>
      <c r="S15" s="110"/>
      <c r="T15" s="108"/>
      <c r="U15" s="317">
        <f t="shared" si="75"/>
        <v>0</v>
      </c>
      <c r="V15" s="317">
        <f t="shared" si="76"/>
        <v>0</v>
      </c>
      <c r="W15" s="317">
        <f t="shared" si="77"/>
        <v>0</v>
      </c>
      <c r="X15" s="317">
        <f t="shared" si="78"/>
        <v>0</v>
      </c>
      <c r="Y15" s="317">
        <f t="shared" si="79"/>
        <v>0</v>
      </c>
      <c r="Z15" s="317">
        <f t="shared" si="80"/>
        <v>0</v>
      </c>
      <c r="AA15" s="110">
        <v>80</v>
      </c>
      <c r="AB15" s="111">
        <f t="shared" si="81"/>
        <v>80</v>
      </c>
      <c r="AC15" s="317">
        <f t="shared" si="82"/>
        <v>0</v>
      </c>
      <c r="AD15" s="317">
        <f t="shared" si="83"/>
        <v>0</v>
      </c>
      <c r="AE15" s="317">
        <f t="shared" si="84"/>
        <v>0</v>
      </c>
      <c r="AF15" s="317">
        <f t="shared" si="85"/>
        <v>0</v>
      </c>
      <c r="AG15" s="317">
        <f t="shared" si="86"/>
        <v>0</v>
      </c>
      <c r="AH15" s="317">
        <f t="shared" si="87"/>
        <v>80</v>
      </c>
      <c r="AI15" s="110">
        <v>80</v>
      </c>
      <c r="AJ15" s="111">
        <f t="shared" si="88"/>
        <v>160</v>
      </c>
      <c r="AK15" s="317">
        <f t="shared" si="89"/>
        <v>0</v>
      </c>
      <c r="AL15" s="317">
        <f t="shared" si="90"/>
        <v>0</v>
      </c>
      <c r="AM15" s="317">
        <f t="shared" si="91"/>
        <v>0</v>
      </c>
      <c r="AN15" s="317">
        <f t="shared" si="92"/>
        <v>0</v>
      </c>
      <c r="AO15" s="317">
        <f t="shared" si="93"/>
        <v>80</v>
      </c>
      <c r="AP15" s="317">
        <f t="shared" si="94"/>
        <v>80</v>
      </c>
      <c r="AQ15" s="110">
        <v>80</v>
      </c>
      <c r="AR15" s="111">
        <f t="shared" si="95"/>
        <v>240</v>
      </c>
      <c r="AS15" s="317">
        <f t="shared" si="96"/>
        <v>0</v>
      </c>
      <c r="AT15" s="317">
        <f t="shared" si="97"/>
        <v>0</v>
      </c>
      <c r="AU15" s="317">
        <f t="shared" si="98"/>
        <v>0</v>
      </c>
      <c r="AV15" s="317">
        <f t="shared" si="99"/>
        <v>80</v>
      </c>
      <c r="AW15" s="317">
        <f t="shared" si="100"/>
        <v>80</v>
      </c>
      <c r="AX15" s="317">
        <f t="shared" si="101"/>
        <v>80</v>
      </c>
      <c r="AY15" s="110">
        <v>80</v>
      </c>
      <c r="AZ15" s="111">
        <f t="shared" si="102"/>
        <v>320</v>
      </c>
      <c r="BA15" s="317">
        <f t="shared" si="103"/>
        <v>0</v>
      </c>
      <c r="BB15" s="317">
        <f t="shared" si="104"/>
        <v>0</v>
      </c>
      <c r="BC15" s="317">
        <f t="shared" si="105"/>
        <v>16</v>
      </c>
      <c r="BD15" s="317">
        <f t="shared" si="106"/>
        <v>80</v>
      </c>
      <c r="BE15" s="317">
        <f t="shared" si="107"/>
        <v>80</v>
      </c>
      <c r="BF15" s="317">
        <f t="shared" si="108"/>
        <v>80</v>
      </c>
      <c r="BG15" s="110">
        <v>80</v>
      </c>
      <c r="BH15" s="111">
        <f t="shared" si="109"/>
        <v>336</v>
      </c>
      <c r="BI15" s="317">
        <f t="shared" si="59"/>
        <v>0</v>
      </c>
      <c r="BJ15" s="317">
        <f t="shared" si="21"/>
        <v>4</v>
      </c>
      <c r="BK15" s="317">
        <f t="shared" si="22"/>
        <v>16</v>
      </c>
      <c r="BL15" s="317">
        <f t="shared" si="60"/>
        <v>80</v>
      </c>
      <c r="BM15" s="317">
        <f t="shared" si="23"/>
        <v>80</v>
      </c>
      <c r="BN15" s="317">
        <f t="shared" si="24"/>
        <v>80</v>
      </c>
      <c r="BO15" s="110">
        <v>80</v>
      </c>
      <c r="BP15" s="111">
        <f t="shared" si="61"/>
        <v>340</v>
      </c>
      <c r="BQ15" s="317">
        <f t="shared" si="62"/>
        <v>1</v>
      </c>
      <c r="BR15" s="317">
        <f t="shared" si="25"/>
        <v>4</v>
      </c>
      <c r="BS15" s="317">
        <f t="shared" si="26"/>
        <v>16</v>
      </c>
      <c r="BT15" s="317">
        <f t="shared" si="63"/>
        <v>80</v>
      </c>
      <c r="BU15" s="317">
        <f t="shared" si="27"/>
        <v>80</v>
      </c>
      <c r="BV15" s="317">
        <f t="shared" si="28"/>
        <v>80</v>
      </c>
      <c r="BW15" s="110">
        <v>80</v>
      </c>
      <c r="BX15" s="111">
        <f t="shared" si="64"/>
        <v>341</v>
      </c>
      <c r="BY15" s="317">
        <f t="shared" si="65"/>
        <v>1</v>
      </c>
      <c r="BZ15" s="317">
        <f t="shared" si="29"/>
        <v>4</v>
      </c>
      <c r="CA15" s="317">
        <f t="shared" si="30"/>
        <v>16</v>
      </c>
      <c r="CB15" s="317">
        <f t="shared" si="66"/>
        <v>80</v>
      </c>
      <c r="CC15" s="317">
        <f t="shared" si="31"/>
        <v>80</v>
      </c>
      <c r="CD15" s="317">
        <f t="shared" si="32"/>
        <v>80</v>
      </c>
      <c r="CE15" s="110">
        <v>80</v>
      </c>
      <c r="CF15" s="111">
        <f t="shared" si="67"/>
        <v>341</v>
      </c>
      <c r="CG15" s="317">
        <f t="shared" si="68"/>
        <v>1</v>
      </c>
      <c r="CH15" s="317">
        <f t="shared" si="33"/>
        <v>4</v>
      </c>
      <c r="CI15" s="317">
        <f t="shared" si="34"/>
        <v>16</v>
      </c>
      <c r="CJ15" s="317">
        <f t="shared" si="69"/>
        <v>80</v>
      </c>
      <c r="CK15" s="317">
        <f t="shared" si="35"/>
        <v>80</v>
      </c>
      <c r="CL15" s="317">
        <f t="shared" si="36"/>
        <v>80</v>
      </c>
      <c r="CM15" s="110">
        <v>80</v>
      </c>
      <c r="CN15" s="111">
        <f t="shared" si="70"/>
        <v>341</v>
      </c>
      <c r="CO15" s="317">
        <f t="shared" si="71"/>
        <v>1</v>
      </c>
      <c r="CP15" s="317">
        <f t="shared" si="37"/>
        <v>4</v>
      </c>
      <c r="CQ15" s="317">
        <f t="shared" si="38"/>
        <v>16</v>
      </c>
      <c r="CR15" s="317">
        <f t="shared" si="72"/>
        <v>80</v>
      </c>
      <c r="CS15" s="317">
        <f t="shared" si="39"/>
        <v>80</v>
      </c>
      <c r="CT15" s="317">
        <f t="shared" si="40"/>
        <v>80</v>
      </c>
      <c r="CU15" s="110">
        <v>80</v>
      </c>
      <c r="CV15" s="111">
        <f t="shared" si="73"/>
        <v>341</v>
      </c>
    </row>
    <row r="16" spans="1:100" ht="14.1">
      <c r="A16" s="317">
        <f t="shared" si="74"/>
        <v>14</v>
      </c>
      <c r="B16" s="17" t="s">
        <v>2888</v>
      </c>
      <c r="C16" s="107">
        <v>0.2</v>
      </c>
      <c r="D16" s="12"/>
      <c r="E16" s="12"/>
      <c r="F16" s="12"/>
      <c r="G16" s="12"/>
      <c r="H16" s="12"/>
      <c r="I16" s="12"/>
      <c r="J16" s="12"/>
      <c r="K16" s="108"/>
      <c r="L16" s="108"/>
      <c r="M16" s="317"/>
      <c r="N16" s="317"/>
      <c r="O16" s="317"/>
      <c r="P16" s="317"/>
      <c r="Q16" s="317"/>
      <c r="R16" s="317"/>
      <c r="S16" s="110"/>
      <c r="T16" s="108"/>
      <c r="U16" s="317">
        <f t="shared" si="75"/>
        <v>0</v>
      </c>
      <c r="V16" s="317">
        <f t="shared" si="76"/>
        <v>0</v>
      </c>
      <c r="W16" s="317">
        <f t="shared" si="77"/>
        <v>0</v>
      </c>
      <c r="X16" s="317">
        <f t="shared" si="78"/>
        <v>0</v>
      </c>
      <c r="Y16" s="317">
        <f t="shared" si="79"/>
        <v>0</v>
      </c>
      <c r="Z16" s="317">
        <f t="shared" si="80"/>
        <v>0</v>
      </c>
      <c r="AA16" s="110">
        <v>80</v>
      </c>
      <c r="AB16" s="111">
        <f t="shared" si="81"/>
        <v>80</v>
      </c>
      <c r="AC16" s="317">
        <f t="shared" si="82"/>
        <v>0</v>
      </c>
      <c r="AD16" s="317">
        <f t="shared" si="83"/>
        <v>0</v>
      </c>
      <c r="AE16" s="317">
        <f t="shared" si="84"/>
        <v>0</v>
      </c>
      <c r="AF16" s="317">
        <f t="shared" si="85"/>
        <v>0</v>
      </c>
      <c r="AG16" s="317">
        <f t="shared" si="86"/>
        <v>0</v>
      </c>
      <c r="AH16" s="317">
        <f t="shared" si="87"/>
        <v>80</v>
      </c>
      <c r="AI16" s="110">
        <v>80</v>
      </c>
      <c r="AJ16" s="111">
        <f t="shared" si="88"/>
        <v>160</v>
      </c>
      <c r="AK16" s="317">
        <f t="shared" si="89"/>
        <v>0</v>
      </c>
      <c r="AL16" s="317">
        <f t="shared" si="90"/>
        <v>0</v>
      </c>
      <c r="AM16" s="317">
        <f t="shared" si="91"/>
        <v>0</v>
      </c>
      <c r="AN16" s="317">
        <f t="shared" si="92"/>
        <v>0</v>
      </c>
      <c r="AO16" s="317">
        <f t="shared" si="93"/>
        <v>80</v>
      </c>
      <c r="AP16" s="317">
        <f t="shared" si="94"/>
        <v>80</v>
      </c>
      <c r="AQ16" s="110">
        <v>80</v>
      </c>
      <c r="AR16" s="111">
        <f t="shared" si="95"/>
        <v>240</v>
      </c>
      <c r="AS16" s="317">
        <f t="shared" si="96"/>
        <v>0</v>
      </c>
      <c r="AT16" s="317">
        <f t="shared" si="97"/>
        <v>0</v>
      </c>
      <c r="AU16" s="317">
        <f t="shared" si="98"/>
        <v>0</v>
      </c>
      <c r="AV16" s="317">
        <f t="shared" si="99"/>
        <v>80</v>
      </c>
      <c r="AW16" s="317">
        <f t="shared" si="100"/>
        <v>80</v>
      </c>
      <c r="AX16" s="317">
        <f t="shared" si="101"/>
        <v>80</v>
      </c>
      <c r="AY16" s="110">
        <v>80</v>
      </c>
      <c r="AZ16" s="111">
        <f t="shared" si="102"/>
        <v>320</v>
      </c>
      <c r="BA16" s="317">
        <f t="shared" si="103"/>
        <v>0</v>
      </c>
      <c r="BB16" s="317">
        <f t="shared" si="104"/>
        <v>0</v>
      </c>
      <c r="BC16" s="317">
        <f t="shared" si="105"/>
        <v>16</v>
      </c>
      <c r="BD16" s="317">
        <f t="shared" si="106"/>
        <v>80</v>
      </c>
      <c r="BE16" s="317">
        <f t="shared" si="107"/>
        <v>80</v>
      </c>
      <c r="BF16" s="317">
        <f t="shared" si="108"/>
        <v>80</v>
      </c>
      <c r="BG16" s="110">
        <v>80</v>
      </c>
      <c r="BH16" s="111">
        <f t="shared" si="109"/>
        <v>336</v>
      </c>
      <c r="BI16" s="317">
        <f t="shared" si="59"/>
        <v>0</v>
      </c>
      <c r="BJ16" s="317">
        <f t="shared" si="21"/>
        <v>4</v>
      </c>
      <c r="BK16" s="317">
        <f t="shared" si="22"/>
        <v>16</v>
      </c>
      <c r="BL16" s="317">
        <f t="shared" si="60"/>
        <v>80</v>
      </c>
      <c r="BM16" s="317">
        <f t="shared" si="23"/>
        <v>80</v>
      </c>
      <c r="BN16" s="317">
        <f t="shared" si="24"/>
        <v>80</v>
      </c>
      <c r="BO16" s="110">
        <v>80</v>
      </c>
      <c r="BP16" s="111">
        <f t="shared" si="61"/>
        <v>340</v>
      </c>
      <c r="BQ16" s="317">
        <f t="shared" si="62"/>
        <v>1</v>
      </c>
      <c r="BR16" s="317">
        <f t="shared" si="25"/>
        <v>4</v>
      </c>
      <c r="BS16" s="317">
        <f t="shared" si="26"/>
        <v>16</v>
      </c>
      <c r="BT16" s="317">
        <f t="shared" si="63"/>
        <v>80</v>
      </c>
      <c r="BU16" s="317">
        <f t="shared" si="27"/>
        <v>80</v>
      </c>
      <c r="BV16" s="317">
        <f t="shared" si="28"/>
        <v>80</v>
      </c>
      <c r="BW16" s="110">
        <v>80</v>
      </c>
      <c r="BX16" s="111">
        <f t="shared" si="64"/>
        <v>341</v>
      </c>
      <c r="BY16" s="317">
        <f t="shared" si="65"/>
        <v>1</v>
      </c>
      <c r="BZ16" s="317">
        <f t="shared" si="29"/>
        <v>4</v>
      </c>
      <c r="CA16" s="317">
        <f t="shared" si="30"/>
        <v>16</v>
      </c>
      <c r="CB16" s="317">
        <f t="shared" si="66"/>
        <v>80</v>
      </c>
      <c r="CC16" s="317">
        <f t="shared" si="31"/>
        <v>80</v>
      </c>
      <c r="CD16" s="317">
        <f t="shared" si="32"/>
        <v>80</v>
      </c>
      <c r="CE16" s="110">
        <v>80</v>
      </c>
      <c r="CF16" s="111">
        <f t="shared" si="67"/>
        <v>341</v>
      </c>
      <c r="CG16" s="317">
        <f t="shared" si="68"/>
        <v>1</v>
      </c>
      <c r="CH16" s="317">
        <f t="shared" si="33"/>
        <v>4</v>
      </c>
      <c r="CI16" s="317">
        <f t="shared" si="34"/>
        <v>16</v>
      </c>
      <c r="CJ16" s="317">
        <f t="shared" si="69"/>
        <v>80</v>
      </c>
      <c r="CK16" s="317">
        <f t="shared" si="35"/>
        <v>80</v>
      </c>
      <c r="CL16" s="317">
        <f t="shared" si="36"/>
        <v>80</v>
      </c>
      <c r="CM16" s="110">
        <v>80</v>
      </c>
      <c r="CN16" s="111">
        <f t="shared" si="70"/>
        <v>341</v>
      </c>
      <c r="CO16" s="317">
        <f t="shared" si="71"/>
        <v>1</v>
      </c>
      <c r="CP16" s="317">
        <f t="shared" si="37"/>
        <v>4</v>
      </c>
      <c r="CQ16" s="317">
        <f t="shared" si="38"/>
        <v>16</v>
      </c>
      <c r="CR16" s="317">
        <f t="shared" si="72"/>
        <v>80</v>
      </c>
      <c r="CS16" s="317">
        <f t="shared" si="39"/>
        <v>80</v>
      </c>
      <c r="CT16" s="317">
        <f t="shared" si="40"/>
        <v>80</v>
      </c>
      <c r="CU16" s="110">
        <v>80</v>
      </c>
      <c r="CV16" s="111">
        <f t="shared" si="73"/>
        <v>341</v>
      </c>
    </row>
    <row r="17" spans="1:100" ht="14.1">
      <c r="A17" s="317">
        <f t="shared" si="74"/>
        <v>15</v>
      </c>
      <c r="B17" s="17" t="s">
        <v>2888</v>
      </c>
      <c r="C17" s="107">
        <v>0.2</v>
      </c>
      <c r="D17" s="12"/>
      <c r="E17" s="12"/>
      <c r="F17" s="12"/>
      <c r="G17" s="12"/>
      <c r="H17" s="12"/>
      <c r="I17" s="12"/>
      <c r="J17" s="12"/>
      <c r="K17" s="108"/>
      <c r="L17" s="108"/>
      <c r="M17" s="317"/>
      <c r="N17" s="317"/>
      <c r="O17" s="317"/>
      <c r="P17" s="317"/>
      <c r="Q17" s="317"/>
      <c r="R17" s="317"/>
      <c r="S17" s="110"/>
      <c r="T17" s="108"/>
      <c r="U17" s="317"/>
      <c r="V17" s="317"/>
      <c r="W17" s="317"/>
      <c r="X17" s="317"/>
      <c r="Y17" s="317"/>
      <c r="Z17" s="317"/>
      <c r="AA17" s="110"/>
      <c r="AB17" s="108"/>
      <c r="AC17" s="317"/>
      <c r="AD17" s="317"/>
      <c r="AE17" s="317"/>
      <c r="AF17" s="317"/>
      <c r="AG17" s="317"/>
      <c r="AH17" s="317"/>
      <c r="AI17" s="110"/>
      <c r="AJ17" s="108"/>
      <c r="AK17" s="317"/>
      <c r="AL17" s="317"/>
      <c r="AM17" s="317"/>
      <c r="AN17" s="317"/>
      <c r="AO17" s="317"/>
      <c r="AP17" s="317"/>
      <c r="AQ17" s="110"/>
      <c r="AR17" s="108"/>
      <c r="AS17" s="317">
        <f t="shared" si="96"/>
        <v>0</v>
      </c>
      <c r="AT17" s="317">
        <f t="shared" si="97"/>
        <v>0</v>
      </c>
      <c r="AU17" s="317">
        <f t="shared" si="98"/>
        <v>0</v>
      </c>
      <c r="AV17" s="317">
        <f t="shared" si="99"/>
        <v>0</v>
      </c>
      <c r="AW17" s="317">
        <f t="shared" si="100"/>
        <v>0</v>
      </c>
      <c r="AX17" s="317">
        <f t="shared" si="101"/>
        <v>0</v>
      </c>
      <c r="AY17" s="110">
        <v>80</v>
      </c>
      <c r="AZ17" s="111">
        <f t="shared" si="102"/>
        <v>80</v>
      </c>
      <c r="BA17" s="317">
        <f t="shared" si="103"/>
        <v>0</v>
      </c>
      <c r="BB17" s="317">
        <f t="shared" si="104"/>
        <v>0</v>
      </c>
      <c r="BC17" s="317">
        <f t="shared" si="105"/>
        <v>0</v>
      </c>
      <c r="BD17" s="317">
        <f t="shared" si="106"/>
        <v>0</v>
      </c>
      <c r="BE17" s="317">
        <f t="shared" si="107"/>
        <v>0</v>
      </c>
      <c r="BF17" s="317">
        <f t="shared" si="108"/>
        <v>80</v>
      </c>
      <c r="BG17" s="110">
        <v>80</v>
      </c>
      <c r="BH17" s="111">
        <f t="shared" si="109"/>
        <v>160</v>
      </c>
      <c r="BI17" s="317">
        <f t="shared" si="59"/>
        <v>0</v>
      </c>
      <c r="BJ17" s="317">
        <f t="shared" si="21"/>
        <v>0</v>
      </c>
      <c r="BK17" s="317">
        <f t="shared" si="22"/>
        <v>0</v>
      </c>
      <c r="BL17" s="317">
        <f t="shared" si="60"/>
        <v>0</v>
      </c>
      <c r="BM17" s="317">
        <f t="shared" si="23"/>
        <v>80</v>
      </c>
      <c r="BN17" s="317">
        <f t="shared" si="24"/>
        <v>80</v>
      </c>
      <c r="BO17" s="110">
        <v>80</v>
      </c>
      <c r="BP17" s="111">
        <f t="shared" si="61"/>
        <v>240</v>
      </c>
      <c r="BQ17" s="317">
        <f t="shared" si="62"/>
        <v>0</v>
      </c>
      <c r="BR17" s="317">
        <f t="shared" si="25"/>
        <v>0</v>
      </c>
      <c r="BS17" s="317">
        <f t="shared" si="26"/>
        <v>0</v>
      </c>
      <c r="BT17" s="317">
        <f t="shared" si="63"/>
        <v>80</v>
      </c>
      <c r="BU17" s="317">
        <f t="shared" si="27"/>
        <v>80</v>
      </c>
      <c r="BV17" s="317">
        <f t="shared" si="28"/>
        <v>80</v>
      </c>
      <c r="BW17" s="110">
        <v>80</v>
      </c>
      <c r="BX17" s="111">
        <f t="shared" si="64"/>
        <v>320</v>
      </c>
      <c r="BY17" s="317">
        <f t="shared" si="65"/>
        <v>0</v>
      </c>
      <c r="BZ17" s="317">
        <f t="shared" si="29"/>
        <v>0</v>
      </c>
      <c r="CA17" s="317">
        <f t="shared" si="30"/>
        <v>16</v>
      </c>
      <c r="CB17" s="317">
        <f t="shared" si="66"/>
        <v>80</v>
      </c>
      <c r="CC17" s="317">
        <f t="shared" si="31"/>
        <v>80</v>
      </c>
      <c r="CD17" s="317">
        <f t="shared" si="32"/>
        <v>80</v>
      </c>
      <c r="CE17" s="110">
        <v>80</v>
      </c>
      <c r="CF17" s="111">
        <f t="shared" si="67"/>
        <v>336</v>
      </c>
      <c r="CG17" s="317">
        <f t="shared" si="68"/>
        <v>0</v>
      </c>
      <c r="CH17" s="317">
        <f t="shared" si="33"/>
        <v>4</v>
      </c>
      <c r="CI17" s="317">
        <f t="shared" si="34"/>
        <v>16</v>
      </c>
      <c r="CJ17" s="317">
        <f t="shared" si="69"/>
        <v>80</v>
      </c>
      <c r="CK17" s="317">
        <f t="shared" si="35"/>
        <v>80</v>
      </c>
      <c r="CL17" s="317">
        <f t="shared" si="36"/>
        <v>80</v>
      </c>
      <c r="CM17" s="110">
        <v>80</v>
      </c>
      <c r="CN17" s="111">
        <f t="shared" si="70"/>
        <v>340</v>
      </c>
      <c r="CO17" s="317">
        <f t="shared" si="71"/>
        <v>1</v>
      </c>
      <c r="CP17" s="317">
        <f t="shared" si="37"/>
        <v>4</v>
      </c>
      <c r="CQ17" s="317">
        <f t="shared" si="38"/>
        <v>16</v>
      </c>
      <c r="CR17" s="317">
        <f t="shared" si="72"/>
        <v>80</v>
      </c>
      <c r="CS17" s="317">
        <f t="shared" si="39"/>
        <v>80</v>
      </c>
      <c r="CT17" s="317">
        <f t="shared" si="40"/>
        <v>80</v>
      </c>
      <c r="CU17" s="110">
        <v>80</v>
      </c>
      <c r="CV17" s="111">
        <f t="shared" si="73"/>
        <v>341</v>
      </c>
    </row>
    <row r="18" spans="1:100" ht="14.1">
      <c r="A18" s="317">
        <f t="shared" si="74"/>
        <v>16</v>
      </c>
      <c r="B18" s="17" t="s">
        <v>2888</v>
      </c>
      <c r="C18" s="107">
        <v>0.2</v>
      </c>
      <c r="D18" s="12"/>
      <c r="E18" s="12"/>
      <c r="F18" s="12"/>
      <c r="G18" s="12"/>
      <c r="H18" s="12"/>
      <c r="I18" s="12"/>
      <c r="J18" s="12"/>
      <c r="K18" s="108"/>
      <c r="L18" s="108"/>
      <c r="M18" s="317"/>
      <c r="N18" s="317"/>
      <c r="O18" s="317"/>
      <c r="P18" s="317"/>
      <c r="Q18" s="317"/>
      <c r="R18" s="317"/>
      <c r="S18" s="110"/>
      <c r="T18" s="108"/>
      <c r="U18" s="317"/>
      <c r="V18" s="317"/>
      <c r="W18" s="317"/>
      <c r="X18" s="317"/>
      <c r="Y18" s="317"/>
      <c r="Z18" s="317"/>
      <c r="AA18" s="110"/>
      <c r="AB18" s="108"/>
      <c r="AC18" s="317"/>
      <c r="AD18" s="317"/>
      <c r="AE18" s="317"/>
      <c r="AF18" s="317"/>
      <c r="AG18" s="317"/>
      <c r="AH18" s="317"/>
      <c r="AI18" s="110"/>
      <c r="AJ18" s="108"/>
      <c r="AK18" s="317"/>
      <c r="AL18" s="317"/>
      <c r="AM18" s="317"/>
      <c r="AN18" s="317"/>
      <c r="AO18" s="317"/>
      <c r="AP18" s="317"/>
      <c r="AQ18" s="110"/>
      <c r="AR18" s="108"/>
      <c r="AS18" s="317">
        <f t="shared" si="96"/>
        <v>0</v>
      </c>
      <c r="AT18" s="317">
        <f t="shared" si="97"/>
        <v>0</v>
      </c>
      <c r="AU18" s="317">
        <f t="shared" si="98"/>
        <v>0</v>
      </c>
      <c r="AV18" s="317">
        <f t="shared" si="99"/>
        <v>0</v>
      </c>
      <c r="AW18" s="317">
        <f t="shared" si="100"/>
        <v>0</v>
      </c>
      <c r="AX18" s="317">
        <f t="shared" si="101"/>
        <v>0</v>
      </c>
      <c r="AY18" s="110">
        <v>80</v>
      </c>
      <c r="AZ18" s="111">
        <f t="shared" si="102"/>
        <v>80</v>
      </c>
      <c r="BA18" s="317">
        <f t="shared" si="103"/>
        <v>0</v>
      </c>
      <c r="BB18" s="317">
        <f t="shared" si="104"/>
        <v>0</v>
      </c>
      <c r="BC18" s="317">
        <f t="shared" si="105"/>
        <v>0</v>
      </c>
      <c r="BD18" s="317">
        <f t="shared" si="106"/>
        <v>0</v>
      </c>
      <c r="BE18" s="317">
        <f t="shared" si="107"/>
        <v>0</v>
      </c>
      <c r="BF18" s="317">
        <f t="shared" si="108"/>
        <v>80</v>
      </c>
      <c r="BG18" s="110">
        <v>80</v>
      </c>
      <c r="BH18" s="111">
        <f t="shared" si="109"/>
        <v>160</v>
      </c>
      <c r="BI18" s="317">
        <f t="shared" si="59"/>
        <v>0</v>
      </c>
      <c r="BJ18" s="317">
        <f t="shared" si="21"/>
        <v>0</v>
      </c>
      <c r="BK18" s="317">
        <f t="shared" si="22"/>
        <v>0</v>
      </c>
      <c r="BL18" s="317">
        <f t="shared" si="60"/>
        <v>0</v>
      </c>
      <c r="BM18" s="317">
        <f t="shared" si="23"/>
        <v>80</v>
      </c>
      <c r="BN18" s="317">
        <f t="shared" si="24"/>
        <v>80</v>
      </c>
      <c r="BO18" s="110">
        <v>80</v>
      </c>
      <c r="BP18" s="111">
        <f t="shared" si="61"/>
        <v>240</v>
      </c>
      <c r="BQ18" s="317">
        <f t="shared" si="62"/>
        <v>0</v>
      </c>
      <c r="BR18" s="317">
        <f t="shared" si="25"/>
        <v>0</v>
      </c>
      <c r="BS18" s="317">
        <f t="shared" si="26"/>
        <v>0</v>
      </c>
      <c r="BT18" s="317">
        <f t="shared" si="63"/>
        <v>80</v>
      </c>
      <c r="BU18" s="317">
        <f t="shared" si="27"/>
        <v>80</v>
      </c>
      <c r="BV18" s="317">
        <f t="shared" si="28"/>
        <v>80</v>
      </c>
      <c r="BW18" s="110">
        <v>80</v>
      </c>
      <c r="BX18" s="111">
        <f t="shared" si="64"/>
        <v>320</v>
      </c>
      <c r="BY18" s="317">
        <f t="shared" si="65"/>
        <v>0</v>
      </c>
      <c r="BZ18" s="317">
        <f t="shared" si="29"/>
        <v>0</v>
      </c>
      <c r="CA18" s="317">
        <f t="shared" si="30"/>
        <v>16</v>
      </c>
      <c r="CB18" s="317">
        <f t="shared" si="66"/>
        <v>80</v>
      </c>
      <c r="CC18" s="317">
        <f t="shared" si="31"/>
        <v>80</v>
      </c>
      <c r="CD18" s="317">
        <f t="shared" si="32"/>
        <v>80</v>
      </c>
      <c r="CE18" s="110">
        <v>80</v>
      </c>
      <c r="CF18" s="111">
        <f t="shared" si="67"/>
        <v>336</v>
      </c>
      <c r="CG18" s="317">
        <f t="shared" si="68"/>
        <v>0</v>
      </c>
      <c r="CH18" s="317">
        <f t="shared" si="33"/>
        <v>4</v>
      </c>
      <c r="CI18" s="317">
        <f t="shared" si="34"/>
        <v>16</v>
      </c>
      <c r="CJ18" s="317">
        <f t="shared" si="69"/>
        <v>80</v>
      </c>
      <c r="CK18" s="317">
        <f t="shared" si="35"/>
        <v>80</v>
      </c>
      <c r="CL18" s="317">
        <f t="shared" si="36"/>
        <v>80</v>
      </c>
      <c r="CM18" s="110">
        <v>80</v>
      </c>
      <c r="CN18" s="111">
        <f t="shared" si="70"/>
        <v>340</v>
      </c>
      <c r="CO18" s="317">
        <f t="shared" si="71"/>
        <v>1</v>
      </c>
      <c r="CP18" s="317">
        <f t="shared" si="37"/>
        <v>4</v>
      </c>
      <c r="CQ18" s="317">
        <f t="shared" si="38"/>
        <v>16</v>
      </c>
      <c r="CR18" s="317">
        <f t="shared" si="72"/>
        <v>80</v>
      </c>
      <c r="CS18" s="317">
        <f t="shared" si="39"/>
        <v>80</v>
      </c>
      <c r="CT18" s="317">
        <f t="shared" si="40"/>
        <v>80</v>
      </c>
      <c r="CU18" s="110">
        <v>80</v>
      </c>
      <c r="CV18" s="111">
        <f t="shared" si="73"/>
        <v>341</v>
      </c>
    </row>
    <row r="19" spans="1:100" ht="14.1">
      <c r="A19" s="317">
        <f t="shared" si="74"/>
        <v>17</v>
      </c>
      <c r="B19" s="17" t="s">
        <v>2888</v>
      </c>
      <c r="C19" s="107">
        <v>0.2</v>
      </c>
      <c r="D19" s="12"/>
      <c r="E19" s="12"/>
      <c r="F19" s="12"/>
      <c r="G19" s="12"/>
      <c r="H19" s="12"/>
      <c r="I19" s="12"/>
      <c r="J19" s="12"/>
      <c r="K19" s="108"/>
      <c r="L19" s="108"/>
      <c r="M19" s="317"/>
      <c r="N19" s="317"/>
      <c r="O19" s="317"/>
      <c r="P19" s="317"/>
      <c r="Q19" s="317"/>
      <c r="R19" s="317"/>
      <c r="S19" s="110"/>
      <c r="T19" s="108"/>
      <c r="U19" s="317"/>
      <c r="V19" s="317"/>
      <c r="W19" s="317"/>
      <c r="X19" s="317"/>
      <c r="Y19" s="317"/>
      <c r="Z19" s="317"/>
      <c r="AA19" s="110"/>
      <c r="AB19" s="108"/>
      <c r="AC19" s="317"/>
      <c r="AD19" s="317"/>
      <c r="AE19" s="317"/>
      <c r="AF19" s="317"/>
      <c r="AG19" s="317"/>
      <c r="AH19" s="317"/>
      <c r="AI19" s="110"/>
      <c r="AJ19" s="108"/>
      <c r="AK19" s="317"/>
      <c r="AL19" s="317"/>
      <c r="AM19" s="317"/>
      <c r="AN19" s="317"/>
      <c r="AO19" s="317"/>
      <c r="AP19" s="317"/>
      <c r="AQ19" s="110"/>
      <c r="AR19" s="108"/>
      <c r="AS19" s="317">
        <f t="shared" si="96"/>
        <v>0</v>
      </c>
      <c r="AT19" s="317">
        <f t="shared" si="97"/>
        <v>0</v>
      </c>
      <c r="AU19" s="317">
        <f t="shared" si="98"/>
        <v>0</v>
      </c>
      <c r="AV19" s="317">
        <f t="shared" si="99"/>
        <v>0</v>
      </c>
      <c r="AW19" s="317">
        <f t="shared" si="100"/>
        <v>0</v>
      </c>
      <c r="AX19" s="317">
        <f t="shared" si="101"/>
        <v>0</v>
      </c>
      <c r="AY19" s="110">
        <v>80</v>
      </c>
      <c r="AZ19" s="111">
        <f t="shared" si="102"/>
        <v>80</v>
      </c>
      <c r="BA19" s="317">
        <f t="shared" si="103"/>
        <v>0</v>
      </c>
      <c r="BB19" s="317">
        <f t="shared" si="104"/>
        <v>0</v>
      </c>
      <c r="BC19" s="317">
        <f t="shared" si="105"/>
        <v>0</v>
      </c>
      <c r="BD19" s="317">
        <f t="shared" si="106"/>
        <v>0</v>
      </c>
      <c r="BE19" s="317">
        <f t="shared" si="107"/>
        <v>0</v>
      </c>
      <c r="BF19" s="317">
        <f t="shared" si="108"/>
        <v>80</v>
      </c>
      <c r="BG19" s="110">
        <v>80</v>
      </c>
      <c r="BH19" s="111">
        <f t="shared" si="109"/>
        <v>160</v>
      </c>
      <c r="BI19" s="317">
        <f t="shared" si="59"/>
        <v>0</v>
      </c>
      <c r="BJ19" s="317">
        <f t="shared" si="21"/>
        <v>0</v>
      </c>
      <c r="BK19" s="317">
        <f t="shared" si="22"/>
        <v>0</v>
      </c>
      <c r="BL19" s="317">
        <f t="shared" si="60"/>
        <v>0</v>
      </c>
      <c r="BM19" s="317">
        <f t="shared" si="23"/>
        <v>80</v>
      </c>
      <c r="BN19" s="317">
        <f t="shared" si="24"/>
        <v>80</v>
      </c>
      <c r="BO19" s="110">
        <v>80</v>
      </c>
      <c r="BP19" s="111">
        <f t="shared" si="61"/>
        <v>240</v>
      </c>
      <c r="BQ19" s="317">
        <f t="shared" si="62"/>
        <v>0</v>
      </c>
      <c r="BR19" s="317">
        <f t="shared" si="25"/>
        <v>0</v>
      </c>
      <c r="BS19" s="317">
        <f t="shared" si="26"/>
        <v>0</v>
      </c>
      <c r="BT19" s="317">
        <f t="shared" si="63"/>
        <v>80</v>
      </c>
      <c r="BU19" s="317">
        <f t="shared" si="27"/>
        <v>80</v>
      </c>
      <c r="BV19" s="317">
        <f t="shared" si="28"/>
        <v>80</v>
      </c>
      <c r="BW19" s="110">
        <v>80</v>
      </c>
      <c r="BX19" s="111">
        <f t="shared" si="64"/>
        <v>320</v>
      </c>
      <c r="BY19" s="317">
        <f t="shared" si="65"/>
        <v>0</v>
      </c>
      <c r="BZ19" s="317">
        <f t="shared" si="29"/>
        <v>0</v>
      </c>
      <c r="CA19" s="317">
        <f t="shared" si="30"/>
        <v>16</v>
      </c>
      <c r="CB19" s="317">
        <f t="shared" si="66"/>
        <v>80</v>
      </c>
      <c r="CC19" s="317">
        <f t="shared" si="31"/>
        <v>80</v>
      </c>
      <c r="CD19" s="317">
        <f t="shared" si="32"/>
        <v>80</v>
      </c>
      <c r="CE19" s="110">
        <v>80</v>
      </c>
      <c r="CF19" s="111">
        <f t="shared" si="67"/>
        <v>336</v>
      </c>
      <c r="CG19" s="317">
        <f t="shared" si="68"/>
        <v>0</v>
      </c>
      <c r="CH19" s="317">
        <f t="shared" si="33"/>
        <v>4</v>
      </c>
      <c r="CI19" s="317">
        <f t="shared" si="34"/>
        <v>16</v>
      </c>
      <c r="CJ19" s="317">
        <f t="shared" si="69"/>
        <v>80</v>
      </c>
      <c r="CK19" s="317">
        <f t="shared" si="35"/>
        <v>80</v>
      </c>
      <c r="CL19" s="317">
        <f t="shared" si="36"/>
        <v>80</v>
      </c>
      <c r="CM19" s="110">
        <v>80</v>
      </c>
      <c r="CN19" s="111">
        <f t="shared" si="70"/>
        <v>340</v>
      </c>
      <c r="CO19" s="317">
        <f t="shared" si="71"/>
        <v>1</v>
      </c>
      <c r="CP19" s="317">
        <f t="shared" si="37"/>
        <v>4</v>
      </c>
      <c r="CQ19" s="317">
        <f t="shared" si="38"/>
        <v>16</v>
      </c>
      <c r="CR19" s="317">
        <f t="shared" si="72"/>
        <v>80</v>
      </c>
      <c r="CS19" s="317">
        <f t="shared" si="39"/>
        <v>80</v>
      </c>
      <c r="CT19" s="317">
        <f t="shared" si="40"/>
        <v>80</v>
      </c>
      <c r="CU19" s="110">
        <v>80</v>
      </c>
      <c r="CV19" s="111">
        <f t="shared" si="73"/>
        <v>341</v>
      </c>
    </row>
    <row r="20" spans="1:100" ht="14.1">
      <c r="A20" s="317">
        <f t="shared" si="74"/>
        <v>18</v>
      </c>
      <c r="B20" s="17" t="s">
        <v>2888</v>
      </c>
      <c r="C20" s="107">
        <v>0.2</v>
      </c>
      <c r="D20" s="12"/>
      <c r="E20" s="12"/>
      <c r="F20" s="12"/>
      <c r="G20" s="12"/>
      <c r="H20" s="12"/>
      <c r="I20" s="12"/>
      <c r="J20" s="12"/>
      <c r="K20" s="108"/>
      <c r="L20" s="108"/>
      <c r="M20" s="317"/>
      <c r="N20" s="317"/>
      <c r="O20" s="317"/>
      <c r="P20" s="317"/>
      <c r="Q20" s="317"/>
      <c r="R20" s="317"/>
      <c r="S20" s="110"/>
      <c r="T20" s="108"/>
      <c r="U20" s="317"/>
      <c r="V20" s="317"/>
      <c r="W20" s="317"/>
      <c r="X20" s="317"/>
      <c r="Y20" s="317"/>
      <c r="Z20" s="317"/>
      <c r="AA20" s="110"/>
      <c r="AB20" s="108"/>
      <c r="AC20" s="317"/>
      <c r="AD20" s="317"/>
      <c r="AE20" s="317"/>
      <c r="AF20" s="317"/>
      <c r="AG20" s="317"/>
      <c r="AH20" s="317"/>
      <c r="AI20" s="110"/>
      <c r="AJ20" s="108"/>
      <c r="AK20" s="317"/>
      <c r="AL20" s="317"/>
      <c r="AM20" s="317"/>
      <c r="AN20" s="317"/>
      <c r="AO20" s="317"/>
      <c r="AP20" s="317"/>
      <c r="AQ20" s="110"/>
      <c r="AR20" s="108"/>
      <c r="AS20" s="317">
        <f t="shared" si="96"/>
        <v>0</v>
      </c>
      <c r="AT20" s="317">
        <f t="shared" si="97"/>
        <v>0</v>
      </c>
      <c r="AU20" s="317">
        <f t="shared" si="98"/>
        <v>0</v>
      </c>
      <c r="AV20" s="317">
        <f t="shared" si="99"/>
        <v>0</v>
      </c>
      <c r="AW20" s="317">
        <f t="shared" si="100"/>
        <v>0</v>
      </c>
      <c r="AX20" s="317">
        <f t="shared" si="101"/>
        <v>0</v>
      </c>
      <c r="AY20" s="110">
        <v>80</v>
      </c>
      <c r="AZ20" s="111">
        <f t="shared" si="102"/>
        <v>80</v>
      </c>
      <c r="BA20" s="317">
        <f t="shared" si="103"/>
        <v>0</v>
      </c>
      <c r="BB20" s="317">
        <f t="shared" si="104"/>
        <v>0</v>
      </c>
      <c r="BC20" s="317">
        <f t="shared" si="105"/>
        <v>0</v>
      </c>
      <c r="BD20" s="317">
        <f t="shared" si="106"/>
        <v>0</v>
      </c>
      <c r="BE20" s="317">
        <f t="shared" si="107"/>
        <v>0</v>
      </c>
      <c r="BF20" s="317">
        <f t="shared" si="108"/>
        <v>80</v>
      </c>
      <c r="BG20" s="110">
        <v>80</v>
      </c>
      <c r="BH20" s="111">
        <f t="shared" si="109"/>
        <v>160</v>
      </c>
      <c r="BI20" s="317">
        <f t="shared" si="59"/>
        <v>0</v>
      </c>
      <c r="BJ20" s="317">
        <f t="shared" si="21"/>
        <v>0</v>
      </c>
      <c r="BK20" s="317">
        <f t="shared" si="22"/>
        <v>0</v>
      </c>
      <c r="BL20" s="317">
        <f t="shared" si="60"/>
        <v>0</v>
      </c>
      <c r="BM20" s="317">
        <f t="shared" si="23"/>
        <v>80</v>
      </c>
      <c r="BN20" s="317">
        <f t="shared" si="24"/>
        <v>80</v>
      </c>
      <c r="BO20" s="110">
        <v>80</v>
      </c>
      <c r="BP20" s="111">
        <f t="shared" si="61"/>
        <v>240</v>
      </c>
      <c r="BQ20" s="317">
        <f t="shared" si="62"/>
        <v>0</v>
      </c>
      <c r="BR20" s="317">
        <f t="shared" si="25"/>
        <v>0</v>
      </c>
      <c r="BS20" s="317">
        <f t="shared" si="26"/>
        <v>0</v>
      </c>
      <c r="BT20" s="317">
        <f t="shared" si="63"/>
        <v>80</v>
      </c>
      <c r="BU20" s="317">
        <f t="shared" si="27"/>
        <v>80</v>
      </c>
      <c r="BV20" s="317">
        <f t="shared" si="28"/>
        <v>80</v>
      </c>
      <c r="BW20" s="110">
        <v>80</v>
      </c>
      <c r="BX20" s="111">
        <f t="shared" si="64"/>
        <v>320</v>
      </c>
      <c r="BY20" s="317">
        <f t="shared" si="65"/>
        <v>0</v>
      </c>
      <c r="BZ20" s="317">
        <f t="shared" si="29"/>
        <v>0</v>
      </c>
      <c r="CA20" s="317">
        <f t="shared" si="30"/>
        <v>16</v>
      </c>
      <c r="CB20" s="317">
        <f t="shared" si="66"/>
        <v>80</v>
      </c>
      <c r="CC20" s="317">
        <f t="shared" si="31"/>
        <v>80</v>
      </c>
      <c r="CD20" s="317">
        <f t="shared" si="32"/>
        <v>80</v>
      </c>
      <c r="CE20" s="110">
        <v>80</v>
      </c>
      <c r="CF20" s="111">
        <f t="shared" si="67"/>
        <v>336</v>
      </c>
      <c r="CG20" s="317">
        <f t="shared" si="68"/>
        <v>0</v>
      </c>
      <c r="CH20" s="317">
        <f t="shared" si="33"/>
        <v>4</v>
      </c>
      <c r="CI20" s="317">
        <f t="shared" si="34"/>
        <v>16</v>
      </c>
      <c r="CJ20" s="317">
        <f t="shared" si="69"/>
        <v>80</v>
      </c>
      <c r="CK20" s="317">
        <f t="shared" si="35"/>
        <v>80</v>
      </c>
      <c r="CL20" s="317">
        <f t="shared" si="36"/>
        <v>80</v>
      </c>
      <c r="CM20" s="110">
        <v>80</v>
      </c>
      <c r="CN20" s="111">
        <f t="shared" si="70"/>
        <v>340</v>
      </c>
      <c r="CO20" s="317">
        <f t="shared" si="71"/>
        <v>1</v>
      </c>
      <c r="CP20" s="317">
        <f t="shared" si="37"/>
        <v>4</v>
      </c>
      <c r="CQ20" s="317">
        <f t="shared" si="38"/>
        <v>16</v>
      </c>
      <c r="CR20" s="317">
        <f t="shared" si="72"/>
        <v>80</v>
      </c>
      <c r="CS20" s="317">
        <f t="shared" si="39"/>
        <v>80</v>
      </c>
      <c r="CT20" s="317">
        <f t="shared" si="40"/>
        <v>80</v>
      </c>
      <c r="CU20" s="110">
        <v>80</v>
      </c>
      <c r="CV20" s="111">
        <f t="shared" si="73"/>
        <v>341</v>
      </c>
    </row>
    <row r="21" spans="1:100" ht="14.1">
      <c r="D21" s="15">
        <f>SUM(D3:D20)</f>
        <v>2</v>
      </c>
      <c r="E21" s="15">
        <f t="shared" ref="E21:L21" si="110">SUM(E3:E20)</f>
        <v>31</v>
      </c>
      <c r="F21" s="15">
        <f t="shared" si="110"/>
        <v>183</v>
      </c>
      <c r="G21" s="15">
        <f t="shared" si="110"/>
        <v>575</v>
      </c>
      <c r="H21" s="15">
        <f t="shared" si="110"/>
        <v>665</v>
      </c>
      <c r="I21" s="15">
        <f t="shared" si="110"/>
        <v>759</v>
      </c>
      <c r="J21" s="15">
        <f t="shared" si="110"/>
        <v>1068</v>
      </c>
      <c r="K21" s="15">
        <f t="shared" si="110"/>
        <v>0</v>
      </c>
      <c r="L21" s="15">
        <f t="shared" si="110"/>
        <v>3283</v>
      </c>
      <c r="M21" s="15">
        <f>SUM(M3:M20)</f>
        <v>8</v>
      </c>
      <c r="N21" s="15">
        <f t="shared" ref="N21" si="111">SUM(N3:N20)</f>
        <v>38</v>
      </c>
      <c r="O21" s="15">
        <f t="shared" ref="O21" si="112">SUM(O3:O20)</f>
        <v>120</v>
      </c>
      <c r="P21" s="15">
        <f t="shared" ref="P21" si="113">SUM(P3:P20)</f>
        <v>665</v>
      </c>
      <c r="Q21" s="15">
        <f t="shared" ref="Q21" si="114">SUM(Q3:Q20)</f>
        <v>759</v>
      </c>
      <c r="R21" s="15">
        <f t="shared" ref="R21" si="115">SUM(R3:R20)</f>
        <v>1068</v>
      </c>
      <c r="S21" s="15">
        <f t="shared" ref="S21" si="116">SUM(S3:S20)</f>
        <v>1200</v>
      </c>
      <c r="T21" s="15">
        <f t="shared" ref="T21" si="117">SUM(T3:T20)</f>
        <v>3858</v>
      </c>
      <c r="U21" s="15">
        <f>SUM(U3:U20)</f>
        <v>9</v>
      </c>
      <c r="V21" s="15">
        <f t="shared" ref="V21" si="118">SUM(V3:V20)</f>
        <v>29</v>
      </c>
      <c r="W21" s="15">
        <f t="shared" ref="W21" si="119">SUM(W3:W20)</f>
        <v>138</v>
      </c>
      <c r="X21" s="15">
        <f t="shared" ref="X21" si="120">SUM(X3:X20)</f>
        <v>759</v>
      </c>
      <c r="Y21" s="15">
        <f t="shared" ref="Y21" si="121">SUM(Y3:Y20)</f>
        <v>1068</v>
      </c>
      <c r="Z21" s="15">
        <f t="shared" ref="Z21" si="122">SUM(Z3:Z20)</f>
        <v>1200</v>
      </c>
      <c r="AA21" s="15">
        <f t="shared" ref="AA21" si="123">SUM(AA3:AA20)</f>
        <v>1760</v>
      </c>
      <c r="AB21" s="15">
        <f t="shared" ref="AB21" si="124">SUM(AB3:AB20)</f>
        <v>4963</v>
      </c>
      <c r="AC21" s="15">
        <f>SUM(AC3:AC20)</f>
        <v>12</v>
      </c>
      <c r="AD21" s="15">
        <f t="shared" ref="AD21:AJ21" si="125">SUM(AD3:AD20)</f>
        <v>32</v>
      </c>
      <c r="AE21" s="15">
        <f t="shared" si="125"/>
        <v>156</v>
      </c>
      <c r="AF21" s="15">
        <f t="shared" si="125"/>
        <v>1068</v>
      </c>
      <c r="AG21" s="15">
        <f t="shared" si="125"/>
        <v>1200</v>
      </c>
      <c r="AH21" s="15">
        <f t="shared" si="125"/>
        <v>1760</v>
      </c>
      <c r="AI21" s="15">
        <f t="shared" si="125"/>
        <v>1760</v>
      </c>
      <c r="AJ21" s="15">
        <f t="shared" si="125"/>
        <v>5988</v>
      </c>
      <c r="AK21" s="15">
        <f>SUM(AK3:AK20)</f>
        <v>12</v>
      </c>
      <c r="AL21" s="15">
        <f t="shared" ref="AL21:AR21" si="126">SUM(AL3:AL20)</f>
        <v>36</v>
      </c>
      <c r="AM21" s="15">
        <f t="shared" si="126"/>
        <v>219</v>
      </c>
      <c r="AN21" s="15">
        <f t="shared" si="126"/>
        <v>1200</v>
      </c>
      <c r="AO21" s="15">
        <f t="shared" si="126"/>
        <v>1760</v>
      </c>
      <c r="AP21" s="15">
        <f t="shared" si="126"/>
        <v>1760</v>
      </c>
      <c r="AQ21" s="15">
        <f t="shared" si="126"/>
        <v>1760</v>
      </c>
      <c r="AR21" s="15">
        <f t="shared" si="126"/>
        <v>6747</v>
      </c>
      <c r="AS21" s="15">
        <f>SUM(AS3:AS20)</f>
        <v>12</v>
      </c>
      <c r="AT21" s="15">
        <f t="shared" ref="AT21:AZ21" si="127">SUM(AT3:AT20)</f>
        <v>49</v>
      </c>
      <c r="AU21" s="15">
        <f t="shared" si="127"/>
        <v>240</v>
      </c>
      <c r="AV21" s="15">
        <f t="shared" si="127"/>
        <v>1760</v>
      </c>
      <c r="AW21" s="15">
        <f t="shared" si="127"/>
        <v>1760</v>
      </c>
      <c r="AX21" s="15">
        <f t="shared" si="127"/>
        <v>1760</v>
      </c>
      <c r="AY21" s="15">
        <f t="shared" si="127"/>
        <v>2080</v>
      </c>
      <c r="AZ21" s="15">
        <f t="shared" si="127"/>
        <v>7661</v>
      </c>
      <c r="BA21" s="15">
        <f>SUM(BA3:BA20)</f>
        <v>14</v>
      </c>
      <c r="BB21" s="15">
        <f t="shared" ref="BB21:BH21" si="128">SUM(BB3:BB20)</f>
        <v>53</v>
      </c>
      <c r="BC21" s="15">
        <f t="shared" si="128"/>
        <v>352</v>
      </c>
      <c r="BD21" s="15">
        <f t="shared" si="128"/>
        <v>1760</v>
      </c>
      <c r="BE21" s="15">
        <f t="shared" si="128"/>
        <v>1760</v>
      </c>
      <c r="BF21" s="15">
        <f t="shared" si="128"/>
        <v>2080</v>
      </c>
      <c r="BG21" s="15">
        <f t="shared" si="128"/>
        <v>2080</v>
      </c>
      <c r="BH21" s="15">
        <f t="shared" si="128"/>
        <v>8099</v>
      </c>
      <c r="BI21" s="15">
        <f>SUM(BI3:BI20)</f>
        <v>14</v>
      </c>
      <c r="BJ21" s="15">
        <f t="shared" ref="BJ21:BP21" si="129">SUM(BJ3:BJ20)</f>
        <v>80</v>
      </c>
      <c r="BK21" s="15">
        <f t="shared" si="129"/>
        <v>352</v>
      </c>
      <c r="BL21" s="15">
        <f t="shared" si="129"/>
        <v>1760</v>
      </c>
      <c r="BM21" s="15">
        <f t="shared" si="129"/>
        <v>2080</v>
      </c>
      <c r="BN21" s="15">
        <f t="shared" si="129"/>
        <v>2080</v>
      </c>
      <c r="BO21" s="15">
        <f t="shared" si="129"/>
        <v>2080</v>
      </c>
      <c r="BP21" s="15">
        <f t="shared" si="129"/>
        <v>8446</v>
      </c>
      <c r="BQ21" s="15">
        <f>SUM(BQ3:BQ20)</f>
        <v>20</v>
      </c>
      <c r="BR21" s="15">
        <f t="shared" ref="BR21:BX21" si="130">SUM(BR3:BR20)</f>
        <v>80</v>
      </c>
      <c r="BS21" s="15">
        <f t="shared" si="130"/>
        <v>352</v>
      </c>
      <c r="BT21" s="15">
        <f t="shared" si="130"/>
        <v>2080</v>
      </c>
      <c r="BU21" s="15">
        <f t="shared" si="130"/>
        <v>2080</v>
      </c>
      <c r="BV21" s="15">
        <f t="shared" si="130"/>
        <v>2080</v>
      </c>
      <c r="BW21" s="15">
        <f t="shared" si="130"/>
        <v>2080</v>
      </c>
      <c r="BX21" s="15">
        <f t="shared" si="130"/>
        <v>8772</v>
      </c>
      <c r="BY21" s="15">
        <f>SUM(BY3:BY20)</f>
        <v>20</v>
      </c>
      <c r="BZ21" s="15">
        <f t="shared" ref="BZ21:CF21" si="131">SUM(BZ3:BZ20)</f>
        <v>80</v>
      </c>
      <c r="CA21" s="15">
        <f t="shared" si="131"/>
        <v>416</v>
      </c>
      <c r="CB21" s="15">
        <f t="shared" si="131"/>
        <v>2080</v>
      </c>
      <c r="CC21" s="15">
        <f t="shared" si="131"/>
        <v>2080</v>
      </c>
      <c r="CD21" s="15">
        <f t="shared" si="131"/>
        <v>2080</v>
      </c>
      <c r="CE21" s="15">
        <f t="shared" si="131"/>
        <v>2080</v>
      </c>
      <c r="CF21" s="15">
        <f t="shared" si="131"/>
        <v>8836</v>
      </c>
      <c r="CG21" s="15">
        <f>SUM(CG3:CG20)</f>
        <v>20</v>
      </c>
      <c r="CH21" s="15">
        <f t="shared" ref="CH21:CN21" si="132">SUM(CH3:CH20)</f>
        <v>96</v>
      </c>
      <c r="CI21" s="15">
        <f t="shared" si="132"/>
        <v>416</v>
      </c>
      <c r="CJ21" s="15">
        <f t="shared" si="132"/>
        <v>2080</v>
      </c>
      <c r="CK21" s="15">
        <f t="shared" si="132"/>
        <v>2080</v>
      </c>
      <c r="CL21" s="15">
        <f t="shared" si="132"/>
        <v>2080</v>
      </c>
      <c r="CM21" s="15">
        <f t="shared" si="132"/>
        <v>2080</v>
      </c>
      <c r="CN21" s="15">
        <f t="shared" si="132"/>
        <v>8852</v>
      </c>
      <c r="CO21" s="15">
        <f>SUM(CO3:CO20)</f>
        <v>24</v>
      </c>
      <c r="CP21" s="15">
        <f t="shared" ref="CP21:CV21" si="133">SUM(CP3:CP20)</f>
        <v>96</v>
      </c>
      <c r="CQ21" s="15">
        <f t="shared" si="133"/>
        <v>416</v>
      </c>
      <c r="CR21" s="15">
        <f t="shared" si="133"/>
        <v>2080</v>
      </c>
      <c r="CS21" s="15">
        <f t="shared" si="133"/>
        <v>2080</v>
      </c>
      <c r="CT21" s="15">
        <f t="shared" si="133"/>
        <v>2080</v>
      </c>
      <c r="CU21" s="15">
        <f t="shared" si="133"/>
        <v>2080</v>
      </c>
      <c r="CV21" s="15">
        <f t="shared" si="133"/>
        <v>8856</v>
      </c>
    </row>
    <row r="25" spans="1:100" ht="15.75" customHeight="1">
      <c r="B25" s="10" t="s">
        <v>2876</v>
      </c>
      <c r="C25" s="10">
        <f>L21</f>
        <v>3283</v>
      </c>
    </row>
    <row r="26" spans="1:100" ht="15.75" customHeight="1">
      <c r="B26" s="10" t="s">
        <v>2015</v>
      </c>
      <c r="C26" s="10">
        <f>T21</f>
        <v>3858</v>
      </c>
    </row>
    <row r="27" spans="1:100" ht="15.75" customHeight="1">
      <c r="B27" s="10" t="s">
        <v>2878</v>
      </c>
      <c r="C27" s="10">
        <f>AB21</f>
        <v>4963</v>
      </c>
    </row>
    <row r="28" spans="1:100" ht="15.75" customHeight="1">
      <c r="B28" s="10" t="s">
        <v>2879</v>
      </c>
      <c r="C28" s="10">
        <f>AJ21</f>
        <v>5988</v>
      </c>
    </row>
    <row r="29" spans="1:100" ht="15.75" customHeight="1">
      <c r="B29" s="10" t="s">
        <v>2880</v>
      </c>
      <c r="C29" s="10">
        <f>AR21</f>
        <v>6747</v>
      </c>
    </row>
    <row r="30" spans="1:100" ht="15.75" customHeight="1">
      <c r="B30" s="10" t="s">
        <v>2881</v>
      </c>
      <c r="C30" s="10">
        <f>AZ21</f>
        <v>7661</v>
      </c>
    </row>
    <row r="31" spans="1:100" ht="15.75" customHeight="1">
      <c r="B31" s="10" t="s">
        <v>2882</v>
      </c>
      <c r="C31" s="10">
        <f>BH21</f>
        <v>8099</v>
      </c>
    </row>
    <row r="32" spans="1:100" ht="15.75" customHeight="1">
      <c r="B32" s="10" t="s">
        <v>2883</v>
      </c>
      <c r="C32" s="10">
        <f>BP21</f>
        <v>8446</v>
      </c>
    </row>
    <row r="33" spans="2:3" ht="15.75" customHeight="1">
      <c r="B33" s="10" t="s">
        <v>2884</v>
      </c>
      <c r="C33" s="10">
        <f>BX21</f>
        <v>8772</v>
      </c>
    </row>
    <row r="34" spans="2:3" ht="15.75" customHeight="1">
      <c r="B34" s="10" t="s">
        <v>2885</v>
      </c>
      <c r="C34" s="10">
        <f>CF21</f>
        <v>8836</v>
      </c>
    </row>
    <row r="35" spans="2:3" ht="15.75" customHeight="1">
      <c r="B35" s="10" t="s">
        <v>2886</v>
      </c>
      <c r="C35" s="10">
        <f>CN21</f>
        <v>8852</v>
      </c>
    </row>
    <row r="36" spans="2:3" ht="15.75" customHeight="1">
      <c r="B36" s="10" t="s">
        <v>2887</v>
      </c>
      <c r="C36" s="10">
        <f>CV21</f>
        <v>8856</v>
      </c>
    </row>
  </sheetData>
  <mergeCells count="14">
    <mergeCell ref="M1:T1"/>
    <mergeCell ref="U1:AB1"/>
    <mergeCell ref="A1:A2"/>
    <mergeCell ref="B1:B2"/>
    <mergeCell ref="D1:L1"/>
    <mergeCell ref="BQ1:BX1"/>
    <mergeCell ref="BY1:CF1"/>
    <mergeCell ref="CG1:CN1"/>
    <mergeCell ref="CO1:CV1"/>
    <mergeCell ref="AC1:AJ1"/>
    <mergeCell ref="AK1:AR1"/>
    <mergeCell ref="AS1:AZ1"/>
    <mergeCell ref="BA1:BH1"/>
    <mergeCell ref="BI1:BP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5794-7932-497E-8B73-595DF87F7AFC}">
  <dimension ref="A1:M19"/>
  <sheetViews>
    <sheetView workbookViewId="0">
      <selection activeCell="B2" sqref="B2"/>
    </sheetView>
  </sheetViews>
  <sheetFormatPr defaultColWidth="8.85546875" defaultRowHeight="15"/>
  <cols>
    <col min="1" max="1" width="21.85546875" bestFit="1" customWidth="1"/>
    <col min="2" max="2" width="28.7109375" bestFit="1" customWidth="1"/>
  </cols>
  <sheetData>
    <row r="1" spans="1:13">
      <c r="A1" t="s">
        <v>759</v>
      </c>
      <c r="B1" t="s">
        <v>2889</v>
      </c>
      <c r="C1" t="s">
        <v>2890</v>
      </c>
      <c r="D1" t="s">
        <v>2891</v>
      </c>
      <c r="E1" t="s">
        <v>2892</v>
      </c>
      <c r="F1" t="s">
        <v>2893</v>
      </c>
      <c r="G1" t="s">
        <v>2894</v>
      </c>
      <c r="H1" t="s">
        <v>2895</v>
      </c>
      <c r="I1">
        <v>4</v>
      </c>
      <c r="J1">
        <v>3</v>
      </c>
      <c r="K1">
        <v>2</v>
      </c>
      <c r="L1">
        <v>1</v>
      </c>
      <c r="M1" t="s">
        <v>2896</v>
      </c>
    </row>
    <row r="2" spans="1:13">
      <c r="A2" s="11" t="s">
        <v>107</v>
      </c>
      <c r="B2">
        <f>COUNTIFS(Dosen!D:D,A2,Dosen!C:C,"Aktif")</f>
        <v>16</v>
      </c>
      <c r="C2">
        <f>B2</f>
        <v>16</v>
      </c>
      <c r="D2">
        <v>4</v>
      </c>
      <c r="E2">
        <f>B2</f>
        <v>16</v>
      </c>
      <c r="F2" s="113">
        <f>(D2/(E2+D2))</f>
        <v>0.2</v>
      </c>
      <c r="G2" s="114">
        <f>(C2-5)/7</f>
        <v>1.5714285714285714</v>
      </c>
      <c r="H2" s="113">
        <f>IF(F2&lt;=40%,(40%-F2)/40%,(40%-F2)/30%)</f>
        <v>0.5</v>
      </c>
      <c r="I2" s="115">
        <f>IF(AND(C2&gt;=12,F2&lt;=10%),4,)</f>
        <v>0</v>
      </c>
      <c r="J2" s="114">
        <f>IF(AND(C2&lt;12,C2&gt;=5,F2&lt;=40%),2+(2*(G2*H2)),2+(2*H2))</f>
        <v>3</v>
      </c>
      <c r="K2">
        <f>IF(AND(C2&gt;=5,F2&gt;40%),1,)</f>
        <v>0</v>
      </c>
      <c r="L2">
        <f>IF(C2&lt;5,0,)</f>
        <v>0</v>
      </c>
      <c r="M2" s="114">
        <f>MAX(I2:L2)</f>
        <v>3</v>
      </c>
    </row>
    <row r="3" spans="1:13">
      <c r="A3" s="16" t="s">
        <v>22</v>
      </c>
      <c r="B3">
        <f>COUNTIFS(Dosen!D:D,A3,Dosen!C:C,"Aktif")</f>
        <v>14</v>
      </c>
      <c r="C3">
        <f t="shared" ref="C3:C12" si="0">B3</f>
        <v>14</v>
      </c>
      <c r="D3">
        <v>4</v>
      </c>
      <c r="E3">
        <f t="shared" ref="E3:E12" si="1">B3</f>
        <v>14</v>
      </c>
      <c r="F3" s="113">
        <f t="shared" ref="F3:F12" si="2">(D3/(E3+D3))</f>
        <v>0.22222222222222221</v>
      </c>
      <c r="G3" s="114">
        <f t="shared" ref="G3:G12" si="3">(C3-5)/7</f>
        <v>1.2857142857142858</v>
      </c>
      <c r="H3" s="113">
        <f t="shared" ref="H3:H12" si="4">IF(F3&lt;=40%,(40%-F3)/40%,(40%-F3)/30%)</f>
        <v>0.44444444444444453</v>
      </c>
      <c r="I3" s="115">
        <f t="shared" ref="I3:I12" si="5">IF(AND(C3&gt;=12,F3&lt;=10%),4,)</f>
        <v>0</v>
      </c>
      <c r="J3" s="114">
        <f t="shared" ref="J3:J12" si="6">IF(AND(C3&lt;12,C3&gt;=5,F3&lt;=40%),2+(2*(G3*H3)),2+(2*H3))</f>
        <v>2.8888888888888893</v>
      </c>
      <c r="K3">
        <f t="shared" ref="K3:K12" si="7">IF(AND(C3&gt;=5,F3&gt;40%),1,)</f>
        <v>0</v>
      </c>
      <c r="L3">
        <f t="shared" ref="L3:L12" si="8">IF(C3&lt;5,0,)</f>
        <v>0</v>
      </c>
      <c r="M3" s="114">
        <f t="shared" ref="M3:M12" si="9">MAX(I3:L3)</f>
        <v>2.8888888888888893</v>
      </c>
    </row>
    <row r="4" spans="1:13">
      <c r="A4" s="11" t="s">
        <v>201</v>
      </c>
      <c r="B4">
        <f>COUNTIFS(Dosen!D:D,A4,Dosen!C:C,"Aktif")</f>
        <v>9</v>
      </c>
      <c r="C4">
        <f t="shared" si="0"/>
        <v>9</v>
      </c>
      <c r="D4">
        <v>4</v>
      </c>
      <c r="E4">
        <f t="shared" si="1"/>
        <v>9</v>
      </c>
      <c r="F4" s="113">
        <f t="shared" si="2"/>
        <v>0.30769230769230771</v>
      </c>
      <c r="G4" s="114">
        <f t="shared" si="3"/>
        <v>0.5714285714285714</v>
      </c>
      <c r="H4" s="113">
        <f t="shared" si="4"/>
        <v>0.23076923076923078</v>
      </c>
      <c r="I4" s="115">
        <f t="shared" si="5"/>
        <v>0</v>
      </c>
      <c r="J4" s="114">
        <f t="shared" si="6"/>
        <v>2.2637362637362637</v>
      </c>
      <c r="K4">
        <f t="shared" si="7"/>
        <v>0</v>
      </c>
      <c r="L4">
        <f t="shared" si="8"/>
        <v>0</v>
      </c>
      <c r="M4" s="114">
        <f t="shared" si="9"/>
        <v>2.2637362637362637</v>
      </c>
    </row>
    <row r="5" spans="1:13">
      <c r="A5" s="11" t="s">
        <v>448</v>
      </c>
      <c r="B5">
        <f>COUNTIFS(Dosen!D:D,A5,Dosen!C:C,"Aktif")</f>
        <v>5</v>
      </c>
      <c r="C5">
        <f t="shared" si="0"/>
        <v>5</v>
      </c>
      <c r="D5">
        <v>4</v>
      </c>
      <c r="E5">
        <f t="shared" si="1"/>
        <v>5</v>
      </c>
      <c r="F5" s="113">
        <f t="shared" si="2"/>
        <v>0.44444444444444442</v>
      </c>
      <c r="G5" s="114">
        <f t="shared" si="3"/>
        <v>0</v>
      </c>
      <c r="H5" s="113">
        <f t="shared" si="4"/>
        <v>-0.148148148148148</v>
      </c>
      <c r="I5" s="115">
        <f t="shared" si="5"/>
        <v>0</v>
      </c>
      <c r="J5" s="114">
        <f t="shared" si="6"/>
        <v>1.7037037037037039</v>
      </c>
      <c r="K5">
        <f t="shared" si="7"/>
        <v>1</v>
      </c>
      <c r="L5">
        <f t="shared" si="8"/>
        <v>0</v>
      </c>
      <c r="M5" s="114">
        <f t="shared" si="9"/>
        <v>1.7037037037037039</v>
      </c>
    </row>
    <row r="6" spans="1:13">
      <c r="A6" s="11" t="s">
        <v>413</v>
      </c>
      <c r="B6">
        <f>COUNTIFS(Dosen!D:D,A6,Dosen!C:C,"Aktif")</f>
        <v>7</v>
      </c>
      <c r="C6">
        <f t="shared" si="0"/>
        <v>7</v>
      </c>
      <c r="D6">
        <v>4</v>
      </c>
      <c r="E6">
        <f t="shared" si="1"/>
        <v>7</v>
      </c>
      <c r="F6" s="113">
        <f t="shared" si="2"/>
        <v>0.36363636363636365</v>
      </c>
      <c r="G6" s="114">
        <f t="shared" si="3"/>
        <v>0.2857142857142857</v>
      </c>
      <c r="H6" s="113">
        <f t="shared" si="4"/>
        <v>9.0909090909090939E-2</v>
      </c>
      <c r="I6" s="115">
        <f t="shared" si="5"/>
        <v>0</v>
      </c>
      <c r="J6" s="114">
        <f t="shared" si="6"/>
        <v>2.051948051948052</v>
      </c>
      <c r="K6">
        <f t="shared" si="7"/>
        <v>0</v>
      </c>
      <c r="L6">
        <f t="shared" si="8"/>
        <v>0</v>
      </c>
      <c r="M6" s="114">
        <f t="shared" si="9"/>
        <v>2.051948051948052</v>
      </c>
    </row>
    <row r="7" spans="1:13">
      <c r="A7" s="11" t="s">
        <v>524</v>
      </c>
      <c r="B7">
        <f>COUNTIFS(Dosen!D:D,A7,Dosen!C:C,"Aktif")</f>
        <v>11</v>
      </c>
      <c r="C7">
        <f t="shared" si="0"/>
        <v>11</v>
      </c>
      <c r="D7">
        <v>4</v>
      </c>
      <c r="E7">
        <f t="shared" si="1"/>
        <v>11</v>
      </c>
      <c r="F7" s="113">
        <f t="shared" si="2"/>
        <v>0.26666666666666666</v>
      </c>
      <c r="G7" s="114">
        <f t="shared" si="3"/>
        <v>0.8571428571428571</v>
      </c>
      <c r="H7" s="113">
        <f t="shared" si="4"/>
        <v>0.33333333333333337</v>
      </c>
      <c r="I7" s="115">
        <f t="shared" si="5"/>
        <v>0</v>
      </c>
      <c r="J7" s="114">
        <f t="shared" si="6"/>
        <v>2.5714285714285716</v>
      </c>
      <c r="K7">
        <f t="shared" si="7"/>
        <v>0</v>
      </c>
      <c r="L7">
        <f t="shared" si="8"/>
        <v>0</v>
      </c>
      <c r="M7" s="114">
        <f t="shared" si="9"/>
        <v>2.5714285714285716</v>
      </c>
    </row>
    <row r="8" spans="1:13">
      <c r="A8" s="11" t="s">
        <v>170</v>
      </c>
      <c r="B8">
        <f>COUNTIFS(Dosen!D:D,A8,Dosen!C:C,"Aktif")</f>
        <v>8</v>
      </c>
      <c r="C8">
        <f t="shared" si="0"/>
        <v>8</v>
      </c>
      <c r="D8">
        <v>4</v>
      </c>
      <c r="E8">
        <f t="shared" si="1"/>
        <v>8</v>
      </c>
      <c r="F8" s="113">
        <f t="shared" si="2"/>
        <v>0.33333333333333331</v>
      </c>
      <c r="G8" s="114">
        <f t="shared" si="3"/>
        <v>0.42857142857142855</v>
      </c>
      <c r="H8" s="113">
        <f t="shared" si="4"/>
        <v>0.16666666666666677</v>
      </c>
      <c r="I8" s="115">
        <f t="shared" si="5"/>
        <v>0</v>
      </c>
      <c r="J8" s="114">
        <f t="shared" si="6"/>
        <v>2.1428571428571428</v>
      </c>
      <c r="K8">
        <f t="shared" si="7"/>
        <v>0</v>
      </c>
      <c r="L8">
        <f t="shared" si="8"/>
        <v>0</v>
      </c>
      <c r="M8" s="114">
        <f t="shared" si="9"/>
        <v>2.1428571428571428</v>
      </c>
    </row>
    <row r="9" spans="1:13">
      <c r="A9" s="11" t="s">
        <v>475</v>
      </c>
      <c r="B9">
        <f>COUNTIFS(Dosen!D:D,A9,Dosen!C:C,"Aktif")</f>
        <v>10</v>
      </c>
      <c r="C9">
        <f t="shared" si="0"/>
        <v>10</v>
      </c>
      <c r="D9">
        <v>4</v>
      </c>
      <c r="E9">
        <f t="shared" si="1"/>
        <v>10</v>
      </c>
      <c r="F9" s="113">
        <f t="shared" si="2"/>
        <v>0.2857142857142857</v>
      </c>
      <c r="G9" s="114">
        <f t="shared" si="3"/>
        <v>0.7142857142857143</v>
      </c>
      <c r="H9" s="113">
        <f t="shared" si="4"/>
        <v>0.28571428571428581</v>
      </c>
      <c r="I9" s="115">
        <f t="shared" si="5"/>
        <v>0</v>
      </c>
      <c r="J9" s="114">
        <f t="shared" si="6"/>
        <v>2.4081632653061225</v>
      </c>
      <c r="K9">
        <f t="shared" si="7"/>
        <v>0</v>
      </c>
      <c r="L9">
        <f t="shared" si="8"/>
        <v>0</v>
      </c>
      <c r="M9" s="114">
        <f t="shared" si="9"/>
        <v>2.4081632653061225</v>
      </c>
    </row>
    <row r="10" spans="1:13">
      <c r="A10" s="11" t="s">
        <v>235</v>
      </c>
      <c r="B10">
        <f>COUNTIFS(Dosen!D:D,A10,Dosen!C:C,"Aktif")</f>
        <v>22</v>
      </c>
      <c r="C10">
        <f t="shared" si="0"/>
        <v>22</v>
      </c>
      <c r="D10">
        <v>4</v>
      </c>
      <c r="E10">
        <f t="shared" si="1"/>
        <v>22</v>
      </c>
      <c r="F10" s="113">
        <f t="shared" si="2"/>
        <v>0.15384615384615385</v>
      </c>
      <c r="G10" s="114">
        <f t="shared" si="3"/>
        <v>2.4285714285714284</v>
      </c>
      <c r="H10" s="113">
        <f t="shared" si="4"/>
        <v>0.61538461538461542</v>
      </c>
      <c r="I10" s="115">
        <f t="shared" si="5"/>
        <v>0</v>
      </c>
      <c r="J10" s="114">
        <f t="shared" si="6"/>
        <v>3.2307692307692308</v>
      </c>
      <c r="K10">
        <f t="shared" si="7"/>
        <v>0</v>
      </c>
      <c r="L10">
        <f t="shared" si="8"/>
        <v>0</v>
      </c>
      <c r="M10" s="114">
        <f t="shared" si="9"/>
        <v>3.2307692307692308</v>
      </c>
    </row>
    <row r="11" spans="1:13">
      <c r="A11" s="11" t="s">
        <v>370</v>
      </c>
      <c r="B11">
        <f>COUNTIFS(Dosen!D:D,A11,Dosen!C:C,"Aktif")</f>
        <v>10</v>
      </c>
      <c r="C11">
        <f t="shared" si="0"/>
        <v>10</v>
      </c>
      <c r="D11">
        <v>4</v>
      </c>
      <c r="E11">
        <f t="shared" si="1"/>
        <v>10</v>
      </c>
      <c r="F11" s="113">
        <f t="shared" si="2"/>
        <v>0.2857142857142857</v>
      </c>
      <c r="G11" s="114">
        <f t="shared" si="3"/>
        <v>0.7142857142857143</v>
      </c>
      <c r="H11" s="113">
        <f t="shared" si="4"/>
        <v>0.28571428571428581</v>
      </c>
      <c r="I11" s="115">
        <f t="shared" si="5"/>
        <v>0</v>
      </c>
      <c r="J11" s="114">
        <f t="shared" si="6"/>
        <v>2.4081632653061225</v>
      </c>
      <c r="K11">
        <f t="shared" si="7"/>
        <v>0</v>
      </c>
      <c r="L11">
        <f t="shared" si="8"/>
        <v>0</v>
      </c>
      <c r="M11" s="114">
        <f t="shared" si="9"/>
        <v>2.4081632653061225</v>
      </c>
    </row>
    <row r="12" spans="1:13">
      <c r="A12" s="11" t="s">
        <v>330</v>
      </c>
      <c r="B12">
        <f>COUNTIFS(Dosen!D:D,A12,Dosen!C:C,"Aktif")</f>
        <v>8</v>
      </c>
      <c r="C12">
        <f t="shared" si="0"/>
        <v>8</v>
      </c>
      <c r="D12">
        <v>4</v>
      </c>
      <c r="E12">
        <f t="shared" si="1"/>
        <v>8</v>
      </c>
      <c r="F12" s="113">
        <f t="shared" si="2"/>
        <v>0.33333333333333331</v>
      </c>
      <c r="G12" s="114">
        <f t="shared" si="3"/>
        <v>0.42857142857142855</v>
      </c>
      <c r="H12" s="113">
        <f t="shared" si="4"/>
        <v>0.16666666666666677</v>
      </c>
      <c r="I12" s="115">
        <f t="shared" si="5"/>
        <v>0</v>
      </c>
      <c r="J12" s="114">
        <f t="shared" si="6"/>
        <v>2.1428571428571428</v>
      </c>
      <c r="K12">
        <f t="shared" si="7"/>
        <v>0</v>
      </c>
      <c r="L12">
        <f t="shared" si="8"/>
        <v>0</v>
      </c>
      <c r="M12" s="114">
        <f t="shared" si="9"/>
        <v>2.1428571428571428</v>
      </c>
    </row>
    <row r="17" spans="1:2">
      <c r="A17" t="s">
        <v>2890</v>
      </c>
      <c r="B17" t="s">
        <v>2897</v>
      </c>
    </row>
    <row r="18" spans="1:2">
      <c r="A18" t="s">
        <v>2891</v>
      </c>
      <c r="B18" t="s">
        <v>2898</v>
      </c>
    </row>
    <row r="19" spans="1:2">
      <c r="A19" t="s">
        <v>2892</v>
      </c>
      <c r="B19" t="s">
        <v>2899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1C34-A6B1-45A1-8B40-924E3BC642F5}">
  <dimension ref="A1:E16"/>
  <sheetViews>
    <sheetView workbookViewId="0">
      <selection activeCell="H6" sqref="H6"/>
    </sheetView>
  </sheetViews>
  <sheetFormatPr defaultColWidth="8.85546875" defaultRowHeight="15"/>
  <cols>
    <col min="1" max="1" width="21.85546875" bestFit="1" customWidth="1"/>
    <col min="5" max="5" width="11.42578125" bestFit="1" customWidth="1"/>
  </cols>
  <sheetData>
    <row r="1" spans="1:5">
      <c r="A1" t="s">
        <v>759</v>
      </c>
      <c r="B1" t="s">
        <v>2900</v>
      </c>
      <c r="C1" t="s">
        <v>2890</v>
      </c>
      <c r="D1" t="s">
        <v>2901</v>
      </c>
      <c r="E1" t="s">
        <v>2902</v>
      </c>
    </row>
    <row r="2" spans="1:5">
      <c r="A2" s="11" t="s">
        <v>107</v>
      </c>
      <c r="B2">
        <f>'Reporting 1'!E3</f>
        <v>3</v>
      </c>
      <c r="C2">
        <f>Akreditasi.16!C2</f>
        <v>16</v>
      </c>
      <c r="D2" s="112">
        <f>B2/C2</f>
        <v>0.1875</v>
      </c>
      <c r="E2" s="114">
        <f>IF(D2&gt;=50%,4,(2+(4*D2)))</f>
        <v>2.75</v>
      </c>
    </row>
    <row r="3" spans="1:5">
      <c r="A3" s="16" t="s">
        <v>22</v>
      </c>
      <c r="B3">
        <f>'Reporting 1'!E4</f>
        <v>3</v>
      </c>
      <c r="C3">
        <f>Akreditasi.16!C3</f>
        <v>14</v>
      </c>
      <c r="D3" s="112">
        <f t="shared" ref="D3:D12" si="0">B3/C3</f>
        <v>0.21428571428571427</v>
      </c>
      <c r="E3" s="114">
        <f t="shared" ref="E3:E12" si="1">IF(D3&gt;=50%,4,(2+(4*D3)))</f>
        <v>2.8571428571428572</v>
      </c>
    </row>
    <row r="4" spans="1:5">
      <c r="A4" s="11" t="s">
        <v>201</v>
      </c>
      <c r="B4">
        <f>'Reporting 1'!E5</f>
        <v>0</v>
      </c>
      <c r="C4">
        <f>Akreditasi.16!C4</f>
        <v>9</v>
      </c>
      <c r="D4" s="112">
        <f t="shared" si="0"/>
        <v>0</v>
      </c>
      <c r="E4" s="114">
        <f t="shared" si="1"/>
        <v>2</v>
      </c>
    </row>
    <row r="5" spans="1:5">
      <c r="A5" s="11" t="s">
        <v>448</v>
      </c>
      <c r="B5">
        <f>'Reporting 1'!E6</f>
        <v>2</v>
      </c>
      <c r="C5">
        <f>Akreditasi.16!C5</f>
        <v>5</v>
      </c>
      <c r="D5" s="112">
        <f t="shared" si="0"/>
        <v>0.4</v>
      </c>
      <c r="E5" s="114">
        <f t="shared" si="1"/>
        <v>3.6</v>
      </c>
    </row>
    <row r="6" spans="1:5">
      <c r="A6" s="11" t="s">
        <v>413</v>
      </c>
      <c r="B6">
        <f>'Reporting 1'!E7</f>
        <v>2</v>
      </c>
      <c r="C6">
        <f>Akreditasi.16!C6</f>
        <v>7</v>
      </c>
      <c r="D6" s="112">
        <f t="shared" si="0"/>
        <v>0.2857142857142857</v>
      </c>
      <c r="E6" s="114">
        <f t="shared" si="1"/>
        <v>3.1428571428571428</v>
      </c>
    </row>
    <row r="7" spans="1:5">
      <c r="A7" s="11" t="s">
        <v>524</v>
      </c>
      <c r="B7">
        <f>'Reporting 1'!E8</f>
        <v>2</v>
      </c>
      <c r="C7">
        <f>Akreditasi.16!C7</f>
        <v>11</v>
      </c>
      <c r="D7" s="112">
        <f t="shared" si="0"/>
        <v>0.18181818181818182</v>
      </c>
      <c r="E7" s="114">
        <f t="shared" si="1"/>
        <v>2.7272727272727275</v>
      </c>
    </row>
    <row r="8" spans="1:5">
      <c r="A8" s="11" t="s">
        <v>170</v>
      </c>
      <c r="B8">
        <f>'Reporting 1'!E9</f>
        <v>1</v>
      </c>
      <c r="C8">
        <f>Akreditasi.16!C8</f>
        <v>8</v>
      </c>
      <c r="D8" s="112">
        <f t="shared" si="0"/>
        <v>0.125</v>
      </c>
      <c r="E8" s="114">
        <f t="shared" si="1"/>
        <v>2.5</v>
      </c>
    </row>
    <row r="9" spans="1:5">
      <c r="A9" s="11" t="s">
        <v>475</v>
      </c>
      <c r="B9">
        <f>'Reporting 1'!E10</f>
        <v>4</v>
      </c>
      <c r="C9">
        <f>Akreditasi.16!C9</f>
        <v>10</v>
      </c>
      <c r="D9" s="112">
        <f t="shared" si="0"/>
        <v>0.4</v>
      </c>
      <c r="E9" s="114">
        <f t="shared" si="1"/>
        <v>3.6</v>
      </c>
    </row>
    <row r="10" spans="1:5">
      <c r="A10" s="11" t="s">
        <v>235</v>
      </c>
      <c r="B10">
        <f>'Reporting 1'!E11</f>
        <v>3</v>
      </c>
      <c r="C10">
        <f>Akreditasi.16!C10</f>
        <v>22</v>
      </c>
      <c r="D10" s="112">
        <f t="shared" si="0"/>
        <v>0.13636363636363635</v>
      </c>
      <c r="E10" s="114">
        <f t="shared" si="1"/>
        <v>2.5454545454545454</v>
      </c>
    </row>
    <row r="11" spans="1:5">
      <c r="A11" s="11" t="s">
        <v>370</v>
      </c>
      <c r="B11">
        <f>'Reporting 1'!E12</f>
        <v>1</v>
      </c>
      <c r="C11">
        <f>Akreditasi.16!C11</f>
        <v>10</v>
      </c>
      <c r="D11" s="112">
        <f t="shared" si="0"/>
        <v>0.1</v>
      </c>
      <c r="E11" s="114">
        <f t="shared" si="1"/>
        <v>2.4</v>
      </c>
    </row>
    <row r="12" spans="1:5">
      <c r="A12" s="11" t="s">
        <v>330</v>
      </c>
      <c r="B12">
        <f>'Reporting 1'!E13</f>
        <v>4</v>
      </c>
      <c r="C12">
        <f>Akreditasi.16!C12</f>
        <v>8</v>
      </c>
      <c r="D12" s="112">
        <f t="shared" si="0"/>
        <v>0.5</v>
      </c>
      <c r="E12" s="114">
        <f t="shared" si="1"/>
        <v>4</v>
      </c>
    </row>
    <row r="14" spans="1:5">
      <c r="A14" t="s">
        <v>2900</v>
      </c>
      <c r="B14" t="s">
        <v>2903</v>
      </c>
    </row>
    <row r="15" spans="1:5">
      <c r="A15" t="s">
        <v>2890</v>
      </c>
      <c r="B15" t="s">
        <v>2897</v>
      </c>
    </row>
    <row r="16" spans="1:5">
      <c r="A16" t="s">
        <v>2901</v>
      </c>
      <c r="B16" t="s">
        <v>2904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403A-216F-4743-8D82-C8697799B6BA}">
  <dimension ref="A1:H12"/>
  <sheetViews>
    <sheetView workbookViewId="0">
      <selection activeCell="H7" sqref="H7"/>
    </sheetView>
  </sheetViews>
  <sheetFormatPr defaultColWidth="8.85546875" defaultRowHeight="15"/>
  <cols>
    <col min="1" max="1" width="21.85546875" bestFit="1" customWidth="1"/>
    <col min="2" max="6" width="9.140625" style="116"/>
  </cols>
  <sheetData>
    <row r="1" spans="1:8">
      <c r="A1" t="s">
        <v>759</v>
      </c>
      <c r="B1" s="116" t="s">
        <v>1207</v>
      </c>
      <c r="C1" s="116" t="s">
        <v>776</v>
      </c>
      <c r="D1" s="116" t="s">
        <v>775</v>
      </c>
      <c r="E1" s="116" t="s">
        <v>847</v>
      </c>
      <c r="F1" s="116" t="s">
        <v>2890</v>
      </c>
      <c r="G1" t="s">
        <v>2905</v>
      </c>
      <c r="H1" t="s">
        <v>2902</v>
      </c>
    </row>
    <row r="2" spans="1:8">
      <c r="A2" s="11" t="s">
        <v>107</v>
      </c>
      <c r="B2" s="116">
        <f>'Reporting 1'!N3</f>
        <v>0</v>
      </c>
      <c r="C2" s="116">
        <f>'Reporting 1'!M3</f>
        <v>0</v>
      </c>
      <c r="D2" s="116">
        <f>'Reporting 1'!L3</f>
        <v>3</v>
      </c>
      <c r="E2" s="116">
        <f>'Reporting 1'!K3</f>
        <v>6</v>
      </c>
      <c r="F2" s="116">
        <f>Akreditasi.16!C2</f>
        <v>16</v>
      </c>
      <c r="G2" s="112">
        <f>SUM(B2:D2)/F2</f>
        <v>0.1875</v>
      </c>
      <c r="H2" s="114">
        <f>IF(G2&gt;=70%,4,2+((20*G2)/7))</f>
        <v>2.5357142857142856</v>
      </c>
    </row>
    <row r="3" spans="1:8">
      <c r="A3" s="16" t="s">
        <v>22</v>
      </c>
      <c r="B3" s="116">
        <f>'Reporting 1'!N4</f>
        <v>0</v>
      </c>
      <c r="C3" s="116">
        <f>'Reporting 1'!M4</f>
        <v>0</v>
      </c>
      <c r="D3" s="116">
        <f>'Reporting 1'!L4</f>
        <v>2</v>
      </c>
      <c r="E3" s="116">
        <f>'Reporting 1'!K4</f>
        <v>7</v>
      </c>
      <c r="F3" s="116">
        <f>Akreditasi.16!C3</f>
        <v>14</v>
      </c>
      <c r="G3" s="112">
        <f t="shared" ref="G3:G12" si="0">SUM(B3:D3)/F3</f>
        <v>0.14285714285714285</v>
      </c>
      <c r="H3" s="114">
        <f t="shared" ref="H3:H12" si="1">IF(G3&gt;=70%,4,2+((20*G3)/7))</f>
        <v>2.4081632653061225</v>
      </c>
    </row>
    <row r="4" spans="1:8">
      <c r="A4" s="11" t="s">
        <v>201</v>
      </c>
      <c r="B4" s="116">
        <f>'Reporting 1'!N5</f>
        <v>0</v>
      </c>
      <c r="C4" s="116">
        <f>'Reporting 1'!M5</f>
        <v>0</v>
      </c>
      <c r="D4" s="116">
        <f>'Reporting 1'!L5</f>
        <v>2</v>
      </c>
      <c r="E4" s="116">
        <f>'Reporting 1'!K5</f>
        <v>3</v>
      </c>
      <c r="F4" s="116">
        <f>Akreditasi.16!C4</f>
        <v>9</v>
      </c>
      <c r="G4" s="112">
        <f t="shared" si="0"/>
        <v>0.22222222222222221</v>
      </c>
      <c r="H4" s="114">
        <f t="shared" si="1"/>
        <v>2.6349206349206349</v>
      </c>
    </row>
    <row r="5" spans="1:8">
      <c r="A5" s="11" t="s">
        <v>448</v>
      </c>
      <c r="B5" s="116">
        <f>'Reporting 1'!N6</f>
        <v>0</v>
      </c>
      <c r="C5" s="116">
        <f>'Reporting 1'!M6</f>
        <v>0</v>
      </c>
      <c r="D5" s="116">
        <f>'Reporting 1'!L6</f>
        <v>3</v>
      </c>
      <c r="E5" s="116">
        <f>'Reporting 1'!K6</f>
        <v>2</v>
      </c>
      <c r="F5" s="116">
        <f>Akreditasi.16!C5</f>
        <v>5</v>
      </c>
      <c r="G5" s="112">
        <f t="shared" si="0"/>
        <v>0.6</v>
      </c>
      <c r="H5" s="114">
        <f t="shared" si="1"/>
        <v>3.7142857142857144</v>
      </c>
    </row>
    <row r="6" spans="1:8">
      <c r="A6" s="11" t="s">
        <v>413</v>
      </c>
      <c r="B6" s="116">
        <f>'Reporting 1'!N7</f>
        <v>0</v>
      </c>
      <c r="C6" s="116">
        <f>'Reporting 1'!M7</f>
        <v>0</v>
      </c>
      <c r="D6" s="116">
        <f>'Reporting 1'!L7</f>
        <v>3</v>
      </c>
      <c r="E6" s="116">
        <f>'Reporting 1'!K7</f>
        <v>2</v>
      </c>
      <c r="F6" s="116">
        <f>Akreditasi.16!C6</f>
        <v>7</v>
      </c>
      <c r="G6" s="112">
        <f t="shared" si="0"/>
        <v>0.42857142857142855</v>
      </c>
      <c r="H6" s="114">
        <f t="shared" si="1"/>
        <v>3.2244897959183674</v>
      </c>
    </row>
    <row r="7" spans="1:8">
      <c r="A7" s="11" t="s">
        <v>524</v>
      </c>
      <c r="B7" s="116">
        <f>'Reporting 1'!N8</f>
        <v>0</v>
      </c>
      <c r="C7" s="116">
        <f>'Reporting 1'!M8</f>
        <v>1</v>
      </c>
      <c r="D7" s="116">
        <f>'Reporting 1'!L8</f>
        <v>4</v>
      </c>
      <c r="E7" s="116">
        <f>'Reporting 1'!K8</f>
        <v>5</v>
      </c>
      <c r="F7" s="116">
        <f>Akreditasi.16!C7</f>
        <v>11</v>
      </c>
      <c r="G7" s="112">
        <f t="shared" si="0"/>
        <v>0.45454545454545453</v>
      </c>
      <c r="H7" s="114">
        <f t="shared" si="1"/>
        <v>3.2987012987012987</v>
      </c>
    </row>
    <row r="8" spans="1:8">
      <c r="A8" s="11" t="s">
        <v>170</v>
      </c>
      <c r="B8" s="116">
        <f>'Reporting 1'!N9</f>
        <v>0</v>
      </c>
      <c r="C8" s="116">
        <f>'Reporting 1'!M9</f>
        <v>0</v>
      </c>
      <c r="D8" s="116">
        <f>'Reporting 1'!L9</f>
        <v>5</v>
      </c>
      <c r="E8" s="116">
        <f>'Reporting 1'!K9</f>
        <v>3</v>
      </c>
      <c r="F8" s="116">
        <f>Akreditasi.16!C8</f>
        <v>8</v>
      </c>
      <c r="G8" s="112">
        <f t="shared" si="0"/>
        <v>0.625</v>
      </c>
      <c r="H8" s="114">
        <f t="shared" si="1"/>
        <v>3.7857142857142856</v>
      </c>
    </row>
    <row r="9" spans="1:8">
      <c r="A9" s="11" t="s">
        <v>475</v>
      </c>
      <c r="B9" s="116">
        <f>'Reporting 1'!N10</f>
        <v>0</v>
      </c>
      <c r="C9" s="116">
        <f>'Reporting 1'!M10</f>
        <v>1</v>
      </c>
      <c r="D9" s="116">
        <f>'Reporting 1'!L10</f>
        <v>3</v>
      </c>
      <c r="E9" s="116">
        <f>'Reporting 1'!K10</f>
        <v>4</v>
      </c>
      <c r="F9" s="116">
        <f>Akreditasi.16!C9</f>
        <v>10</v>
      </c>
      <c r="G9" s="112">
        <f t="shared" si="0"/>
        <v>0.4</v>
      </c>
      <c r="H9" s="114">
        <f t="shared" si="1"/>
        <v>3.1428571428571428</v>
      </c>
    </row>
    <row r="10" spans="1:8">
      <c r="A10" s="11" t="s">
        <v>235</v>
      </c>
      <c r="B10" s="116">
        <f>'Reporting 1'!N11</f>
        <v>0</v>
      </c>
      <c r="C10" s="116">
        <f>'Reporting 1'!M11</f>
        <v>0</v>
      </c>
      <c r="D10" s="116">
        <f>'Reporting 1'!L11</f>
        <v>2</v>
      </c>
      <c r="E10" s="116">
        <f>'Reporting 1'!K11</f>
        <v>17</v>
      </c>
      <c r="F10" s="116">
        <f>Akreditasi.16!C10</f>
        <v>22</v>
      </c>
      <c r="G10" s="112">
        <f t="shared" si="0"/>
        <v>9.0909090909090912E-2</v>
      </c>
      <c r="H10" s="114">
        <f t="shared" si="1"/>
        <v>2.2597402597402598</v>
      </c>
    </row>
    <row r="11" spans="1:8">
      <c r="A11" s="11" t="s">
        <v>370</v>
      </c>
      <c r="B11" s="116">
        <f>'Reporting 1'!N12</f>
        <v>0</v>
      </c>
      <c r="C11" s="116">
        <f>'Reporting 1'!M12</f>
        <v>0</v>
      </c>
      <c r="D11" s="116">
        <f>'Reporting 1'!L12</f>
        <v>4</v>
      </c>
      <c r="E11" s="116">
        <f>'Reporting 1'!K12</f>
        <v>4</v>
      </c>
      <c r="F11" s="116">
        <f>Akreditasi.16!C11</f>
        <v>10</v>
      </c>
      <c r="G11" s="112">
        <f t="shared" si="0"/>
        <v>0.4</v>
      </c>
      <c r="H11" s="114">
        <f t="shared" si="1"/>
        <v>3.1428571428571428</v>
      </c>
    </row>
    <row r="12" spans="1:8">
      <c r="A12" s="11" t="s">
        <v>330</v>
      </c>
      <c r="B12" s="116">
        <f>'Reporting 1'!N13</f>
        <v>0</v>
      </c>
      <c r="C12" s="116">
        <f>'Reporting 1'!M13</f>
        <v>0</v>
      </c>
      <c r="D12" s="116">
        <f>'Reporting 1'!L13</f>
        <v>4</v>
      </c>
      <c r="E12" s="116">
        <f>'Reporting 1'!K13</f>
        <v>3</v>
      </c>
      <c r="F12" s="116">
        <f>Akreditasi.16!C12</f>
        <v>8</v>
      </c>
      <c r="G12" s="112">
        <f t="shared" si="0"/>
        <v>0.5</v>
      </c>
      <c r="H12" s="114">
        <f t="shared" si="1"/>
        <v>3.4285714285714288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2B4B-9285-4ED5-92DE-8A946A8B6DCD}">
  <dimension ref="A1:D28"/>
  <sheetViews>
    <sheetView workbookViewId="0">
      <selection activeCell="C2" sqref="C2"/>
    </sheetView>
  </sheetViews>
  <sheetFormatPr defaultColWidth="8.85546875" defaultRowHeight="15"/>
  <cols>
    <col min="1" max="1" width="15.7109375" bestFit="1" customWidth="1"/>
    <col min="2" max="2" width="38" bestFit="1" customWidth="1"/>
    <col min="3" max="3" width="14.42578125" customWidth="1"/>
    <col min="4" max="4" width="18.42578125" customWidth="1"/>
  </cols>
  <sheetData>
    <row r="1" spans="1:4" ht="15.95">
      <c r="A1" s="168" t="s">
        <v>7</v>
      </c>
      <c r="B1" s="168" t="s">
        <v>758</v>
      </c>
      <c r="C1" s="168" t="s">
        <v>879</v>
      </c>
      <c r="D1" s="168" t="s">
        <v>2906</v>
      </c>
    </row>
    <row r="2" spans="1:4" ht="18">
      <c r="A2" s="132">
        <v>725059301</v>
      </c>
      <c r="B2" s="132" t="s">
        <v>334</v>
      </c>
      <c r="C2" s="132" t="s">
        <v>2166</v>
      </c>
      <c r="D2" s="132" t="s">
        <v>30</v>
      </c>
    </row>
    <row r="3" spans="1:4" ht="18">
      <c r="A3" s="132">
        <v>728059203</v>
      </c>
      <c r="B3" s="132" t="s">
        <v>343</v>
      </c>
      <c r="C3" s="132" t="s">
        <v>2166</v>
      </c>
      <c r="D3" s="132" t="s">
        <v>30</v>
      </c>
    </row>
    <row r="4" spans="1:4" ht="18">
      <c r="A4" s="132">
        <v>715128708</v>
      </c>
      <c r="B4" s="132" t="s">
        <v>536</v>
      </c>
      <c r="C4" s="132" t="s">
        <v>2166</v>
      </c>
      <c r="D4" s="132" t="s">
        <v>897</v>
      </c>
    </row>
    <row r="5" spans="1:4" ht="18">
      <c r="A5" s="132">
        <v>717017902</v>
      </c>
      <c r="B5" s="132" t="s">
        <v>540</v>
      </c>
      <c r="C5" s="132" t="s">
        <v>2166</v>
      </c>
      <c r="D5" s="132" t="s">
        <v>30</v>
      </c>
    </row>
    <row r="6" spans="1:4" ht="18">
      <c r="A6" s="132">
        <v>703049401</v>
      </c>
      <c r="B6" s="132" t="s">
        <v>492</v>
      </c>
      <c r="C6" s="132" t="s">
        <v>2166</v>
      </c>
      <c r="D6" s="132" t="s">
        <v>30</v>
      </c>
    </row>
    <row r="7" spans="1:4" ht="18">
      <c r="A7" s="132">
        <v>725059004</v>
      </c>
      <c r="B7" s="132" t="s">
        <v>247</v>
      </c>
      <c r="C7" s="132" t="s">
        <v>2166</v>
      </c>
      <c r="D7" s="132" t="s">
        <v>856</v>
      </c>
    </row>
    <row r="8" spans="1:4" ht="18">
      <c r="A8" s="132">
        <v>706069201</v>
      </c>
      <c r="B8" s="132" t="s">
        <v>347</v>
      </c>
      <c r="C8" s="132" t="s">
        <v>2166</v>
      </c>
      <c r="D8" s="132" t="s">
        <v>856</v>
      </c>
    </row>
    <row r="9" spans="1:4" ht="18">
      <c r="A9" s="132">
        <v>703129001</v>
      </c>
      <c r="B9" s="132" t="s">
        <v>321</v>
      </c>
      <c r="C9" s="132" t="s">
        <v>2166</v>
      </c>
      <c r="D9" s="132" t="s">
        <v>30</v>
      </c>
    </row>
    <row r="10" spans="1:4" ht="18">
      <c r="A10" s="132">
        <v>705109002</v>
      </c>
      <c r="B10" s="132" t="s">
        <v>548</v>
      </c>
      <c r="C10" s="132" t="s">
        <v>2166</v>
      </c>
      <c r="D10" s="132" t="s">
        <v>856</v>
      </c>
    </row>
    <row r="11" spans="1:4" ht="18">
      <c r="A11" s="132">
        <v>722069004</v>
      </c>
      <c r="B11" s="132" t="s">
        <v>34</v>
      </c>
      <c r="C11" s="132" t="s">
        <v>2166</v>
      </c>
      <c r="D11" s="132" t="s">
        <v>856</v>
      </c>
    </row>
    <row r="12" spans="1:4" ht="18">
      <c r="A12" s="132">
        <v>709039401</v>
      </c>
      <c r="B12" s="132" t="s">
        <v>187</v>
      </c>
      <c r="C12" s="132" t="s">
        <v>2166</v>
      </c>
      <c r="D12" s="132" t="s">
        <v>30</v>
      </c>
    </row>
    <row r="13" spans="1:4" ht="18">
      <c r="A13" s="132">
        <v>727099201</v>
      </c>
      <c r="B13" s="132" t="s">
        <v>106</v>
      </c>
      <c r="C13" s="132" t="s">
        <v>2166</v>
      </c>
      <c r="D13" s="132" t="s">
        <v>30</v>
      </c>
    </row>
    <row r="14" spans="1:4" ht="18">
      <c r="A14" s="132">
        <v>725059202</v>
      </c>
      <c r="B14" s="132" t="s">
        <v>378</v>
      </c>
      <c r="C14" s="132" t="s">
        <v>2166</v>
      </c>
      <c r="D14" s="132" t="s">
        <v>30</v>
      </c>
    </row>
    <row r="15" spans="1:4" ht="18">
      <c r="A15" s="132">
        <v>711069301</v>
      </c>
      <c r="B15" s="132" t="s">
        <v>382</v>
      </c>
      <c r="C15" s="132" t="s">
        <v>2166</v>
      </c>
      <c r="D15" s="132" t="s">
        <v>30</v>
      </c>
    </row>
    <row r="16" spans="1:4" ht="18">
      <c r="A16" s="132">
        <v>710028604</v>
      </c>
      <c r="B16" s="132" t="s">
        <v>55</v>
      </c>
      <c r="C16" s="132" t="s">
        <v>2166</v>
      </c>
      <c r="D16" s="132" t="s">
        <v>897</v>
      </c>
    </row>
    <row r="17" spans="1:4" ht="18">
      <c r="A17" s="132">
        <v>702039003</v>
      </c>
      <c r="B17" s="132" t="s">
        <v>447</v>
      </c>
      <c r="C17" s="132" t="s">
        <v>2166</v>
      </c>
      <c r="D17" s="132" t="s">
        <v>30</v>
      </c>
    </row>
    <row r="18" spans="1:4" ht="18">
      <c r="A18" s="132">
        <v>724089201</v>
      </c>
      <c r="B18" s="132" t="s">
        <v>239</v>
      </c>
      <c r="C18" s="132" t="s">
        <v>2166</v>
      </c>
      <c r="D18" s="132" t="s">
        <v>856</v>
      </c>
    </row>
    <row r="19" spans="1:4" ht="18">
      <c r="A19" s="132">
        <v>703119301</v>
      </c>
      <c r="B19" s="132" t="s">
        <v>374</v>
      </c>
      <c r="C19" s="132" t="s">
        <v>2166</v>
      </c>
      <c r="D19" s="132" t="s">
        <v>856</v>
      </c>
    </row>
    <row r="20" spans="1:4" ht="18">
      <c r="A20" s="132">
        <v>704039202</v>
      </c>
      <c r="B20" s="132" t="s">
        <v>523</v>
      </c>
      <c r="C20" s="132" t="s">
        <v>2166</v>
      </c>
      <c r="D20" s="132" t="s">
        <v>30</v>
      </c>
    </row>
    <row r="21" spans="1:4" ht="18">
      <c r="A21" s="132">
        <v>727097302</v>
      </c>
      <c r="B21" s="132" t="s">
        <v>427</v>
      </c>
      <c r="C21" s="132" t="s">
        <v>2166</v>
      </c>
      <c r="D21" s="132" t="s">
        <v>30</v>
      </c>
    </row>
    <row r="22" spans="1:4" ht="18">
      <c r="A22" s="132">
        <v>401078801</v>
      </c>
      <c r="B22" s="132" t="s">
        <v>369</v>
      </c>
      <c r="C22" s="132" t="s">
        <v>2166</v>
      </c>
      <c r="D22" s="132" t="s">
        <v>30</v>
      </c>
    </row>
    <row r="23" spans="1:4" ht="18">
      <c r="A23" s="132">
        <v>303069102</v>
      </c>
      <c r="B23" s="132" t="s">
        <v>432</v>
      </c>
      <c r="C23" s="132" t="s">
        <v>2166</v>
      </c>
      <c r="D23" s="132" t="s">
        <v>30</v>
      </c>
    </row>
    <row r="24" spans="1:4" ht="18">
      <c r="A24" s="132">
        <v>309069201</v>
      </c>
      <c r="B24" s="132" t="s">
        <v>28</v>
      </c>
      <c r="C24" s="132" t="s">
        <v>2166</v>
      </c>
      <c r="D24" s="132" t="s">
        <v>897</v>
      </c>
    </row>
    <row r="25" spans="1:4" ht="18">
      <c r="A25" s="132">
        <v>402058203</v>
      </c>
      <c r="B25" s="132" t="s">
        <v>174</v>
      </c>
      <c r="C25" s="132" t="s">
        <v>2166</v>
      </c>
      <c r="D25" s="132" t="s">
        <v>30</v>
      </c>
    </row>
    <row r="26" spans="1:4" ht="18">
      <c r="A26" s="132">
        <v>1001017601</v>
      </c>
      <c r="B26" s="132" t="s">
        <v>488</v>
      </c>
      <c r="C26" s="132" t="s">
        <v>2166</v>
      </c>
      <c r="D26" s="132" t="s">
        <v>30</v>
      </c>
    </row>
    <row r="27" spans="1:4" ht="18">
      <c r="A27" s="132">
        <v>730088001</v>
      </c>
      <c r="B27" s="132" t="s">
        <v>19</v>
      </c>
      <c r="C27" s="132" t="s">
        <v>2166</v>
      </c>
      <c r="D27" s="132" t="s">
        <v>30</v>
      </c>
    </row>
    <row r="28" spans="1:4" ht="18">
      <c r="A28" s="132">
        <v>702038201</v>
      </c>
      <c r="B28" s="132" t="s">
        <v>453</v>
      </c>
      <c r="C28" s="132" t="s">
        <v>2166</v>
      </c>
      <c r="D28" s="1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2024-10-04T09:20:49Z</dcterms:created>
  <dcterms:modified xsi:type="dcterms:W3CDTF">2026-01-19T06:04:25Z</dcterms:modified>
  <cp:category/>
  <cp:contentStatus/>
</cp:coreProperties>
</file>